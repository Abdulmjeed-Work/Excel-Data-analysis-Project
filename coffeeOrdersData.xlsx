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Mjeed\Downloads\"/>
    </mc:Choice>
  </mc:AlternateContent>
  <xr:revisionPtr revIDLastSave="0" documentId="8_{D82E06B1-F867-4C3F-B008-A3AD29B0E38C}" xr6:coauthVersionLast="47" xr6:coauthVersionMax="47" xr10:uidLastSave="{00000000-0000-0000-0000-000000000000}"/>
  <bookViews>
    <workbookView xWindow="-110" yWindow="-110" windowWidth="38620" windowHeight="21100" activeTab="3" xr2:uid="{00000000-000D-0000-FFFF-FFFF00000000}"/>
  </bookViews>
  <sheets>
    <sheet name="Total Sales" sheetId="18" r:id="rId1"/>
    <sheet name="CountryBarChart" sheetId="19" r:id="rId2"/>
    <sheet name="Top5Custo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7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7" l="1" a="1"/>
  <c r="F3" i="17" a="1"/>
  <c r="F4" i="17" a="1"/>
  <c r="F5" i="17" a="1"/>
  <c r="F6" i="17" a="1"/>
  <c r="F7" i="17" a="1"/>
  <c r="F8" i="17" a="1"/>
  <c r="F9" i="17" a="1"/>
  <c r="F10" i="17" a="1"/>
  <c r="F11" i="17" a="1"/>
  <c r="F12" i="17" a="1"/>
  <c r="F13" i="17" a="1"/>
  <c r="F14" i="17" a="1"/>
  <c r="F15" i="17" a="1"/>
  <c r="F16" i="17" a="1"/>
  <c r="F17" i="17" a="1"/>
  <c r="F18" i="17" a="1"/>
  <c r="F19" i="17" a="1"/>
  <c r="F20" i="17" a="1"/>
  <c r="F21" i="17" a="1"/>
  <c r="F22" i="17" a="1"/>
  <c r="F23" i="17" a="1"/>
  <c r="F24" i="17" a="1"/>
  <c r="F25" i="17" a="1"/>
  <c r="F26" i="17" a="1"/>
  <c r="F27" i="17" a="1"/>
  <c r="F28" i="17" a="1"/>
  <c r="F29" i="17" a="1"/>
  <c r="F30" i="17" a="1"/>
  <c r="F31" i="17" a="1"/>
  <c r="F32" i="17" a="1"/>
  <c r="F33" i="17" a="1"/>
  <c r="F34" i="17" a="1"/>
  <c r="F35" i="17" a="1"/>
  <c r="F36" i="17" a="1"/>
  <c r="F37" i="17" a="1"/>
  <c r="F38" i="17" a="1"/>
  <c r="F39" i="17" a="1"/>
  <c r="F40" i="17" a="1"/>
  <c r="F41" i="17" a="1"/>
  <c r="F42" i="17" a="1"/>
  <c r="F43" i="17" a="1"/>
  <c r="F44" i="17" a="1"/>
  <c r="F45" i="17" a="1"/>
  <c r="F46" i="17" a="1"/>
  <c r="F47" i="17" a="1"/>
  <c r="F48" i="17" a="1"/>
  <c r="F49" i="17" a="1"/>
  <c r="F50" i="17" a="1"/>
  <c r="F51" i="17" a="1"/>
  <c r="F52" i="17" a="1"/>
  <c r="F53" i="17" a="1"/>
  <c r="F54" i="17" a="1"/>
  <c r="F55" i="17" a="1"/>
  <c r="F56" i="17" a="1"/>
  <c r="F57" i="17" a="1"/>
  <c r="F58" i="17" a="1"/>
  <c r="F59" i="17" a="1"/>
  <c r="F60" i="17" a="1"/>
  <c r="F61" i="17" a="1"/>
  <c r="F62" i="17" a="1"/>
  <c r="F63" i="17" a="1"/>
  <c r="F64" i="17" a="1"/>
  <c r="F65" i="17" a="1"/>
  <c r="F66" i="17" a="1"/>
  <c r="F67" i="17" a="1"/>
  <c r="F68" i="17" a="1"/>
  <c r="F69" i="17" a="1"/>
  <c r="F70" i="17" a="1"/>
  <c r="F71" i="17" a="1"/>
  <c r="F72" i="17" a="1"/>
  <c r="F73" i="17" a="1"/>
  <c r="F74" i="17" a="1"/>
  <c r="F75" i="17" a="1"/>
  <c r="F76" i="17" a="1"/>
  <c r="F77" i="17" a="1"/>
  <c r="F78" i="17" a="1"/>
  <c r="F79" i="17" a="1"/>
  <c r="F80" i="17" a="1"/>
  <c r="F81" i="17" a="1"/>
  <c r="F82" i="17" a="1"/>
  <c r="F83" i="17" a="1"/>
  <c r="F84" i="17" a="1"/>
  <c r="F85" i="17" a="1"/>
  <c r="F86" i="17" a="1"/>
  <c r="F87" i="17" a="1"/>
  <c r="F88" i="17" a="1"/>
  <c r="F89" i="17" a="1"/>
  <c r="F90" i="17" a="1"/>
  <c r="F91" i="17" a="1"/>
  <c r="F92" i="17" a="1"/>
  <c r="F93" i="17" a="1"/>
  <c r="F94" i="17" a="1"/>
  <c r="F95" i="17" a="1"/>
  <c r="F96" i="17" a="1"/>
  <c r="F97" i="17" a="1"/>
  <c r="F98" i="17" a="1"/>
  <c r="F99" i="17" a="1"/>
  <c r="F100" i="17" a="1"/>
  <c r="F101" i="17" a="1"/>
  <c r="F102" i="17" a="1"/>
  <c r="F103" i="17" a="1"/>
  <c r="F104" i="17" a="1"/>
  <c r="F105" i="17" a="1"/>
  <c r="F106" i="17" a="1"/>
  <c r="F107" i="17" a="1"/>
  <c r="F108" i="17" a="1"/>
  <c r="F109" i="17" a="1"/>
  <c r="F110" i="17" a="1"/>
  <c r="F111" i="17" a="1"/>
  <c r="F112" i="17" a="1"/>
  <c r="F113" i="17" a="1"/>
  <c r="F114" i="17" a="1"/>
  <c r="F115" i="17" a="1"/>
  <c r="F116" i="17" a="1"/>
  <c r="F117" i="17" a="1"/>
  <c r="F118" i="17" a="1"/>
  <c r="F119" i="17" a="1"/>
  <c r="F120" i="17" a="1"/>
  <c r="F121" i="17" a="1"/>
  <c r="F122" i="17" a="1"/>
  <c r="F123" i="17" a="1"/>
  <c r="F124" i="17" a="1"/>
  <c r="F125" i="17" a="1"/>
  <c r="F126" i="17" a="1"/>
  <c r="F127" i="17" a="1"/>
  <c r="F128" i="17" a="1"/>
  <c r="F129" i="17" a="1"/>
  <c r="F130" i="17" a="1"/>
  <c r="F131" i="17" a="1"/>
  <c r="F132" i="17" a="1"/>
  <c r="F133" i="17" a="1"/>
  <c r="F134" i="17" a="1"/>
  <c r="F135" i="17" a="1"/>
  <c r="F136" i="17" a="1"/>
  <c r="F137" i="17" a="1"/>
  <c r="F138" i="17" a="1"/>
  <c r="F139" i="17" a="1"/>
  <c r="F140" i="17" a="1"/>
  <c r="F141" i="17" a="1"/>
  <c r="F142" i="17" a="1"/>
  <c r="F143" i="17" a="1"/>
  <c r="F144" i="17" a="1"/>
  <c r="F145" i="17" a="1"/>
  <c r="F146" i="17" a="1"/>
  <c r="F147" i="17" a="1"/>
  <c r="F148" i="17" a="1"/>
  <c r="F149" i="17" a="1"/>
  <c r="F150" i="17" a="1"/>
  <c r="F151" i="17" a="1"/>
  <c r="F152" i="17" a="1"/>
  <c r="F153" i="17" a="1"/>
  <c r="F154" i="17" a="1"/>
  <c r="F155" i="17" a="1"/>
  <c r="F156" i="17" a="1"/>
  <c r="F157" i="17" a="1"/>
  <c r="F158" i="17" a="1"/>
  <c r="F159" i="17" a="1"/>
  <c r="F160" i="17" a="1"/>
  <c r="F161" i="17" a="1"/>
  <c r="F162" i="17" a="1"/>
  <c r="F163" i="17" a="1"/>
  <c r="F164" i="17" a="1"/>
  <c r="F165" i="17" a="1"/>
  <c r="F166" i="17" a="1"/>
  <c r="F167" i="17" a="1"/>
  <c r="F168" i="17" a="1"/>
  <c r="F169" i="17" a="1"/>
  <c r="F170" i="17" a="1"/>
  <c r="F171" i="17" a="1"/>
  <c r="F172" i="17" a="1"/>
  <c r="F173" i="17" a="1"/>
  <c r="F174" i="17" a="1"/>
  <c r="F175" i="17" a="1"/>
  <c r="F176" i="17" a="1"/>
  <c r="F177" i="17" a="1"/>
  <c r="F178" i="17" a="1"/>
  <c r="F179" i="17" a="1"/>
  <c r="F180" i="17" a="1"/>
  <c r="F181" i="17" a="1"/>
  <c r="F182" i="17" a="1"/>
  <c r="F183" i="17" a="1"/>
  <c r="F184" i="17" a="1"/>
  <c r="F185" i="17" a="1"/>
  <c r="F186" i="17" a="1"/>
  <c r="F187" i="17" a="1"/>
  <c r="F188" i="17" a="1"/>
  <c r="F189" i="17" a="1"/>
  <c r="F190" i="17" a="1"/>
  <c r="F191" i="17" a="1"/>
  <c r="F192" i="17" a="1"/>
  <c r="F193" i="17" a="1"/>
  <c r="F194" i="17" a="1"/>
  <c r="F195" i="17" a="1"/>
  <c r="F196" i="17" a="1"/>
  <c r="F197" i="17" a="1"/>
  <c r="F198" i="17" a="1"/>
  <c r="F199" i="17" a="1"/>
  <c r="F200" i="17" a="1"/>
  <c r="F201" i="17" a="1"/>
  <c r="F202" i="17" a="1"/>
  <c r="F203" i="17" a="1"/>
  <c r="F204" i="17" a="1"/>
  <c r="F205" i="17" a="1"/>
  <c r="F206" i="17" a="1"/>
  <c r="F207" i="17" a="1"/>
  <c r="F208" i="17" a="1"/>
  <c r="F209" i="17" a="1"/>
  <c r="F210" i="17" a="1"/>
  <c r="F211" i="17" a="1"/>
  <c r="F212" i="17" a="1"/>
  <c r="F213" i="17" a="1"/>
  <c r="F214" i="17" a="1"/>
  <c r="F215" i="17" a="1"/>
  <c r="F216" i="17" a="1"/>
  <c r="F217" i="17" a="1"/>
  <c r="F218" i="17" a="1"/>
  <c r="F219" i="17" a="1"/>
  <c r="F220" i="17" a="1"/>
  <c r="F221" i="17" a="1"/>
  <c r="F222" i="17" a="1"/>
  <c r="F223" i="17" a="1"/>
  <c r="F224" i="17" a="1"/>
  <c r="F225" i="17" a="1"/>
  <c r="F226" i="17" a="1"/>
  <c r="F227" i="17" a="1"/>
  <c r="F228" i="17" a="1"/>
  <c r="F229" i="17" a="1"/>
  <c r="F230" i="17" a="1"/>
  <c r="F231" i="17" a="1"/>
  <c r="F232" i="17" a="1"/>
  <c r="F233" i="17" a="1"/>
  <c r="F234" i="17" a="1"/>
  <c r="F235" i="17" a="1"/>
  <c r="F236" i="17" a="1"/>
  <c r="F237" i="17" a="1"/>
  <c r="F238" i="17" a="1"/>
  <c r="F239" i="17" a="1"/>
  <c r="F240" i="17" a="1"/>
  <c r="F241" i="17" a="1"/>
  <c r="F242" i="17" a="1"/>
  <c r="F243" i="17" a="1"/>
  <c r="F244" i="17" a="1"/>
  <c r="F245" i="17" a="1"/>
  <c r="F246" i="17" a="1"/>
  <c r="F247" i="17" a="1"/>
  <c r="F248" i="17" a="1"/>
  <c r="F249" i="17" a="1"/>
  <c r="F250" i="17" a="1"/>
  <c r="F251" i="17" a="1"/>
  <c r="F252" i="17" a="1"/>
  <c r="F253" i="17" a="1"/>
  <c r="F254" i="17" a="1"/>
  <c r="F255" i="17" a="1"/>
  <c r="F256" i="17" a="1"/>
  <c r="F257" i="17" a="1"/>
  <c r="F258" i="17" a="1"/>
  <c r="F259" i="17" a="1"/>
  <c r="F260" i="17" a="1"/>
  <c r="F261" i="17" a="1"/>
  <c r="F262" i="17" a="1"/>
  <c r="F263" i="17" a="1"/>
  <c r="F264" i="17" a="1"/>
  <c r="F265" i="17" a="1"/>
  <c r="F266" i="17" a="1"/>
  <c r="F267" i="17" a="1"/>
  <c r="F268" i="17" a="1"/>
  <c r="F269" i="17" a="1"/>
  <c r="F270" i="17" a="1"/>
  <c r="F271" i="17" a="1"/>
  <c r="F272" i="17" a="1"/>
  <c r="F273" i="17" a="1"/>
  <c r="F274" i="17" a="1"/>
  <c r="F275" i="17" a="1"/>
  <c r="F276" i="17" a="1"/>
  <c r="F277" i="17" a="1"/>
  <c r="F278" i="17" a="1"/>
  <c r="F279" i="17" a="1"/>
  <c r="F280" i="17" a="1"/>
  <c r="F281" i="17" a="1"/>
  <c r="F282" i="17" a="1"/>
  <c r="F283" i="17" a="1"/>
  <c r="F284" i="17" a="1"/>
  <c r="F285" i="17" a="1"/>
  <c r="F286" i="17" a="1"/>
  <c r="F287" i="17" a="1"/>
  <c r="F288" i="17" a="1"/>
  <c r="F289" i="17" a="1"/>
  <c r="F290" i="17" a="1"/>
  <c r="F291" i="17" a="1"/>
  <c r="F292" i="17" a="1"/>
  <c r="F293" i="17" a="1"/>
  <c r="F294" i="17" a="1"/>
  <c r="F295" i="17" a="1"/>
  <c r="F296" i="17" a="1"/>
  <c r="F297" i="17" a="1"/>
  <c r="F298" i="17" a="1"/>
  <c r="F299" i="17" a="1"/>
  <c r="F300" i="17" a="1"/>
  <c r="F301" i="17" a="1"/>
  <c r="F302" i="17" a="1"/>
  <c r="F303" i="17" a="1"/>
  <c r="F304" i="17" a="1"/>
  <c r="F305" i="17" a="1"/>
  <c r="F306" i="17" a="1"/>
  <c r="F307" i="17" a="1"/>
  <c r="F308" i="17" a="1"/>
  <c r="F309" i="17" a="1"/>
  <c r="F310" i="17" a="1"/>
  <c r="F311" i="17" a="1"/>
  <c r="F312" i="17" a="1"/>
  <c r="F313" i="17" a="1"/>
  <c r="F314" i="17" a="1"/>
  <c r="F315" i="17" a="1"/>
  <c r="F316" i="17" a="1"/>
  <c r="F317" i="17" a="1"/>
  <c r="F318" i="17" a="1"/>
  <c r="F319" i="17" a="1"/>
  <c r="F320" i="17" a="1"/>
  <c r="F321" i="17" a="1"/>
  <c r="F322" i="17" a="1"/>
  <c r="F323" i="17" a="1"/>
  <c r="F324" i="17" a="1"/>
  <c r="F325" i="17" a="1"/>
  <c r="F326" i="17" a="1"/>
  <c r="F327" i="17" a="1"/>
  <c r="F328" i="17" a="1"/>
  <c r="F329" i="17" a="1"/>
  <c r="F330" i="17" a="1"/>
  <c r="F331" i="17" a="1"/>
  <c r="F332" i="17" a="1"/>
  <c r="F333" i="17" a="1"/>
  <c r="F334" i="17" a="1"/>
  <c r="F335" i="17" a="1"/>
  <c r="F336" i="17" a="1"/>
  <c r="F337" i="17" a="1"/>
  <c r="F338" i="17" a="1"/>
  <c r="F339" i="17" a="1"/>
  <c r="F340" i="17" a="1"/>
  <c r="F341" i="17" a="1"/>
  <c r="F342" i="17" a="1"/>
  <c r="F343" i="17" a="1"/>
  <c r="F344" i="17" a="1"/>
  <c r="F345" i="17" a="1"/>
  <c r="F346" i="17" a="1"/>
  <c r="F347" i="17" a="1"/>
  <c r="F348" i="17" a="1"/>
  <c r="F349" i="17" a="1"/>
  <c r="F350" i="17" a="1"/>
  <c r="F351" i="17" a="1"/>
  <c r="F352" i="17" a="1"/>
  <c r="F353" i="17" a="1"/>
  <c r="F354" i="17" a="1"/>
  <c r="F355" i="17" a="1"/>
  <c r="F356" i="17" a="1"/>
  <c r="F357" i="17" a="1"/>
  <c r="F358" i="17" a="1"/>
  <c r="F359" i="17" a="1"/>
  <c r="F360" i="17" a="1"/>
  <c r="F361" i="17" a="1"/>
  <c r="F362" i="17" a="1"/>
  <c r="F363" i="17" a="1"/>
  <c r="F364" i="17" a="1"/>
  <c r="F365" i="17" a="1"/>
  <c r="F366" i="17" a="1"/>
  <c r="F367" i="17" a="1"/>
  <c r="F368" i="17" a="1"/>
  <c r="F369" i="17" a="1"/>
  <c r="F370" i="17" a="1"/>
  <c r="F371" i="17" a="1"/>
  <c r="F372" i="17" a="1"/>
  <c r="F373" i="17" a="1"/>
  <c r="F374" i="17" a="1"/>
  <c r="F375" i="17" a="1"/>
  <c r="F376" i="17" a="1"/>
  <c r="F377" i="17" a="1"/>
  <c r="F378" i="17" a="1"/>
  <c r="F379" i="17" a="1"/>
  <c r="F380" i="17" a="1"/>
  <c r="F381" i="17" a="1"/>
  <c r="F382" i="17" a="1"/>
  <c r="F383" i="17" a="1"/>
  <c r="F384" i="17" a="1"/>
  <c r="F385" i="17" a="1"/>
  <c r="F386" i="17" a="1"/>
  <c r="F387" i="17" a="1"/>
  <c r="F388" i="17" a="1"/>
  <c r="F389" i="17" a="1"/>
  <c r="F390" i="17" a="1"/>
  <c r="F391" i="17" a="1"/>
  <c r="F392" i="17" a="1"/>
  <c r="F393" i="17" a="1"/>
  <c r="F394" i="17" a="1"/>
  <c r="F395" i="17" a="1"/>
  <c r="F396" i="17" a="1"/>
  <c r="F397" i="17" a="1"/>
  <c r="F398" i="17" a="1"/>
  <c r="F399" i="17" a="1"/>
  <c r="F400" i="17" a="1"/>
  <c r="F401" i="17" a="1"/>
  <c r="F402" i="17" a="1"/>
  <c r="F403" i="17" a="1"/>
  <c r="F404" i="17" a="1"/>
  <c r="F405" i="17" a="1"/>
  <c r="F406" i="17" a="1"/>
  <c r="F407" i="17" a="1"/>
  <c r="F408" i="17" a="1"/>
  <c r="F409" i="17" a="1"/>
  <c r="F410" i="17" a="1"/>
  <c r="F411" i="17" a="1"/>
  <c r="F412" i="17" a="1"/>
  <c r="F413" i="17" a="1"/>
  <c r="F414" i="17" a="1"/>
  <c r="F415" i="17" a="1"/>
  <c r="F416" i="17" a="1"/>
  <c r="F417" i="17" a="1"/>
  <c r="F418" i="17" a="1"/>
  <c r="F419" i="17" a="1"/>
  <c r="F420" i="17" a="1"/>
  <c r="F421" i="17" a="1"/>
  <c r="F422" i="17" a="1"/>
  <c r="F423" i="17" a="1"/>
  <c r="F424" i="17" a="1"/>
  <c r="F425" i="17" a="1"/>
  <c r="F426" i="17" a="1"/>
  <c r="F427" i="17" a="1"/>
  <c r="F428" i="17" a="1"/>
  <c r="F429" i="17" a="1"/>
  <c r="F430" i="17" a="1"/>
  <c r="F431" i="17" a="1"/>
  <c r="F432" i="17" a="1"/>
  <c r="F433" i="17" a="1"/>
  <c r="F434" i="17" a="1"/>
  <c r="F435" i="17" a="1"/>
  <c r="F436" i="17" a="1"/>
  <c r="F437" i="17" a="1"/>
  <c r="F438" i="17" a="1"/>
  <c r="F439" i="17" a="1"/>
  <c r="F440" i="17" a="1"/>
  <c r="F441" i="17" a="1"/>
  <c r="F442" i="17" a="1"/>
  <c r="F443" i="17" a="1"/>
  <c r="F444" i="17" a="1"/>
  <c r="F445" i="17" a="1"/>
  <c r="F446" i="17" a="1"/>
  <c r="F447" i="17" a="1"/>
  <c r="F448" i="17" a="1"/>
  <c r="F449" i="17" a="1"/>
  <c r="F450" i="17" a="1"/>
  <c r="F451" i="17" a="1"/>
  <c r="F452" i="17" a="1"/>
  <c r="F453" i="17" a="1"/>
  <c r="F454" i="17" a="1"/>
  <c r="F455" i="17" a="1"/>
  <c r="F456" i="17" a="1"/>
  <c r="F457" i="17" a="1"/>
  <c r="F458" i="17" a="1"/>
  <c r="F459" i="17" a="1"/>
  <c r="F460" i="17" a="1"/>
  <c r="F461" i="17" a="1"/>
  <c r="F462" i="17" a="1"/>
  <c r="F463" i="17" a="1"/>
  <c r="F464" i="17" a="1"/>
  <c r="F465" i="17" a="1"/>
  <c r="F466" i="17" a="1"/>
  <c r="F467" i="17" a="1"/>
  <c r="F468" i="17" a="1"/>
  <c r="F469" i="17" a="1"/>
  <c r="F470" i="17" a="1"/>
  <c r="F471" i="17" a="1"/>
  <c r="F472" i="17" a="1"/>
  <c r="F473" i="17" a="1"/>
  <c r="F474" i="17" a="1"/>
  <c r="F475" i="17" a="1"/>
  <c r="F476" i="17" a="1"/>
  <c r="F477" i="17" a="1"/>
  <c r="F478" i="17" a="1"/>
  <c r="F479" i="17" a="1"/>
  <c r="F480" i="17" a="1"/>
  <c r="F481" i="17" a="1"/>
  <c r="F482" i="17" a="1"/>
  <c r="F483" i="17" a="1"/>
  <c r="F484" i="17" a="1"/>
  <c r="F485" i="17" a="1"/>
  <c r="F486" i="17" a="1"/>
  <c r="F487" i="17" a="1"/>
  <c r="F488" i="17" a="1"/>
  <c r="F489" i="17" a="1"/>
  <c r="F490" i="17" a="1"/>
  <c r="F491" i="17" a="1"/>
  <c r="F492" i="17" a="1"/>
  <c r="F493" i="17" a="1"/>
  <c r="F494" i="17" a="1"/>
  <c r="F495" i="17" a="1"/>
  <c r="F496" i="17" a="1"/>
  <c r="F497" i="17" a="1"/>
  <c r="F498" i="17" a="1"/>
  <c r="F499" i="17" a="1"/>
  <c r="F500" i="17" a="1"/>
  <c r="F501" i="17" a="1"/>
  <c r="F502" i="17" a="1"/>
  <c r="F503" i="17" a="1"/>
  <c r="F504" i="17" a="1"/>
  <c r="F505" i="17" a="1"/>
  <c r="F506" i="17" a="1"/>
  <c r="F507" i="17" a="1"/>
  <c r="F508" i="17" a="1"/>
  <c r="F509" i="17" a="1"/>
  <c r="F510" i="17" a="1"/>
  <c r="F511" i="17" a="1"/>
  <c r="F512" i="17" a="1"/>
  <c r="F513" i="17" a="1"/>
  <c r="F514" i="17" a="1"/>
  <c r="F515" i="17" a="1"/>
  <c r="F516" i="17" a="1"/>
  <c r="F517" i="17" a="1"/>
  <c r="F518" i="17" a="1"/>
  <c r="F519" i="17" a="1"/>
  <c r="F520" i="17" a="1"/>
  <c r="F521" i="17" a="1"/>
  <c r="F522" i="17" a="1"/>
  <c r="F523" i="17" a="1"/>
  <c r="F524" i="17" a="1"/>
  <c r="F525" i="17" a="1"/>
  <c r="F526" i="17" a="1"/>
  <c r="F527" i="17" a="1"/>
  <c r="F528" i="17" a="1"/>
  <c r="F529" i="17" a="1"/>
  <c r="F530" i="17" a="1"/>
  <c r="F531" i="17" a="1"/>
  <c r="F532" i="17" a="1"/>
  <c r="F533" i="17" a="1"/>
  <c r="F534" i="17" a="1"/>
  <c r="F535" i="17" a="1"/>
  <c r="F536" i="17" a="1"/>
  <c r="F537" i="17" a="1"/>
  <c r="F538" i="17" a="1"/>
  <c r="F539" i="17" a="1"/>
  <c r="F540" i="17" a="1"/>
  <c r="F541" i="17" a="1"/>
  <c r="F542" i="17" a="1"/>
  <c r="F543" i="17" a="1"/>
  <c r="F544" i="17" a="1"/>
  <c r="F545" i="17" a="1"/>
  <c r="F546" i="17" a="1"/>
  <c r="F547" i="17" a="1"/>
  <c r="F548" i="17" a="1"/>
  <c r="F549" i="17" a="1"/>
  <c r="F550" i="17" a="1"/>
  <c r="F551" i="17" a="1"/>
  <c r="F552" i="17" a="1"/>
  <c r="F553" i="17" a="1"/>
  <c r="F554" i="17" a="1"/>
  <c r="F555" i="17" a="1"/>
  <c r="F556" i="17" a="1"/>
  <c r="F557" i="17" a="1"/>
  <c r="F558" i="17" a="1"/>
  <c r="F559" i="17" a="1"/>
  <c r="F560" i="17" a="1"/>
  <c r="F561" i="17" a="1"/>
  <c r="F562" i="17" a="1"/>
  <c r="F563" i="17" a="1"/>
  <c r="F564" i="17" a="1"/>
  <c r="F565" i="17" a="1"/>
  <c r="F566" i="17" a="1"/>
  <c r="F567" i="17" a="1"/>
  <c r="F568" i="17" a="1"/>
  <c r="F569" i="17" a="1"/>
  <c r="F570" i="17" a="1"/>
  <c r="F571" i="17" a="1"/>
  <c r="F572" i="17" a="1"/>
  <c r="F573" i="17" a="1"/>
  <c r="F574" i="17" a="1"/>
  <c r="F575" i="17" a="1"/>
  <c r="F576" i="17" a="1"/>
  <c r="F577" i="17" a="1"/>
  <c r="F578" i="17" a="1"/>
  <c r="F579" i="17" a="1"/>
  <c r="F580" i="17" a="1"/>
  <c r="F581" i="17" a="1"/>
  <c r="F582" i="17" a="1"/>
  <c r="F583" i="17" a="1"/>
  <c r="F584" i="17" a="1"/>
  <c r="F585" i="17" a="1"/>
  <c r="F586" i="17" a="1"/>
  <c r="F587" i="17" a="1"/>
  <c r="F588" i="17" a="1"/>
  <c r="F589" i="17" a="1"/>
  <c r="F590" i="17" a="1"/>
  <c r="F591" i="17" a="1"/>
  <c r="F592" i="17" a="1"/>
  <c r="F593" i="17" a="1"/>
  <c r="F594" i="17" a="1"/>
  <c r="F595" i="17" a="1"/>
  <c r="F596" i="17" a="1"/>
  <c r="F597" i="17" a="1"/>
  <c r="F598" i="17" a="1"/>
  <c r="F599" i="17" a="1"/>
  <c r="F600" i="17" a="1"/>
  <c r="F601" i="17" a="1"/>
  <c r="F602" i="17" a="1"/>
  <c r="F603" i="17" a="1"/>
  <c r="F604" i="17" a="1"/>
  <c r="F605" i="17" a="1"/>
  <c r="F606" i="17" a="1"/>
  <c r="F607" i="17" a="1"/>
  <c r="F608" i="17" a="1"/>
  <c r="F609" i="17" a="1"/>
  <c r="F610" i="17" a="1"/>
  <c r="F611" i="17" a="1"/>
  <c r="F612" i="17" a="1"/>
  <c r="F613" i="17" a="1"/>
  <c r="F614" i="17" a="1"/>
  <c r="F615" i="17" a="1"/>
  <c r="F616" i="17" a="1"/>
  <c r="F617" i="17" a="1"/>
  <c r="F618" i="17" a="1"/>
  <c r="F619" i="17" a="1"/>
  <c r="F620" i="17" a="1"/>
  <c r="F621" i="17" a="1"/>
  <c r="F622" i="17" a="1"/>
  <c r="F623" i="17" a="1"/>
  <c r="F624" i="17" a="1"/>
  <c r="F625" i="17" a="1"/>
  <c r="F626" i="17" a="1"/>
  <c r="F627" i="17" a="1"/>
  <c r="F628" i="17" a="1"/>
  <c r="F629" i="17" a="1"/>
  <c r="F630" i="17" a="1"/>
  <c r="F631" i="17" a="1"/>
  <c r="F632" i="17" a="1"/>
  <c r="F633" i="17" a="1"/>
  <c r="F634" i="17" a="1"/>
  <c r="F635" i="17" a="1"/>
  <c r="F636" i="17" a="1"/>
  <c r="F637" i="17" a="1"/>
  <c r="F638" i="17" a="1"/>
  <c r="F639" i="17" a="1"/>
  <c r="F640" i="17" a="1"/>
  <c r="F641" i="17" a="1"/>
  <c r="F642" i="17" a="1"/>
  <c r="F643" i="17" a="1"/>
  <c r="F644" i="17" a="1"/>
  <c r="F645" i="17" a="1"/>
  <c r="F646" i="17" a="1"/>
  <c r="F647" i="17" a="1"/>
  <c r="F648" i="17" a="1"/>
  <c r="F649" i="17" a="1"/>
  <c r="F650" i="17" a="1"/>
  <c r="F651" i="17" a="1"/>
  <c r="F652" i="17" a="1"/>
  <c r="F653" i="17" a="1"/>
  <c r="F654" i="17" a="1"/>
  <c r="F655" i="17" a="1"/>
  <c r="F656" i="17" a="1"/>
  <c r="F657" i="17" a="1"/>
  <c r="F658" i="17" a="1"/>
  <c r="F659" i="17" a="1"/>
  <c r="F660" i="17" a="1"/>
  <c r="F661" i="17" a="1"/>
  <c r="F662" i="17" a="1"/>
  <c r="F663" i="17" a="1"/>
  <c r="F664" i="17" a="1"/>
  <c r="F665" i="17" a="1"/>
  <c r="F666" i="17" a="1"/>
  <c r="F667" i="17" a="1"/>
  <c r="F668" i="17" a="1"/>
  <c r="F669" i="17" a="1"/>
  <c r="F670" i="17" a="1"/>
  <c r="F671" i="17" a="1"/>
  <c r="F672" i="17" a="1"/>
  <c r="F673" i="17" a="1"/>
  <c r="F674" i="17" a="1"/>
  <c r="F675" i="17" a="1"/>
  <c r="F676" i="17" a="1"/>
  <c r="F677" i="17" a="1"/>
  <c r="F678" i="17" a="1"/>
  <c r="F679" i="17" a="1"/>
  <c r="F680" i="17" a="1"/>
  <c r="F681" i="17" a="1"/>
  <c r="F682" i="17" a="1"/>
  <c r="F683" i="17" a="1"/>
  <c r="F684" i="17" a="1"/>
  <c r="F685" i="17" a="1"/>
  <c r="F686" i="17" a="1"/>
  <c r="F687" i="17" a="1"/>
  <c r="F688" i="17" a="1"/>
  <c r="F689" i="17" a="1"/>
  <c r="F690" i="17" a="1"/>
  <c r="F691" i="17" a="1"/>
  <c r="F692" i="17" a="1"/>
  <c r="F693" i="17" a="1"/>
  <c r="F694" i="17" a="1"/>
  <c r="F695" i="17" a="1"/>
  <c r="F696" i="17" a="1"/>
  <c r="F697" i="17" a="1"/>
  <c r="F698" i="17" a="1"/>
  <c r="F699" i="17" a="1"/>
  <c r="F700" i="17" a="1"/>
  <c r="F701" i="17" a="1"/>
  <c r="F702" i="17" a="1"/>
  <c r="F703" i="17" a="1"/>
  <c r="F704" i="17" a="1"/>
  <c r="F705" i="17" a="1"/>
  <c r="F706" i="17" a="1"/>
  <c r="F707" i="17" a="1"/>
  <c r="F708" i="17" a="1"/>
  <c r="F709" i="17" a="1"/>
  <c r="F710" i="17" a="1"/>
  <c r="F711" i="17" a="1"/>
  <c r="F712" i="17" a="1"/>
  <c r="F713" i="17" a="1"/>
  <c r="F714" i="17" a="1"/>
  <c r="F715" i="17" a="1"/>
  <c r="F716" i="17" a="1"/>
  <c r="F717" i="17" a="1"/>
  <c r="F718" i="17" a="1"/>
  <c r="F719" i="17" a="1"/>
  <c r="F720" i="17" a="1"/>
  <c r="F721" i="17" a="1"/>
  <c r="F722" i="17" a="1"/>
  <c r="F723" i="17" a="1"/>
  <c r="F724" i="17" a="1"/>
  <c r="F725" i="17" a="1"/>
  <c r="F726" i="17" a="1"/>
  <c r="F727" i="17" a="1"/>
  <c r="F728" i="17" a="1"/>
  <c r="F729" i="17" a="1"/>
  <c r="F730" i="17" a="1"/>
  <c r="F731" i="17" a="1"/>
  <c r="F732" i="17" a="1"/>
  <c r="F733" i="17" a="1"/>
  <c r="F734" i="17" a="1"/>
  <c r="F735" i="17" a="1"/>
  <c r="F736" i="17" a="1"/>
  <c r="F737" i="17" a="1"/>
  <c r="F738" i="17" a="1"/>
  <c r="F739" i="17" a="1"/>
  <c r="F740" i="17" a="1"/>
  <c r="F741" i="17" a="1"/>
  <c r="F742" i="17" a="1"/>
  <c r="F743" i="17" a="1"/>
  <c r="F744" i="17" a="1"/>
  <c r="F745" i="17" a="1"/>
  <c r="F746" i="17" a="1"/>
  <c r="F747" i="17" a="1"/>
  <c r="F748" i="17" a="1"/>
  <c r="F749" i="17" a="1"/>
  <c r="F750" i="17" a="1"/>
  <c r="F751" i="17" a="1"/>
  <c r="F752" i="17" a="1"/>
  <c r="F753" i="17" a="1"/>
  <c r="F754" i="17" a="1"/>
  <c r="F755" i="17" a="1"/>
  <c r="F756" i="17" a="1"/>
  <c r="F757" i="17" a="1"/>
  <c r="F758" i="17" a="1"/>
  <c r="F759" i="17" a="1"/>
  <c r="F760" i="17" a="1"/>
  <c r="F761" i="17" a="1"/>
  <c r="F762" i="17" a="1"/>
  <c r="F763" i="17" a="1"/>
  <c r="F764" i="17" a="1"/>
  <c r="F765" i="17" a="1"/>
  <c r="F766" i="17" a="1"/>
  <c r="F767" i="17" a="1"/>
  <c r="F768" i="17" a="1"/>
  <c r="F769" i="17" a="1"/>
  <c r="F770" i="17" a="1"/>
  <c r="F771" i="17" a="1"/>
  <c r="F772" i="17" a="1"/>
  <c r="F773" i="17" a="1"/>
  <c r="F774" i="17" a="1"/>
  <c r="F775" i="17" a="1"/>
  <c r="F776" i="17" a="1"/>
  <c r="F777" i="17" a="1"/>
  <c r="F778" i="17" a="1"/>
  <c r="F779" i="17" a="1"/>
  <c r="F780" i="17" a="1"/>
  <c r="F781" i="17" a="1"/>
  <c r="F782" i="17" a="1"/>
  <c r="F783" i="17" a="1"/>
  <c r="F784" i="17" a="1"/>
  <c r="F785" i="17" a="1"/>
  <c r="F786" i="17" a="1"/>
  <c r="F787" i="17" a="1"/>
  <c r="F788" i="17" a="1"/>
  <c r="F789" i="17" a="1"/>
  <c r="F790" i="17" a="1"/>
  <c r="F791" i="17" a="1"/>
  <c r="F792" i="17" a="1"/>
  <c r="F793" i="17" a="1"/>
  <c r="F794" i="17" a="1"/>
  <c r="F795" i="17" a="1"/>
  <c r="F796" i="17" a="1"/>
  <c r="F797" i="17" a="1"/>
  <c r="F798" i="17" a="1"/>
  <c r="F799" i="17" a="1"/>
  <c r="F800" i="17" a="1"/>
  <c r="F801" i="17" a="1"/>
  <c r="F802" i="17" a="1"/>
  <c r="F803" i="17" a="1"/>
  <c r="F804" i="17" a="1"/>
  <c r="F805" i="17" a="1"/>
  <c r="F806" i="17" a="1"/>
  <c r="F807" i="17" a="1"/>
  <c r="F808" i="17" a="1"/>
  <c r="F809" i="17" a="1"/>
  <c r="F810" i="17" a="1"/>
  <c r="F811" i="17" a="1"/>
  <c r="F812" i="17" a="1"/>
  <c r="F813" i="17" a="1"/>
  <c r="F814" i="17" a="1"/>
  <c r="F815" i="17" a="1"/>
  <c r="F816" i="17" a="1"/>
  <c r="F817" i="17" a="1"/>
  <c r="F818" i="17" a="1"/>
  <c r="F819" i="17" a="1"/>
  <c r="F820" i="17" a="1"/>
  <c r="F821" i="17" a="1"/>
  <c r="F822" i="17" a="1"/>
  <c r="F823" i="17" a="1"/>
  <c r="F824" i="17" a="1"/>
  <c r="F825" i="17" a="1"/>
  <c r="F826" i="17" a="1"/>
  <c r="F827" i="17" a="1"/>
  <c r="F828" i="17" a="1"/>
  <c r="F829" i="17" a="1"/>
  <c r="F830" i="17" a="1"/>
  <c r="F831" i="17" a="1"/>
  <c r="F832" i="17" a="1"/>
  <c r="F833" i="17" a="1"/>
  <c r="F834" i="17" a="1"/>
  <c r="F835" i="17" a="1"/>
  <c r="F836" i="17" a="1"/>
  <c r="F837" i="17" a="1"/>
  <c r="F838" i="17" a="1"/>
  <c r="F839" i="17" a="1"/>
  <c r="F840" i="17" a="1"/>
  <c r="F841" i="17" a="1"/>
  <c r="F842" i="17" a="1"/>
  <c r="F843" i="17" a="1"/>
  <c r="F844" i="17" a="1"/>
  <c r="F845" i="17" a="1"/>
  <c r="F846" i="17" a="1"/>
  <c r="F847" i="17" a="1"/>
  <c r="F848" i="17" a="1"/>
  <c r="F849" i="17" a="1"/>
  <c r="F850" i="17" a="1"/>
  <c r="F851" i="17" a="1"/>
  <c r="F852" i="17" a="1"/>
  <c r="F853" i="17" a="1"/>
  <c r="F854" i="17" a="1"/>
  <c r="F855" i="17" a="1"/>
  <c r="F856" i="17" a="1"/>
  <c r="F857" i="17" a="1"/>
  <c r="F858" i="17" a="1"/>
  <c r="F859" i="17" a="1"/>
  <c r="F860" i="17" a="1"/>
  <c r="F861" i="17" a="1"/>
  <c r="F862" i="17" a="1"/>
  <c r="F863" i="17" a="1"/>
  <c r="F864" i="17" a="1"/>
  <c r="F865" i="17" a="1"/>
  <c r="F866" i="17" a="1"/>
  <c r="F867" i="17" a="1"/>
  <c r="F868" i="17" a="1"/>
  <c r="F869" i="17" a="1"/>
  <c r="F870" i="17" a="1"/>
  <c r="F871" i="17" a="1"/>
  <c r="F872" i="17" a="1"/>
  <c r="F873" i="17" a="1"/>
  <c r="F874" i="17" a="1"/>
  <c r="F875" i="17" a="1"/>
  <c r="F876" i="17" a="1"/>
  <c r="F877" i="17" a="1"/>
  <c r="F878" i="17" a="1"/>
  <c r="F879" i="17" a="1"/>
  <c r="F880" i="17" a="1"/>
  <c r="F881" i="17" a="1"/>
  <c r="F882" i="17" a="1"/>
  <c r="F883" i="17" a="1"/>
  <c r="F884" i="17" a="1"/>
  <c r="F885" i="17" a="1"/>
  <c r="F886" i="17" a="1"/>
  <c r="F887" i="17" a="1"/>
  <c r="F888" i="17" a="1"/>
  <c r="F889" i="17" a="1"/>
  <c r="F890" i="17" a="1"/>
  <c r="F891" i="17" a="1"/>
  <c r="F892" i="17" a="1"/>
  <c r="F893" i="17" a="1"/>
  <c r="F894" i="17" a="1"/>
  <c r="F895" i="17" a="1"/>
  <c r="F896" i="17" a="1"/>
  <c r="F897" i="17" a="1"/>
  <c r="F898" i="17" a="1"/>
  <c r="F899" i="17" a="1"/>
  <c r="F900" i="17" a="1"/>
  <c r="F901" i="17" a="1"/>
  <c r="F902" i="17" a="1"/>
  <c r="F903" i="17" a="1"/>
  <c r="F904" i="17" a="1"/>
  <c r="F905" i="17" a="1"/>
  <c r="F906" i="17" a="1"/>
  <c r="F907" i="17" a="1"/>
  <c r="F908" i="17" a="1"/>
  <c r="F909" i="17" a="1"/>
  <c r="F910" i="17" a="1"/>
  <c r="F911" i="17" a="1"/>
  <c r="F912" i="17" a="1"/>
  <c r="F913" i="17" a="1"/>
  <c r="F914" i="17" a="1"/>
  <c r="F915" i="17" a="1"/>
  <c r="F916" i="17" a="1"/>
  <c r="F917" i="17" a="1"/>
  <c r="F918" i="17" a="1"/>
  <c r="F919" i="17" a="1"/>
  <c r="F920" i="17" a="1"/>
  <c r="F921" i="17" a="1"/>
  <c r="F922" i="17" a="1"/>
  <c r="F923" i="17" a="1"/>
  <c r="F924" i="17" a="1"/>
  <c r="F925" i="17" a="1"/>
  <c r="F926" i="17" a="1"/>
  <c r="F927" i="17" a="1"/>
  <c r="F928" i="17" a="1"/>
  <c r="F929" i="17" a="1"/>
  <c r="F930" i="17" a="1"/>
  <c r="F931" i="17" a="1"/>
  <c r="F932" i="17" a="1"/>
  <c r="F933" i="17" a="1"/>
  <c r="F934" i="17" a="1"/>
  <c r="F935" i="17" a="1"/>
  <c r="F936" i="17" a="1"/>
  <c r="F937" i="17" a="1"/>
  <c r="F938" i="17" a="1"/>
  <c r="F939" i="17" a="1"/>
  <c r="F940" i="17" a="1"/>
  <c r="F941" i="17" a="1"/>
  <c r="F942" i="17" a="1"/>
  <c r="F943" i="17" a="1"/>
  <c r="F944" i="17" a="1"/>
  <c r="F945" i="17" a="1"/>
  <c r="F946" i="17" a="1"/>
  <c r="F947" i="17" a="1"/>
  <c r="F948" i="17" a="1"/>
  <c r="F949" i="17" a="1"/>
  <c r="F950" i="17" a="1"/>
  <c r="F951" i="17" a="1"/>
  <c r="F952" i="17" a="1"/>
  <c r="F953" i="17" a="1"/>
  <c r="F954" i="17" a="1"/>
  <c r="F955" i="17" a="1"/>
  <c r="F956" i="17" a="1"/>
  <c r="F957" i="17" a="1"/>
  <c r="F958" i="17" a="1"/>
  <c r="F959" i="17" a="1"/>
  <c r="F960" i="17" a="1"/>
  <c r="F961" i="17" a="1"/>
  <c r="F962" i="17" a="1"/>
  <c r="F963" i="17" a="1"/>
  <c r="F964" i="17" a="1"/>
  <c r="F965" i="17" a="1"/>
  <c r="F966" i="17" a="1"/>
  <c r="F967" i="17" a="1"/>
  <c r="F968" i="17" a="1"/>
  <c r="F969" i="17" a="1"/>
  <c r="F970" i="17" a="1"/>
  <c r="F971" i="17" a="1"/>
  <c r="F972" i="17" a="1"/>
  <c r="F973" i="17" a="1"/>
  <c r="F974" i="17" a="1"/>
  <c r="F975" i="17" a="1"/>
  <c r="F976" i="17" a="1"/>
  <c r="F977" i="17" a="1"/>
  <c r="F978" i="17" a="1"/>
  <c r="F979" i="17" a="1"/>
  <c r="F980" i="17" a="1"/>
  <c r="F981" i="17" a="1"/>
  <c r="F982" i="17" a="1"/>
  <c r="F983" i="17" a="1"/>
  <c r="F984" i="17" a="1"/>
  <c r="F985" i="17" a="1"/>
  <c r="F986" i="17" a="1"/>
  <c r="F987" i="17" a="1"/>
  <c r="F988" i="17" a="1"/>
  <c r="F989" i="17" a="1"/>
  <c r="F990" i="17" a="1"/>
  <c r="F991" i="17" a="1"/>
  <c r="F992" i="17" a="1"/>
  <c r="F993" i="17" a="1"/>
  <c r="F994" i="17" a="1"/>
  <c r="F995" i="17" a="1"/>
  <c r="F996" i="17" a="1"/>
  <c r="F997" i="17" a="1"/>
  <c r="F998" i="17" a="1"/>
  <c r="F999" i="17" a="1"/>
  <c r="F1000" i="17" a="1"/>
  <c r="F1001" i="17" a="1"/>
  <c r="H2" i="17" a="1"/>
  <c r="H3" i="17" a="1"/>
  <c r="H4" i="17" a="1"/>
  <c r="H5" i="17" a="1"/>
  <c r="H6" i="17" a="1"/>
  <c r="H7" i="17" a="1"/>
  <c r="H8" i="17" a="1"/>
  <c r="H9" i="17" a="1"/>
  <c r="H10" i="17" a="1"/>
  <c r="H11" i="17" a="1"/>
  <c r="H12" i="17" a="1"/>
  <c r="H13" i="17" a="1"/>
  <c r="H14" i="17" a="1"/>
  <c r="H15" i="17" a="1"/>
  <c r="H16" i="17" a="1"/>
  <c r="H17" i="17" a="1"/>
  <c r="H18" i="17" a="1"/>
  <c r="H19" i="17" a="1"/>
  <c r="H20" i="17" a="1"/>
  <c r="H21" i="17" a="1"/>
  <c r="H22" i="17" a="1"/>
  <c r="H23" i="17" a="1"/>
  <c r="H24" i="17" a="1"/>
  <c r="H25" i="17" a="1"/>
  <c r="H26" i="17" a="1"/>
  <c r="H27" i="17" a="1"/>
  <c r="H28" i="17" a="1"/>
  <c r="H29" i="17" a="1"/>
  <c r="H30" i="17" a="1"/>
  <c r="H31" i="17" a="1"/>
  <c r="H32" i="17" a="1"/>
  <c r="H33" i="17" a="1"/>
  <c r="H34" i="17" a="1"/>
  <c r="H35" i="17" a="1"/>
  <c r="H36" i="17" a="1"/>
  <c r="H37" i="17" a="1"/>
  <c r="H38" i="17" a="1"/>
  <c r="H39" i="17" a="1"/>
  <c r="H40" i="17" a="1"/>
  <c r="H41" i="17" a="1"/>
  <c r="H42" i="17" a="1"/>
  <c r="H43" i="17" a="1"/>
  <c r="H44" i="17" a="1"/>
  <c r="H45" i="17" a="1"/>
  <c r="H46" i="17" a="1"/>
  <c r="H47" i="17" a="1"/>
  <c r="H48" i="17" a="1"/>
  <c r="H49" i="17" a="1"/>
  <c r="H50" i="17" a="1"/>
  <c r="H51" i="17" a="1"/>
  <c r="H52" i="17" a="1"/>
  <c r="H53" i="17" a="1"/>
  <c r="H54" i="17" a="1"/>
  <c r="H55" i="17" a="1"/>
  <c r="H56" i="17" a="1"/>
  <c r="H57" i="17" a="1"/>
  <c r="H58" i="17" a="1"/>
  <c r="H59" i="17" a="1"/>
  <c r="H60" i="17" a="1"/>
  <c r="H61" i="17" a="1"/>
  <c r="H62" i="17" a="1"/>
  <c r="H63" i="17" a="1"/>
  <c r="H64" i="17" a="1"/>
  <c r="H65" i="17" a="1"/>
  <c r="H66" i="17" a="1"/>
  <c r="H67" i="17" a="1"/>
  <c r="H68" i="17" a="1"/>
  <c r="H69" i="17" a="1"/>
  <c r="H70" i="17" a="1"/>
  <c r="H71" i="17" a="1"/>
  <c r="H72" i="17" a="1"/>
  <c r="H73" i="17" a="1"/>
  <c r="H74" i="17" a="1"/>
  <c r="H75" i="17" a="1"/>
  <c r="H76" i="17" a="1"/>
  <c r="H77" i="17" a="1"/>
  <c r="H78" i="17" a="1"/>
  <c r="H79" i="17" a="1"/>
  <c r="H80" i="17" a="1"/>
  <c r="H81" i="17" a="1"/>
  <c r="H82" i="17" a="1"/>
  <c r="H83" i="17" a="1"/>
  <c r="H84" i="17" a="1"/>
  <c r="H85" i="17" a="1"/>
  <c r="H86" i="17" a="1"/>
  <c r="H87" i="17" a="1"/>
  <c r="H88" i="17" a="1"/>
  <c r="H89" i="17" a="1"/>
  <c r="H90" i="17" a="1"/>
  <c r="H91" i="17" a="1"/>
  <c r="H92" i="17" a="1"/>
  <c r="H93" i="17" a="1"/>
  <c r="H94" i="17" a="1"/>
  <c r="H95" i="17" a="1"/>
  <c r="H96" i="17" a="1"/>
  <c r="H97" i="17" a="1"/>
  <c r="H98" i="17" a="1"/>
  <c r="H99" i="17" a="1"/>
  <c r="H100" i="17" a="1"/>
  <c r="H101" i="17" a="1"/>
  <c r="H102" i="17" a="1"/>
  <c r="H103" i="17" a="1"/>
  <c r="H104" i="17" a="1"/>
  <c r="H105" i="17" a="1"/>
  <c r="H106" i="17" a="1"/>
  <c r="H107" i="17" a="1"/>
  <c r="H108" i="17" a="1"/>
  <c r="H109" i="17" a="1"/>
  <c r="H110" i="17" a="1"/>
  <c r="H111" i="17" a="1"/>
  <c r="H112" i="17" a="1"/>
  <c r="H113" i="17" a="1"/>
  <c r="H114" i="17" a="1"/>
  <c r="H115" i="17" a="1"/>
  <c r="H116" i="17" a="1"/>
  <c r="H117" i="17" a="1"/>
  <c r="H118" i="17" a="1"/>
  <c r="H119" i="17" a="1"/>
  <c r="H120" i="17" a="1"/>
  <c r="H121" i="17" a="1"/>
  <c r="H122" i="17" a="1"/>
  <c r="H123" i="17" a="1"/>
  <c r="H124" i="17" a="1"/>
  <c r="H125" i="17" a="1"/>
  <c r="H126" i="17" a="1"/>
  <c r="H127" i="17" a="1"/>
  <c r="H128" i="17" a="1"/>
  <c r="H129" i="17" a="1"/>
  <c r="H130" i="17" a="1"/>
  <c r="H131" i="17" a="1"/>
  <c r="H132" i="17" a="1"/>
  <c r="H133" i="17" a="1"/>
  <c r="H134" i="17" a="1"/>
  <c r="H135" i="17" a="1"/>
  <c r="H136" i="17" a="1"/>
  <c r="H137" i="17" a="1"/>
  <c r="H138" i="17" a="1"/>
  <c r="H139" i="17" a="1"/>
  <c r="H140" i="17" a="1"/>
  <c r="H141" i="17" a="1"/>
  <c r="H142" i="17" a="1"/>
  <c r="H143" i="17" a="1"/>
  <c r="H144" i="17" a="1"/>
  <c r="H145" i="17" a="1"/>
  <c r="H146" i="17" a="1"/>
  <c r="H147" i="17" a="1"/>
  <c r="H148" i="17" a="1"/>
  <c r="H149" i="17" a="1"/>
  <c r="H150" i="17" a="1"/>
  <c r="H151" i="17" a="1"/>
  <c r="H152" i="17" a="1"/>
  <c r="H153" i="17" a="1"/>
  <c r="H154" i="17" a="1"/>
  <c r="H155" i="17" a="1"/>
  <c r="H156" i="17" a="1"/>
  <c r="H157" i="17" a="1"/>
  <c r="H158" i="17" a="1"/>
  <c r="H159" i="17" a="1"/>
  <c r="H160" i="17" a="1"/>
  <c r="H161" i="17" a="1"/>
  <c r="H162" i="17" a="1"/>
  <c r="H163" i="17" a="1"/>
  <c r="H164" i="17" a="1"/>
  <c r="H165" i="17" a="1"/>
  <c r="H166" i="17" a="1"/>
  <c r="H167" i="17" a="1"/>
  <c r="H168" i="17" a="1"/>
  <c r="H169" i="17" a="1"/>
  <c r="H170" i="17" a="1"/>
  <c r="H171" i="17" a="1"/>
  <c r="H172" i="17" a="1"/>
  <c r="H173" i="17" a="1"/>
  <c r="H174" i="17" a="1"/>
  <c r="H175" i="17" a="1"/>
  <c r="H176" i="17" a="1"/>
  <c r="H177" i="17" a="1"/>
  <c r="H178" i="17" a="1"/>
  <c r="H179" i="17" a="1"/>
  <c r="H180" i="17" a="1"/>
  <c r="H181" i="17" a="1"/>
  <c r="H182" i="17" a="1"/>
  <c r="H183" i="17" a="1"/>
  <c r="H184" i="17" a="1"/>
  <c r="H185" i="17" a="1"/>
  <c r="H186" i="17" a="1"/>
  <c r="H187" i="17" a="1"/>
  <c r="H188" i="17" a="1"/>
  <c r="H189" i="17" a="1"/>
  <c r="H190" i="17" a="1"/>
  <c r="H191" i="17" a="1"/>
  <c r="H192" i="17" a="1"/>
  <c r="H193" i="17" a="1"/>
  <c r="H194" i="17" a="1"/>
  <c r="H195" i="17" a="1"/>
  <c r="H196" i="17" a="1"/>
  <c r="H197" i="17" a="1"/>
  <c r="H198" i="17" a="1"/>
  <c r="H199" i="17" a="1"/>
  <c r="H200" i="17" a="1"/>
  <c r="H201" i="17" a="1"/>
  <c r="H202" i="17" a="1"/>
  <c r="H203" i="17" a="1"/>
  <c r="H204" i="17" a="1"/>
  <c r="H205" i="17" a="1"/>
  <c r="H206" i="17" a="1"/>
  <c r="H207" i="17" a="1"/>
  <c r="H208" i="17" a="1"/>
  <c r="H209" i="17" a="1"/>
  <c r="H210" i="17" a="1"/>
  <c r="H211" i="17" a="1"/>
  <c r="H212" i="17" a="1"/>
  <c r="H213" i="17" a="1"/>
  <c r="H214" i="17" a="1"/>
  <c r="H215" i="17" a="1"/>
  <c r="H216" i="17" a="1"/>
  <c r="H217" i="17" a="1"/>
  <c r="H218" i="17" a="1"/>
  <c r="H219" i="17" a="1"/>
  <c r="H220" i="17" a="1"/>
  <c r="H221" i="17" a="1"/>
  <c r="H222" i="17" a="1"/>
  <c r="H223" i="17" a="1"/>
  <c r="H224" i="17" a="1"/>
  <c r="H225" i="17" a="1"/>
  <c r="H226" i="17" a="1"/>
  <c r="H227" i="17" a="1"/>
  <c r="H228" i="17" a="1"/>
  <c r="H229" i="17" a="1"/>
  <c r="H230" i="17" a="1"/>
  <c r="H231" i="17" a="1"/>
  <c r="H232" i="17" a="1"/>
  <c r="H233" i="17" a="1"/>
  <c r="H234" i="17" a="1"/>
  <c r="H235" i="17" a="1"/>
  <c r="H236" i="17" a="1"/>
  <c r="H237" i="17" a="1"/>
  <c r="H238" i="17" a="1"/>
  <c r="H239" i="17" a="1"/>
  <c r="H240" i="17" a="1"/>
  <c r="H241" i="17" a="1"/>
  <c r="H242" i="17" a="1"/>
  <c r="H243" i="17" a="1"/>
  <c r="H244" i="17" a="1"/>
  <c r="H245" i="17" a="1"/>
  <c r="H246" i="17" a="1"/>
  <c r="H247" i="17" a="1"/>
  <c r="H248" i="17" a="1"/>
  <c r="H249" i="17" a="1"/>
  <c r="H250" i="17" a="1"/>
  <c r="H251" i="17" a="1"/>
  <c r="H252" i="17" a="1"/>
  <c r="H253" i="17" a="1"/>
  <c r="H254" i="17" a="1"/>
  <c r="H255" i="17" a="1"/>
  <c r="H256" i="17" a="1"/>
  <c r="H257" i="17" a="1"/>
  <c r="H258" i="17" a="1"/>
  <c r="H259" i="17" a="1"/>
  <c r="H260" i="17" a="1"/>
  <c r="H261" i="17" a="1"/>
  <c r="H262" i="17" a="1"/>
  <c r="H263" i="17" a="1"/>
  <c r="H264" i="17" a="1"/>
  <c r="H265" i="17" a="1"/>
  <c r="H266" i="17" a="1"/>
  <c r="H267" i="17" a="1"/>
  <c r="H268" i="17" a="1"/>
  <c r="H269" i="17" a="1"/>
  <c r="H270" i="17" a="1"/>
  <c r="H271" i="17" a="1"/>
  <c r="H272" i="17" a="1"/>
  <c r="H273" i="17" a="1"/>
  <c r="H274" i="17" a="1"/>
  <c r="H275" i="17" a="1"/>
  <c r="H276" i="17" a="1"/>
  <c r="H277" i="17" a="1"/>
  <c r="H278" i="17" a="1"/>
  <c r="H279" i="17" a="1"/>
  <c r="H280" i="17" a="1"/>
  <c r="H281" i="17" a="1"/>
  <c r="H282" i="17" a="1"/>
  <c r="H283" i="17" a="1"/>
  <c r="H284" i="17" a="1"/>
  <c r="H285" i="17" a="1"/>
  <c r="H286" i="17" a="1"/>
  <c r="H287" i="17" a="1"/>
  <c r="H288" i="17" a="1"/>
  <c r="H289" i="17" a="1"/>
  <c r="H290" i="17" a="1"/>
  <c r="H291" i="17" a="1"/>
  <c r="H292" i="17" a="1"/>
  <c r="H293" i="17" a="1"/>
  <c r="H294" i="17" a="1"/>
  <c r="H295" i="17" a="1"/>
  <c r="H296" i="17" a="1"/>
  <c r="H297" i="17" a="1"/>
  <c r="H298" i="17" a="1"/>
  <c r="H299" i="17" a="1"/>
  <c r="H300" i="17" a="1"/>
  <c r="H301" i="17" a="1"/>
  <c r="H302" i="17" a="1"/>
  <c r="H303" i="17" a="1"/>
  <c r="H304" i="17" a="1"/>
  <c r="H305" i="17" a="1"/>
  <c r="H306" i="17" a="1"/>
  <c r="H307" i="17" a="1"/>
  <c r="H308" i="17" a="1"/>
  <c r="H309" i="17" a="1"/>
  <c r="H310" i="17" a="1"/>
  <c r="H311" i="17" a="1"/>
  <c r="H312" i="17" a="1"/>
  <c r="H313" i="17" a="1"/>
  <c r="H314" i="17" a="1"/>
  <c r="H315" i="17" a="1"/>
  <c r="H316" i="17" a="1"/>
  <c r="H317" i="17" a="1"/>
  <c r="H318" i="17" a="1"/>
  <c r="H319" i="17" a="1"/>
  <c r="H320" i="17" a="1"/>
  <c r="H321" i="17" a="1"/>
  <c r="H322" i="17" a="1"/>
  <c r="H323" i="17" a="1"/>
  <c r="H324" i="17" a="1"/>
  <c r="H325" i="17" a="1"/>
  <c r="H326" i="17" a="1"/>
  <c r="H327" i="17" a="1"/>
  <c r="H328" i="17" a="1"/>
  <c r="H329" i="17" a="1"/>
  <c r="H330" i="17" a="1"/>
  <c r="H331" i="17" a="1"/>
  <c r="H332" i="17" a="1"/>
  <c r="H333" i="17" a="1"/>
  <c r="H334" i="17" a="1"/>
  <c r="H335" i="17" a="1"/>
  <c r="H336" i="17" a="1"/>
  <c r="H337" i="17" a="1"/>
  <c r="H338" i="17" a="1"/>
  <c r="H339" i="17" a="1"/>
  <c r="H340" i="17" a="1"/>
  <c r="H341" i="17" a="1"/>
  <c r="H342" i="17" a="1"/>
  <c r="H343" i="17" a="1"/>
  <c r="H344" i="17" a="1"/>
  <c r="H345" i="17" a="1"/>
  <c r="H346" i="17" a="1"/>
  <c r="H347" i="17" a="1"/>
  <c r="H348" i="17" a="1"/>
  <c r="H349" i="17" a="1"/>
  <c r="H350" i="17" a="1"/>
  <c r="H351" i="17" a="1"/>
  <c r="H352" i="17" a="1"/>
  <c r="H353" i="17" a="1"/>
  <c r="H354" i="17" a="1"/>
  <c r="H355" i="17" a="1"/>
  <c r="H356" i="17" a="1"/>
  <c r="H357" i="17" a="1"/>
  <c r="H358" i="17" a="1"/>
  <c r="H359" i="17" a="1"/>
  <c r="H360" i="17" a="1"/>
  <c r="H361" i="17" a="1"/>
  <c r="H362" i="17" a="1"/>
  <c r="H363" i="17" a="1"/>
  <c r="H364" i="17" a="1"/>
  <c r="H365" i="17" a="1"/>
  <c r="H366" i="17" a="1"/>
  <c r="H367" i="17" a="1"/>
  <c r="H368" i="17" a="1"/>
  <c r="H369" i="17" a="1"/>
  <c r="H370" i="17" a="1"/>
  <c r="H371" i="17" a="1"/>
  <c r="H372" i="17" a="1"/>
  <c r="H373" i="17" a="1"/>
  <c r="H374" i="17" a="1"/>
  <c r="H375" i="17" a="1"/>
  <c r="H376" i="17" a="1"/>
  <c r="H377" i="17" a="1"/>
  <c r="H378" i="17" a="1"/>
  <c r="H379" i="17" a="1"/>
  <c r="H380" i="17" a="1"/>
  <c r="H381" i="17" a="1"/>
  <c r="H382" i="17" a="1"/>
  <c r="H383" i="17" a="1"/>
  <c r="H384" i="17" a="1"/>
  <c r="H385" i="17" a="1"/>
  <c r="H386" i="17" a="1"/>
  <c r="H387" i="17" a="1"/>
  <c r="H388" i="17" a="1"/>
  <c r="H389" i="17" a="1"/>
  <c r="H390" i="17" a="1"/>
  <c r="H391" i="17" a="1"/>
  <c r="H392" i="17" a="1"/>
  <c r="H393" i="17" a="1"/>
  <c r="H394" i="17" a="1"/>
  <c r="H395" i="17" a="1"/>
  <c r="H396" i="17" a="1"/>
  <c r="H397" i="17" a="1"/>
  <c r="H398" i="17" a="1"/>
  <c r="H399" i="17" a="1"/>
  <c r="H400" i="17" a="1"/>
  <c r="H401" i="17" a="1"/>
  <c r="H402" i="17" a="1"/>
  <c r="H403" i="17" a="1"/>
  <c r="H404" i="17" a="1"/>
  <c r="H405" i="17" a="1"/>
  <c r="H406" i="17" a="1"/>
  <c r="H407" i="17" a="1"/>
  <c r="H408" i="17" a="1"/>
  <c r="H409" i="17" a="1"/>
  <c r="H410" i="17" a="1"/>
  <c r="H411" i="17" a="1"/>
  <c r="H412" i="17" a="1"/>
  <c r="H413" i="17" a="1"/>
  <c r="H414" i="17" a="1"/>
  <c r="H415" i="17" a="1"/>
  <c r="H416" i="17" a="1"/>
  <c r="H417" i="17" a="1"/>
  <c r="H418" i="17" a="1"/>
  <c r="H419" i="17" a="1"/>
  <c r="H420" i="17" a="1"/>
  <c r="H421" i="17" a="1"/>
  <c r="H422" i="17" a="1"/>
  <c r="H423" i="17" a="1"/>
  <c r="H424" i="17" a="1"/>
  <c r="H425" i="17" a="1"/>
  <c r="H426" i="17" a="1"/>
  <c r="H427" i="17" a="1"/>
  <c r="H428" i="17" a="1"/>
  <c r="H429" i="17" a="1"/>
  <c r="H430" i="17" a="1"/>
  <c r="H431" i="17" a="1"/>
  <c r="H432" i="17" a="1"/>
  <c r="H433" i="17" a="1"/>
  <c r="H434" i="17" a="1"/>
  <c r="H435" i="17" a="1"/>
  <c r="H436" i="17" a="1"/>
  <c r="H437" i="17" a="1"/>
  <c r="H438" i="17" a="1"/>
  <c r="H439" i="17" a="1"/>
  <c r="H440" i="17" a="1"/>
  <c r="H441" i="17" a="1"/>
  <c r="H442" i="17" a="1"/>
  <c r="H443" i="17" a="1"/>
  <c r="H444" i="17" a="1"/>
  <c r="H445" i="17" a="1"/>
  <c r="H446" i="17" a="1"/>
  <c r="H447" i="17" a="1"/>
  <c r="H448" i="17" a="1"/>
  <c r="H449" i="17" a="1"/>
  <c r="H450" i="17" a="1"/>
  <c r="H451" i="17" a="1"/>
  <c r="H452" i="17" a="1"/>
  <c r="H453" i="17" a="1"/>
  <c r="H454" i="17" a="1"/>
  <c r="H455" i="17" a="1"/>
  <c r="H456" i="17" a="1"/>
  <c r="H457" i="17" a="1"/>
  <c r="H458" i="17" a="1"/>
  <c r="H459" i="17" a="1"/>
  <c r="H460" i="17" a="1"/>
  <c r="H461" i="17" a="1"/>
  <c r="H462" i="17" a="1"/>
  <c r="H463" i="17" a="1"/>
  <c r="H464" i="17" a="1"/>
  <c r="H465" i="17" a="1"/>
  <c r="H466" i="17" a="1"/>
  <c r="H467" i="17" a="1"/>
  <c r="H468" i="17" a="1"/>
  <c r="H469" i="17" a="1"/>
  <c r="H470" i="17" a="1"/>
  <c r="H471" i="17" a="1"/>
  <c r="H472" i="17" a="1"/>
  <c r="H473" i="17" a="1"/>
  <c r="H474" i="17" a="1"/>
  <c r="H475" i="17" a="1"/>
  <c r="H476" i="17" a="1"/>
  <c r="H477" i="17" a="1"/>
  <c r="H478" i="17" a="1"/>
  <c r="H479" i="17" a="1"/>
  <c r="H480" i="17" a="1"/>
  <c r="H481" i="17" a="1"/>
  <c r="H482" i="17" a="1"/>
  <c r="H483" i="17" a="1"/>
  <c r="H484" i="17" a="1"/>
  <c r="H485" i="17" a="1"/>
  <c r="H486" i="17" a="1"/>
  <c r="H487" i="17" a="1"/>
  <c r="H488" i="17" a="1"/>
  <c r="H489" i="17" a="1"/>
  <c r="H490" i="17" a="1"/>
  <c r="H491" i="17" a="1"/>
  <c r="H492" i="17" a="1"/>
  <c r="H493" i="17" a="1"/>
  <c r="H494" i="17" a="1"/>
  <c r="H495" i="17" a="1"/>
  <c r="H496" i="17" a="1"/>
  <c r="H497" i="17" a="1"/>
  <c r="H498" i="17" a="1"/>
  <c r="H499" i="17" a="1"/>
  <c r="H500" i="17" a="1"/>
  <c r="H501" i="17" a="1"/>
  <c r="H502" i="17" a="1"/>
  <c r="H503" i="17" a="1"/>
  <c r="H504" i="17" a="1"/>
  <c r="H505" i="17" a="1"/>
  <c r="H506" i="17" a="1"/>
  <c r="H507" i="17" a="1"/>
  <c r="H508" i="17" a="1"/>
  <c r="H509" i="17" a="1"/>
  <c r="H510" i="17" a="1"/>
  <c r="H511" i="17" a="1"/>
  <c r="H512" i="17" a="1"/>
  <c r="H513" i="17" a="1"/>
  <c r="H514" i="17" a="1"/>
  <c r="H515" i="17" a="1"/>
  <c r="H516" i="17" a="1"/>
  <c r="H517" i="17" a="1"/>
  <c r="H518" i="17" a="1"/>
  <c r="H519" i="17" a="1"/>
  <c r="H520" i="17" a="1"/>
  <c r="H521" i="17" a="1"/>
  <c r="H522" i="17" a="1"/>
  <c r="H523" i="17" a="1"/>
  <c r="H524" i="17" a="1"/>
  <c r="H525" i="17" a="1"/>
  <c r="H526" i="17" a="1"/>
  <c r="H527" i="17" a="1"/>
  <c r="H528" i="17" a="1"/>
  <c r="H529" i="17" a="1"/>
  <c r="H530" i="17" a="1"/>
  <c r="H531" i="17" a="1"/>
  <c r="H532" i="17" a="1"/>
  <c r="H533" i="17" a="1"/>
  <c r="H534" i="17" a="1"/>
  <c r="H535" i="17" a="1"/>
  <c r="H536" i="17" a="1"/>
  <c r="H537" i="17" a="1"/>
  <c r="H538" i="17" a="1"/>
  <c r="H539" i="17" a="1"/>
  <c r="H540" i="17" a="1"/>
  <c r="H541" i="17" a="1"/>
  <c r="H542" i="17" a="1"/>
  <c r="H543" i="17" a="1"/>
  <c r="H544" i="17" a="1"/>
  <c r="H545" i="17" a="1"/>
  <c r="H546" i="17" a="1"/>
  <c r="H547" i="17" a="1"/>
  <c r="H548" i="17" a="1"/>
  <c r="H549" i="17" a="1"/>
  <c r="H550" i="17" a="1"/>
  <c r="H551" i="17" a="1"/>
  <c r="H552" i="17" a="1"/>
  <c r="H553" i="17" a="1"/>
  <c r="H554" i="17" a="1"/>
  <c r="H555" i="17" a="1"/>
  <c r="H556" i="17" a="1"/>
  <c r="H557" i="17" a="1"/>
  <c r="H558" i="17" a="1"/>
  <c r="H559" i="17" a="1"/>
  <c r="H560" i="17" a="1"/>
  <c r="H561" i="17" a="1"/>
  <c r="H562" i="17" a="1"/>
  <c r="H563" i="17" a="1"/>
  <c r="H564" i="17" a="1"/>
  <c r="H565" i="17" a="1"/>
  <c r="H566" i="17" a="1"/>
  <c r="H567" i="17" a="1"/>
  <c r="H568" i="17" a="1"/>
  <c r="H569" i="17" a="1"/>
  <c r="H570" i="17" a="1"/>
  <c r="H571" i="17" a="1"/>
  <c r="H572" i="17" a="1"/>
  <c r="H573" i="17" a="1"/>
  <c r="H574" i="17" a="1"/>
  <c r="H575" i="17" a="1"/>
  <c r="H576" i="17" a="1"/>
  <c r="H577" i="17" a="1"/>
  <c r="H578" i="17" a="1"/>
  <c r="H579" i="17" a="1"/>
  <c r="H580" i="17" a="1"/>
  <c r="H581" i="17" a="1"/>
  <c r="H582" i="17" a="1"/>
  <c r="H583" i="17" a="1"/>
  <c r="H584" i="17" a="1"/>
  <c r="H585" i="17" a="1"/>
  <c r="H586" i="17" a="1"/>
  <c r="H587" i="17" a="1"/>
  <c r="H588" i="17" a="1"/>
  <c r="H589" i="17" a="1"/>
  <c r="H590" i="17" a="1"/>
  <c r="H591" i="17" a="1"/>
  <c r="H592" i="17" a="1"/>
  <c r="H593" i="17" a="1"/>
  <c r="H594" i="17" a="1"/>
  <c r="H595" i="17" a="1"/>
  <c r="H596" i="17" a="1"/>
  <c r="H597" i="17" a="1"/>
  <c r="H598" i="17" a="1"/>
  <c r="H599" i="17" a="1"/>
  <c r="H600" i="17" a="1"/>
  <c r="H601" i="17" a="1"/>
  <c r="H602" i="17" a="1"/>
  <c r="H603" i="17" a="1"/>
  <c r="H604" i="17" a="1"/>
  <c r="H605" i="17" a="1"/>
  <c r="H606" i="17" a="1"/>
  <c r="H607" i="17" a="1"/>
  <c r="H608" i="17" a="1"/>
  <c r="H609" i="17" a="1"/>
  <c r="H610" i="17" a="1"/>
  <c r="H611" i="17" a="1"/>
  <c r="H612" i="17" a="1"/>
  <c r="H613" i="17" a="1"/>
  <c r="H614" i="17" a="1"/>
  <c r="H615" i="17" a="1"/>
  <c r="H616" i="17" a="1"/>
  <c r="H617" i="17" a="1"/>
  <c r="H618" i="17" a="1"/>
  <c r="H619" i="17" a="1"/>
  <c r="H620" i="17" a="1"/>
  <c r="H621" i="17" a="1"/>
  <c r="H622" i="17" a="1"/>
  <c r="H623" i="17" a="1"/>
  <c r="H624" i="17" a="1"/>
  <c r="H625" i="17" a="1"/>
  <c r="H626" i="17" a="1"/>
  <c r="H627" i="17" a="1"/>
  <c r="H628" i="17" a="1"/>
  <c r="H629" i="17" a="1"/>
  <c r="H630" i="17" a="1"/>
  <c r="H631" i="17" a="1"/>
  <c r="H632" i="17" a="1"/>
  <c r="H633" i="17" a="1"/>
  <c r="H634" i="17" a="1"/>
  <c r="H635" i="17" a="1"/>
  <c r="H636" i="17" a="1"/>
  <c r="H637" i="17" a="1"/>
  <c r="H638" i="17" a="1"/>
  <c r="H639" i="17" a="1"/>
  <c r="H640" i="17" a="1"/>
  <c r="H641" i="17" a="1"/>
  <c r="H642" i="17" a="1"/>
  <c r="H643" i="17" a="1"/>
  <c r="H644" i="17" a="1"/>
  <c r="H645" i="17" a="1"/>
  <c r="H646" i="17" a="1"/>
  <c r="H647" i="17" a="1"/>
  <c r="H648" i="17" a="1"/>
  <c r="H649" i="17" a="1"/>
  <c r="H650" i="17" a="1"/>
  <c r="H651" i="17" a="1"/>
  <c r="H652" i="17" a="1"/>
  <c r="H653" i="17" a="1"/>
  <c r="H654" i="17" a="1"/>
  <c r="H655" i="17" a="1"/>
  <c r="H656" i="17" a="1"/>
  <c r="H657" i="17" a="1"/>
  <c r="H658" i="17" a="1"/>
  <c r="H659" i="17" a="1"/>
  <c r="H660" i="17" a="1"/>
  <c r="H661" i="17" a="1"/>
  <c r="H662" i="17" a="1"/>
  <c r="H663" i="17" a="1"/>
  <c r="H664" i="17" a="1"/>
  <c r="H665" i="17" a="1"/>
  <c r="H666" i="17" a="1"/>
  <c r="H667" i="17" a="1"/>
  <c r="H668" i="17" a="1"/>
  <c r="H669" i="17" a="1"/>
  <c r="H670" i="17" a="1"/>
  <c r="H671" i="17" a="1"/>
  <c r="H672" i="17" a="1"/>
  <c r="H673" i="17" a="1"/>
  <c r="H674" i="17" a="1"/>
  <c r="H675" i="17" a="1"/>
  <c r="H676" i="17" a="1"/>
  <c r="H677" i="17" a="1"/>
  <c r="H678" i="17" a="1"/>
  <c r="H679" i="17" a="1"/>
  <c r="H680" i="17" a="1"/>
  <c r="H681" i="17" a="1"/>
  <c r="H682" i="17" a="1"/>
  <c r="H683" i="17" a="1"/>
  <c r="H684" i="17" a="1"/>
  <c r="H685" i="17" a="1"/>
  <c r="H686" i="17" a="1"/>
  <c r="H687" i="17" a="1"/>
  <c r="H688" i="17" a="1"/>
  <c r="H689" i="17" a="1"/>
  <c r="H690" i="17" a="1"/>
  <c r="H691" i="17" a="1"/>
  <c r="H692" i="17" a="1"/>
  <c r="H693" i="17" a="1"/>
  <c r="H694" i="17" a="1"/>
  <c r="H695" i="17" a="1"/>
  <c r="H696" i="17" a="1"/>
  <c r="H697" i="17" a="1"/>
  <c r="H698" i="17" a="1"/>
  <c r="H699" i="17" a="1"/>
  <c r="H700" i="17" a="1"/>
  <c r="H701" i="17" a="1"/>
  <c r="H702" i="17" a="1"/>
  <c r="H703" i="17" a="1"/>
  <c r="H704" i="17" a="1"/>
  <c r="H705" i="17" a="1"/>
  <c r="H706" i="17" a="1"/>
  <c r="H707" i="17" a="1"/>
  <c r="H708" i="17" a="1"/>
  <c r="H709" i="17" a="1"/>
  <c r="H710" i="17" a="1"/>
  <c r="H711" i="17" a="1"/>
  <c r="H712" i="17" a="1"/>
  <c r="H713" i="17" a="1"/>
  <c r="H714" i="17" a="1"/>
  <c r="H715" i="17" a="1"/>
  <c r="H716" i="17" a="1"/>
  <c r="H717" i="17" a="1"/>
  <c r="H718" i="17" a="1"/>
  <c r="H719" i="17" a="1"/>
  <c r="H720" i="17" a="1"/>
  <c r="H721" i="17" a="1"/>
  <c r="H722" i="17" a="1"/>
  <c r="H723" i="17" a="1"/>
  <c r="H724" i="17" a="1"/>
  <c r="H725" i="17" a="1"/>
  <c r="H726" i="17" a="1"/>
  <c r="H727" i="17" a="1"/>
  <c r="H728" i="17" a="1"/>
  <c r="H729" i="17" a="1"/>
  <c r="H730" i="17" a="1"/>
  <c r="H731" i="17" a="1"/>
  <c r="H732" i="17" a="1"/>
  <c r="H733" i="17" a="1"/>
  <c r="H734" i="17" a="1"/>
  <c r="H735" i="17" a="1"/>
  <c r="H736" i="17" a="1"/>
  <c r="H737" i="17" a="1"/>
  <c r="H738" i="17" a="1"/>
  <c r="H739" i="17" a="1"/>
  <c r="H740" i="17" a="1"/>
  <c r="H741" i="17" a="1"/>
  <c r="H742" i="17" a="1"/>
  <c r="H743" i="17" a="1"/>
  <c r="H744" i="17" a="1"/>
  <c r="H745" i="17" a="1"/>
  <c r="H746" i="17" a="1"/>
  <c r="H747" i="17" a="1"/>
  <c r="H748" i="17" a="1"/>
  <c r="H749" i="17" a="1"/>
  <c r="H750" i="17" a="1"/>
  <c r="H751" i="17" a="1"/>
  <c r="H752" i="17" a="1"/>
  <c r="H753" i="17" a="1"/>
  <c r="H754" i="17" a="1"/>
  <c r="H755" i="17" a="1"/>
  <c r="H756" i="17" a="1"/>
  <c r="H757" i="17" a="1"/>
  <c r="H758" i="17" a="1"/>
  <c r="H759" i="17" a="1"/>
  <c r="H760" i="17" a="1"/>
  <c r="H761" i="17" a="1"/>
  <c r="H762" i="17" a="1"/>
  <c r="H763" i="17" a="1"/>
  <c r="H764" i="17" a="1"/>
  <c r="H765" i="17" a="1"/>
  <c r="H766" i="17" a="1"/>
  <c r="H767" i="17" a="1"/>
  <c r="H768" i="17" a="1"/>
  <c r="H769" i="17" a="1"/>
  <c r="H770" i="17" a="1"/>
  <c r="H771" i="17" a="1"/>
  <c r="H772" i="17" a="1"/>
  <c r="H773" i="17" a="1"/>
  <c r="H774" i="17" a="1"/>
  <c r="H775" i="17" a="1"/>
  <c r="H776" i="17" a="1"/>
  <c r="H777" i="17" a="1"/>
  <c r="H778" i="17" a="1"/>
  <c r="H779" i="17" a="1"/>
  <c r="H780" i="17" a="1"/>
  <c r="H781" i="17" a="1"/>
  <c r="H782" i="17" a="1"/>
  <c r="H783" i="17" a="1"/>
  <c r="H784" i="17" a="1"/>
  <c r="H785" i="17" a="1"/>
  <c r="H786" i="17" a="1"/>
  <c r="H787" i="17" a="1"/>
  <c r="H788" i="17" a="1"/>
  <c r="H789" i="17" a="1"/>
  <c r="H790" i="17" a="1"/>
  <c r="H791" i="17" a="1"/>
  <c r="H792" i="17" a="1"/>
  <c r="H793" i="17" a="1"/>
  <c r="H794" i="17" a="1"/>
  <c r="H795" i="17" a="1"/>
  <c r="H796" i="17" a="1"/>
  <c r="H797" i="17" a="1"/>
  <c r="H798" i="17" a="1"/>
  <c r="H799" i="17" a="1"/>
  <c r="H800" i="17" a="1"/>
  <c r="H801" i="17" a="1"/>
  <c r="H802" i="17" a="1"/>
  <c r="H803" i="17" a="1"/>
  <c r="H804" i="17" a="1"/>
  <c r="H805" i="17" a="1"/>
  <c r="H806" i="17" a="1"/>
  <c r="H807" i="17" a="1"/>
  <c r="H808" i="17" a="1"/>
  <c r="H809" i="17" a="1"/>
  <c r="H810" i="17" a="1"/>
  <c r="H811" i="17" a="1"/>
  <c r="H812" i="17" a="1"/>
  <c r="H813" i="17" a="1"/>
  <c r="H814" i="17" a="1"/>
  <c r="H815" i="17" a="1"/>
  <c r="H816" i="17" a="1"/>
  <c r="H817" i="17" a="1"/>
  <c r="H818" i="17" a="1"/>
  <c r="H819" i="17" a="1"/>
  <c r="H820" i="17" a="1"/>
  <c r="H821" i="17" a="1"/>
  <c r="H822" i="17" a="1"/>
  <c r="H823" i="17" a="1"/>
  <c r="H824" i="17" a="1"/>
  <c r="H825" i="17" a="1"/>
  <c r="H826" i="17" a="1"/>
  <c r="H827" i="17" a="1"/>
  <c r="H828" i="17" a="1"/>
  <c r="H829" i="17" a="1"/>
  <c r="H830" i="17" a="1"/>
  <c r="H831" i="17" a="1"/>
  <c r="H832" i="17" a="1"/>
  <c r="H833" i="17" a="1"/>
  <c r="H834" i="17" a="1"/>
  <c r="H835" i="17" a="1"/>
  <c r="H836" i="17" a="1"/>
  <c r="H837" i="17" a="1"/>
  <c r="H838" i="17" a="1"/>
  <c r="H839" i="17" a="1"/>
  <c r="H840" i="17" a="1"/>
  <c r="H841" i="17" a="1"/>
  <c r="H842" i="17" a="1"/>
  <c r="H843" i="17" a="1"/>
  <c r="H844" i="17" a="1"/>
  <c r="H845" i="17" a="1"/>
  <c r="H846" i="17" a="1"/>
  <c r="H847" i="17" a="1"/>
  <c r="H848" i="17" a="1"/>
  <c r="H849" i="17" a="1"/>
  <c r="H850" i="17" a="1"/>
  <c r="H851" i="17" a="1"/>
  <c r="H852" i="17" a="1"/>
  <c r="H853" i="17" a="1"/>
  <c r="H854" i="17" a="1"/>
  <c r="H855" i="17" a="1"/>
  <c r="H856" i="17" a="1"/>
  <c r="H857" i="17" a="1"/>
  <c r="H858" i="17" a="1"/>
  <c r="H859" i="17" a="1"/>
  <c r="H860" i="17" a="1"/>
  <c r="H861" i="17" a="1"/>
  <c r="H862" i="17" a="1"/>
  <c r="H863" i="17" a="1"/>
  <c r="H864" i="17" a="1"/>
  <c r="H865" i="17" a="1"/>
  <c r="H866" i="17" a="1"/>
  <c r="H867" i="17" a="1"/>
  <c r="H868" i="17" a="1"/>
  <c r="H869" i="17" a="1"/>
  <c r="H870" i="17" a="1"/>
  <c r="H871" i="17" a="1"/>
  <c r="H872" i="17" a="1"/>
  <c r="H873" i="17" a="1"/>
  <c r="H874" i="17" a="1"/>
  <c r="H875" i="17" a="1"/>
  <c r="H876" i="17" a="1"/>
  <c r="H877" i="17" a="1"/>
  <c r="H878" i="17" a="1"/>
  <c r="H879" i="17" a="1"/>
  <c r="H880" i="17" a="1"/>
  <c r="H881" i="17" a="1"/>
  <c r="H882" i="17" a="1"/>
  <c r="H883" i="17" a="1"/>
  <c r="H884" i="17" a="1"/>
  <c r="H885" i="17" a="1"/>
  <c r="H886" i="17" a="1"/>
  <c r="H887" i="17" a="1"/>
  <c r="H888" i="17" a="1"/>
  <c r="H889" i="17" a="1"/>
  <c r="H890" i="17" a="1"/>
  <c r="H891" i="17" a="1"/>
  <c r="H892" i="17" a="1"/>
  <c r="H893" i="17" a="1"/>
  <c r="H894" i="17" a="1"/>
  <c r="H895" i="17" a="1"/>
  <c r="H896" i="17" a="1"/>
  <c r="H897" i="17" a="1"/>
  <c r="H898" i="17" a="1"/>
  <c r="H899" i="17" a="1"/>
  <c r="H900" i="17" a="1"/>
  <c r="H901" i="17" a="1"/>
  <c r="H902" i="17" a="1"/>
  <c r="H903" i="17" a="1"/>
  <c r="H904" i="17" a="1"/>
  <c r="H905" i="17" a="1"/>
  <c r="H906" i="17" a="1"/>
  <c r="H907" i="17" a="1"/>
  <c r="H908" i="17" a="1"/>
  <c r="H909" i="17" a="1"/>
  <c r="H910" i="17" a="1"/>
  <c r="H911" i="17" a="1"/>
  <c r="H912" i="17" a="1"/>
  <c r="H913" i="17" a="1"/>
  <c r="H914" i="17" a="1"/>
  <c r="H915" i="17" a="1"/>
  <c r="H916" i="17" a="1"/>
  <c r="H917" i="17" a="1"/>
  <c r="H918" i="17" a="1"/>
  <c r="H919" i="17" a="1"/>
  <c r="H920" i="17" a="1"/>
  <c r="H921" i="17" a="1"/>
  <c r="H922" i="17" a="1"/>
  <c r="H923" i="17" a="1"/>
  <c r="H924" i="17" a="1"/>
  <c r="H925" i="17" a="1"/>
  <c r="H926" i="17" a="1"/>
  <c r="H927" i="17" a="1"/>
  <c r="H928" i="17" a="1"/>
  <c r="H929" i="17" a="1"/>
  <c r="H930" i="17" a="1"/>
  <c r="H931" i="17" a="1"/>
  <c r="H932" i="17" a="1"/>
  <c r="H933" i="17" a="1"/>
  <c r="H934" i="17" a="1"/>
  <c r="H935" i="17" a="1"/>
  <c r="H936" i="17" a="1"/>
  <c r="H937" i="17" a="1"/>
  <c r="H938" i="17" a="1"/>
  <c r="H939" i="17" a="1"/>
  <c r="H940" i="17" a="1"/>
  <c r="H941" i="17" a="1"/>
  <c r="H942" i="17" a="1"/>
  <c r="H943" i="17" a="1"/>
  <c r="H944" i="17" a="1"/>
  <c r="H945" i="17" a="1"/>
  <c r="H946" i="17" a="1"/>
  <c r="H947" i="17" a="1"/>
  <c r="H948" i="17" a="1"/>
  <c r="H949" i="17" a="1"/>
  <c r="H950" i="17" a="1"/>
  <c r="H951" i="17" a="1"/>
  <c r="H952" i="17" a="1"/>
  <c r="H953" i="17" a="1"/>
  <c r="H954" i="17" a="1"/>
  <c r="H955" i="17" a="1"/>
  <c r="H956" i="17" a="1"/>
  <c r="H957" i="17" a="1"/>
  <c r="H958" i="17" a="1"/>
  <c r="H959" i="17" a="1"/>
  <c r="H960" i="17" a="1"/>
  <c r="H961" i="17" a="1"/>
  <c r="H962" i="17" a="1"/>
  <c r="H963" i="17" a="1"/>
  <c r="H964" i="17" a="1"/>
  <c r="H965" i="17" a="1"/>
  <c r="H966" i="17" a="1"/>
  <c r="H967" i="17" a="1"/>
  <c r="H968" i="17" a="1"/>
  <c r="H969" i="17" a="1"/>
  <c r="H970" i="17" a="1"/>
  <c r="H971" i="17" a="1"/>
  <c r="H972" i="17" a="1"/>
  <c r="H973" i="17" a="1"/>
  <c r="H974" i="17" a="1"/>
  <c r="H975" i="17" a="1"/>
  <c r="H976" i="17" a="1"/>
  <c r="H977" i="17" a="1"/>
  <c r="H978" i="17" a="1"/>
  <c r="H979" i="17" a="1"/>
  <c r="H980" i="17" a="1"/>
  <c r="H981" i="17" a="1"/>
  <c r="H982" i="17" a="1"/>
  <c r="H983" i="17" a="1"/>
  <c r="H984" i="17" a="1"/>
  <c r="H985" i="17" a="1"/>
  <c r="H986" i="17" a="1"/>
  <c r="H987" i="17" a="1"/>
  <c r="H988" i="17" a="1"/>
  <c r="H989" i="17" a="1"/>
  <c r="H990" i="17" a="1"/>
  <c r="H991" i="17" a="1"/>
  <c r="H992" i="17" a="1"/>
  <c r="H993" i="17" a="1"/>
  <c r="H994" i="17" a="1"/>
  <c r="H995" i="17" a="1"/>
  <c r="H996" i="17" a="1"/>
  <c r="H997" i="17" a="1"/>
  <c r="H998" i="17" a="1"/>
  <c r="H999" i="17" a="1"/>
  <c r="H1000" i="17" a="1"/>
  <c r="H1001" i="17" a="1"/>
  <c r="L2" i="17" a="1"/>
  <c r="M2" i="17" s="1"/>
  <c r="L3" i="17" a="1"/>
  <c r="M3" i="17" s="1"/>
  <c r="L4" i="17" a="1"/>
  <c r="M4" i="17" s="1"/>
  <c r="L5" i="17" a="1"/>
  <c r="M5" i="17" s="1"/>
  <c r="L6" i="17" a="1"/>
  <c r="M6" i="17" s="1"/>
  <c r="L7" i="17" a="1"/>
  <c r="M7" i="17" s="1"/>
  <c r="L8" i="17" a="1"/>
  <c r="M8" i="17" s="1"/>
  <c r="L9" i="17" a="1"/>
  <c r="M9" i="17" s="1"/>
  <c r="L10" i="17" a="1"/>
  <c r="M10" i="17" s="1"/>
  <c r="L11" i="17" a="1"/>
  <c r="M11" i="17" s="1"/>
  <c r="L12" i="17" a="1"/>
  <c r="M12" i="17" s="1"/>
  <c r="L13" i="17" a="1"/>
  <c r="M13" i="17" s="1"/>
  <c r="L14" i="17" a="1"/>
  <c r="M14" i="17" s="1"/>
  <c r="L15" i="17" a="1"/>
  <c r="M15" i="17" s="1"/>
  <c r="L16" i="17" a="1"/>
  <c r="M16" i="17" s="1"/>
  <c r="L17" i="17" a="1"/>
  <c r="M17" i="17" s="1"/>
  <c r="L18" i="17" a="1"/>
  <c r="M18" i="17" s="1"/>
  <c r="L19" i="17" a="1"/>
  <c r="M19" i="17" s="1"/>
  <c r="L20" i="17" a="1"/>
  <c r="M20" i="17" s="1"/>
  <c r="L21" i="17" a="1"/>
  <c r="M21" i="17" s="1"/>
  <c r="L22" i="17" a="1"/>
  <c r="M22" i="17" s="1"/>
  <c r="L23" i="17" a="1"/>
  <c r="M23" i="17" s="1"/>
  <c r="L24" i="17" a="1"/>
  <c r="M24" i="17" s="1"/>
  <c r="L25" i="17" a="1"/>
  <c r="M25" i="17" s="1"/>
  <c r="L26" i="17" a="1"/>
  <c r="M26" i="17" s="1"/>
  <c r="L27" i="17" a="1"/>
  <c r="M27" i="17" s="1"/>
  <c r="L28" i="17" a="1"/>
  <c r="M28" i="17" s="1"/>
  <c r="L29" i="17" a="1"/>
  <c r="M29" i="17" s="1"/>
  <c r="L30" i="17" a="1"/>
  <c r="M30" i="17" s="1"/>
  <c r="L31" i="17" a="1"/>
  <c r="M31" i="17" s="1"/>
  <c r="L32" i="17" a="1"/>
  <c r="M32" i="17" s="1"/>
  <c r="L33" i="17" a="1"/>
  <c r="M33" i="17" s="1"/>
  <c r="L34" i="17" a="1"/>
  <c r="M34" i="17" s="1"/>
  <c r="L35" i="17" a="1"/>
  <c r="M35" i="17" s="1"/>
  <c r="L36" i="17" a="1"/>
  <c r="M36" i="17" s="1"/>
  <c r="L37" i="17" a="1"/>
  <c r="M37" i="17" s="1"/>
  <c r="L38" i="17" a="1"/>
  <c r="M38" i="17" s="1"/>
  <c r="L39" i="17" a="1"/>
  <c r="M39" i="17" s="1"/>
  <c r="L40" i="17" a="1"/>
  <c r="M40" i="17" s="1"/>
  <c r="L41" i="17" a="1"/>
  <c r="M41" i="17" s="1"/>
  <c r="L42" i="17" a="1"/>
  <c r="M42" i="17" s="1"/>
  <c r="L43" i="17" a="1"/>
  <c r="M43" i="17" s="1"/>
  <c r="L44" i="17" a="1"/>
  <c r="M44" i="17" s="1"/>
  <c r="L45" i="17" a="1"/>
  <c r="M45" i="17" s="1"/>
  <c r="L46" i="17" a="1"/>
  <c r="M46" i="17" s="1"/>
  <c r="L47" i="17" a="1"/>
  <c r="M47" i="17" s="1"/>
  <c r="L48" i="17" a="1"/>
  <c r="M48" i="17" s="1"/>
  <c r="L49" i="17" a="1"/>
  <c r="M49" i="17" s="1"/>
  <c r="L50" i="17" a="1"/>
  <c r="M50" i="17" s="1"/>
  <c r="L51" i="17" a="1"/>
  <c r="M51" i="17" s="1"/>
  <c r="L52" i="17" a="1"/>
  <c r="M52" i="17" s="1"/>
  <c r="L53" i="17" a="1"/>
  <c r="M53" i="17" s="1"/>
  <c r="L54" i="17" a="1"/>
  <c r="M54" i="17" s="1"/>
  <c r="L55" i="17" a="1"/>
  <c r="M55" i="17" s="1"/>
  <c r="L56" i="17" a="1"/>
  <c r="M56" i="17" s="1"/>
  <c r="L57" i="17" a="1"/>
  <c r="M57" i="17" s="1"/>
  <c r="L58" i="17" a="1"/>
  <c r="M58" i="17" s="1"/>
  <c r="L59" i="17" a="1"/>
  <c r="M59" i="17" s="1"/>
  <c r="L60" i="17" a="1"/>
  <c r="M60" i="17" s="1"/>
  <c r="L61" i="17" a="1"/>
  <c r="M61" i="17" s="1"/>
  <c r="L62" i="17" a="1"/>
  <c r="M62" i="17" s="1"/>
  <c r="L63" i="17" a="1"/>
  <c r="M63" i="17" s="1"/>
  <c r="L64" i="17" a="1"/>
  <c r="M64" i="17" s="1"/>
  <c r="L65" i="17" a="1"/>
  <c r="M65" i="17" s="1"/>
  <c r="L66" i="17" a="1"/>
  <c r="M66" i="17" s="1"/>
  <c r="L67" i="17" a="1"/>
  <c r="M67" i="17" s="1"/>
  <c r="L68" i="17" a="1"/>
  <c r="M68" i="17" s="1"/>
  <c r="L69" i="17" a="1"/>
  <c r="M69" i="17" s="1"/>
  <c r="L70" i="17" a="1"/>
  <c r="M70" i="17" s="1"/>
  <c r="L71" i="17" a="1"/>
  <c r="M71" i="17" s="1"/>
  <c r="L72" i="17" a="1"/>
  <c r="M72" i="17" s="1"/>
  <c r="L73" i="17" a="1"/>
  <c r="M73" i="17" s="1"/>
  <c r="L74" i="17" a="1"/>
  <c r="M74" i="17" s="1"/>
  <c r="L75" i="17" a="1"/>
  <c r="M75" i="17" s="1"/>
  <c r="L76" i="17" a="1"/>
  <c r="M76" i="17" s="1"/>
  <c r="L77" i="17" a="1"/>
  <c r="M77" i="17" s="1"/>
  <c r="L78" i="17" a="1"/>
  <c r="M78" i="17" s="1"/>
  <c r="L79" i="17" a="1"/>
  <c r="M79" i="17" s="1"/>
  <c r="L80" i="17" a="1"/>
  <c r="M80" i="17" s="1"/>
  <c r="L81" i="17" a="1"/>
  <c r="M81" i="17" s="1"/>
  <c r="L82" i="17" a="1"/>
  <c r="M82" i="17" s="1"/>
  <c r="L83" i="17" a="1"/>
  <c r="M83" i="17" s="1"/>
  <c r="L84" i="17" a="1"/>
  <c r="M84" i="17" s="1"/>
  <c r="L85" i="17" a="1"/>
  <c r="M85" i="17" s="1"/>
  <c r="L86" i="17" a="1"/>
  <c r="M86" i="17" s="1"/>
  <c r="L87" i="17" a="1"/>
  <c r="M87" i="17" s="1"/>
  <c r="L88" i="17" a="1"/>
  <c r="M88" i="17" s="1"/>
  <c r="L89" i="17" a="1"/>
  <c r="M89" i="17" s="1"/>
  <c r="L90" i="17" a="1"/>
  <c r="M90" i="17" s="1"/>
  <c r="L91" i="17" a="1"/>
  <c r="M91" i="17" s="1"/>
  <c r="L92" i="17" a="1"/>
  <c r="M92" i="17" s="1"/>
  <c r="L93" i="17" a="1"/>
  <c r="M93" i="17" s="1"/>
  <c r="L94" i="17" a="1"/>
  <c r="M94" i="17" s="1"/>
  <c r="L95" i="17" a="1"/>
  <c r="M95" i="17" s="1"/>
  <c r="L96" i="17" a="1"/>
  <c r="M96" i="17" s="1"/>
  <c r="L97" i="17" a="1"/>
  <c r="M97" i="17" s="1"/>
  <c r="L98" i="17" a="1"/>
  <c r="M98" i="17" s="1"/>
  <c r="L99" i="17" a="1"/>
  <c r="M99" i="17" s="1"/>
  <c r="L100" i="17" a="1"/>
  <c r="M100" i="17" s="1"/>
  <c r="L101" i="17" a="1"/>
  <c r="M101" i="17" s="1"/>
  <c r="L102" i="17" a="1"/>
  <c r="M102" i="17" s="1"/>
  <c r="L103" i="17" a="1"/>
  <c r="M103" i="17" s="1"/>
  <c r="L104" i="17" a="1"/>
  <c r="M104" i="17" s="1"/>
  <c r="L105" i="17" a="1"/>
  <c r="M105" i="17" s="1"/>
  <c r="L106" i="17" a="1"/>
  <c r="M106" i="17" s="1"/>
  <c r="L107" i="17" a="1"/>
  <c r="M107" i="17" s="1"/>
  <c r="L108" i="17" a="1"/>
  <c r="M108" i="17" s="1"/>
  <c r="L109" i="17" a="1"/>
  <c r="M109" i="17" s="1"/>
  <c r="L110" i="17" a="1"/>
  <c r="M110" i="17" s="1"/>
  <c r="L111" i="17" a="1"/>
  <c r="M111" i="17" s="1"/>
  <c r="L112" i="17" a="1"/>
  <c r="M112" i="17" s="1"/>
  <c r="L113" i="17" a="1"/>
  <c r="M113" i="17" s="1"/>
  <c r="L114" i="17" a="1"/>
  <c r="M114" i="17" s="1"/>
  <c r="L115" i="17" a="1"/>
  <c r="M115" i="17" s="1"/>
  <c r="L116" i="17" a="1"/>
  <c r="M116" i="17" s="1"/>
  <c r="L117" i="17" a="1"/>
  <c r="M117" i="17" s="1"/>
  <c r="L118" i="17" a="1"/>
  <c r="M118" i="17" s="1"/>
  <c r="L119" i="17" a="1"/>
  <c r="M119" i="17" s="1"/>
  <c r="L120" i="17" a="1"/>
  <c r="M120" i="17" s="1"/>
  <c r="L121" i="17" a="1"/>
  <c r="M121" i="17" s="1"/>
  <c r="L122" i="17" a="1"/>
  <c r="M122" i="17" s="1"/>
  <c r="L123" i="17" a="1"/>
  <c r="M123" i="17" s="1"/>
  <c r="L124" i="17" a="1"/>
  <c r="M124" i="17" s="1"/>
  <c r="L125" i="17" a="1"/>
  <c r="M125" i="17" s="1"/>
  <c r="L126" i="17" a="1"/>
  <c r="M126" i="17" s="1"/>
  <c r="L127" i="17" a="1"/>
  <c r="M127" i="17" s="1"/>
  <c r="L128" i="17" a="1"/>
  <c r="M128" i="17" s="1"/>
  <c r="L129" i="17" a="1"/>
  <c r="M129" i="17" s="1"/>
  <c r="L130" i="17" a="1"/>
  <c r="M130" i="17" s="1"/>
  <c r="L131" i="17" a="1"/>
  <c r="M131" i="17" s="1"/>
  <c r="L132" i="17" a="1"/>
  <c r="M132" i="17" s="1"/>
  <c r="L133" i="17" a="1"/>
  <c r="M133" i="17" s="1"/>
  <c r="L134" i="17" a="1"/>
  <c r="M134" i="17" s="1"/>
  <c r="L135" i="17" a="1"/>
  <c r="M135" i="17" s="1"/>
  <c r="L136" i="17" a="1"/>
  <c r="M136" i="17" s="1"/>
  <c r="L137" i="17" a="1"/>
  <c r="M137" i="17" s="1"/>
  <c r="L138" i="17" a="1"/>
  <c r="M138" i="17" s="1"/>
  <c r="L139" i="17" a="1"/>
  <c r="M139" i="17" s="1"/>
  <c r="L140" i="17" a="1"/>
  <c r="M140" i="17" s="1"/>
  <c r="L141" i="17" a="1"/>
  <c r="M141" i="17" s="1"/>
  <c r="L142" i="17" a="1"/>
  <c r="M142" i="17" s="1"/>
  <c r="L143" i="17" a="1"/>
  <c r="M143" i="17" s="1"/>
  <c r="L144" i="17" a="1"/>
  <c r="M144" i="17" s="1"/>
  <c r="L145" i="17" a="1"/>
  <c r="M145" i="17" s="1"/>
  <c r="L146" i="17" a="1"/>
  <c r="M146" i="17" s="1"/>
  <c r="L147" i="17" a="1"/>
  <c r="M147" i="17" s="1"/>
  <c r="L148" i="17" a="1"/>
  <c r="M148" i="17" s="1"/>
  <c r="L149" i="17" a="1"/>
  <c r="M149" i="17" s="1"/>
  <c r="L150" i="17" a="1"/>
  <c r="M150" i="17" s="1"/>
  <c r="L151" i="17" a="1"/>
  <c r="M151" i="17" s="1"/>
  <c r="L152" i="17" a="1"/>
  <c r="M152" i="17" s="1"/>
  <c r="L153" i="17" a="1"/>
  <c r="M153" i="17" s="1"/>
  <c r="L154" i="17" a="1"/>
  <c r="M154" i="17" s="1"/>
  <c r="L155" i="17" a="1"/>
  <c r="M155" i="17" s="1"/>
  <c r="L156" i="17" a="1"/>
  <c r="M156" i="17" s="1"/>
  <c r="L157" i="17" a="1"/>
  <c r="M157" i="17" s="1"/>
  <c r="L158" i="17" a="1"/>
  <c r="M158" i="17" s="1"/>
  <c r="L159" i="17" a="1"/>
  <c r="M159" i="17" s="1"/>
  <c r="L160" i="17" a="1"/>
  <c r="M160" i="17" s="1"/>
  <c r="L161" i="17" a="1"/>
  <c r="M161" i="17" s="1"/>
  <c r="L162" i="17" a="1"/>
  <c r="M162" i="17" s="1"/>
  <c r="L163" i="17" a="1"/>
  <c r="M163" i="17" s="1"/>
  <c r="L164" i="17" a="1"/>
  <c r="M164" i="17" s="1"/>
  <c r="L165" i="17" a="1"/>
  <c r="M165" i="17" s="1"/>
  <c r="L166" i="17" a="1"/>
  <c r="M166" i="17" s="1"/>
  <c r="L167" i="17" a="1"/>
  <c r="M167" i="17" s="1"/>
  <c r="L168" i="17" a="1"/>
  <c r="M168" i="17" s="1"/>
  <c r="L169" i="17" a="1"/>
  <c r="M169" i="17" s="1"/>
  <c r="L170" i="17" a="1"/>
  <c r="M170" i="17" s="1"/>
  <c r="L171" i="17" a="1"/>
  <c r="M171" i="17" s="1"/>
  <c r="L172" i="17" a="1"/>
  <c r="M172" i="17" s="1"/>
  <c r="L173" i="17" a="1"/>
  <c r="M173" i="17" s="1"/>
  <c r="L174" i="17" a="1"/>
  <c r="M174" i="17" s="1"/>
  <c r="L175" i="17" a="1"/>
  <c r="M175" i="17" s="1"/>
  <c r="L176" i="17" a="1"/>
  <c r="M176" i="17" s="1"/>
  <c r="L177" i="17" a="1"/>
  <c r="M177" i="17" s="1"/>
  <c r="L178" i="17" a="1"/>
  <c r="M178" i="17" s="1"/>
  <c r="L179" i="17" a="1"/>
  <c r="M179" i="17" s="1"/>
  <c r="L180" i="17" a="1"/>
  <c r="M180" i="17" s="1"/>
  <c r="L181" i="17" a="1"/>
  <c r="M181" i="17" s="1"/>
  <c r="L182" i="17" a="1"/>
  <c r="M182" i="17" s="1"/>
  <c r="L183" i="17" a="1"/>
  <c r="M183" i="17" s="1"/>
  <c r="L184" i="17" a="1"/>
  <c r="M184" i="17" s="1"/>
  <c r="L185" i="17" a="1"/>
  <c r="M185" i="17" s="1"/>
  <c r="L186" i="17" a="1"/>
  <c r="M186" i="17" s="1"/>
  <c r="L187" i="17" a="1"/>
  <c r="M187" i="17" s="1"/>
  <c r="L188" i="17" a="1"/>
  <c r="M188" i="17" s="1"/>
  <c r="L189" i="17" a="1"/>
  <c r="M189" i="17" s="1"/>
  <c r="L190" i="17" a="1"/>
  <c r="M190" i="17" s="1"/>
  <c r="L191" i="17" a="1"/>
  <c r="M191" i="17" s="1"/>
  <c r="L192" i="17" a="1"/>
  <c r="M192" i="17" s="1"/>
  <c r="L193" i="17" a="1"/>
  <c r="M193" i="17" s="1"/>
  <c r="L194" i="17" a="1"/>
  <c r="M194" i="17" s="1"/>
  <c r="L195" i="17" a="1"/>
  <c r="M195" i="17" s="1"/>
  <c r="L196" i="17" a="1"/>
  <c r="M196" i="17" s="1"/>
  <c r="L197" i="17" a="1"/>
  <c r="M197" i="17" s="1"/>
  <c r="L198" i="17" a="1"/>
  <c r="M198" i="17" s="1"/>
  <c r="L199" i="17" a="1"/>
  <c r="M199" i="17" s="1"/>
  <c r="L200" i="17" a="1"/>
  <c r="M200" i="17" s="1"/>
  <c r="L201" i="17" a="1"/>
  <c r="M201" i="17" s="1"/>
  <c r="L202" i="17" a="1"/>
  <c r="M202" i="17" s="1"/>
  <c r="L203" i="17" a="1"/>
  <c r="M203" i="17" s="1"/>
  <c r="L204" i="17" a="1"/>
  <c r="M204" i="17" s="1"/>
  <c r="L205" i="17" a="1"/>
  <c r="M205" i="17" s="1"/>
  <c r="L206" i="17" a="1"/>
  <c r="M206" i="17" s="1"/>
  <c r="L207" i="17" a="1"/>
  <c r="M207" i="17" s="1"/>
  <c r="L208" i="17" a="1"/>
  <c r="M208" i="17" s="1"/>
  <c r="L209" i="17" a="1"/>
  <c r="M209" i="17" s="1"/>
  <c r="L210" i="17" a="1"/>
  <c r="M210" i="17" s="1"/>
  <c r="L211" i="17" a="1"/>
  <c r="M211" i="17" s="1"/>
  <c r="L212" i="17" a="1"/>
  <c r="M212" i="17" s="1"/>
  <c r="L213" i="17" a="1"/>
  <c r="M213" i="17" s="1"/>
  <c r="L214" i="17" a="1"/>
  <c r="M214" i="17" s="1"/>
  <c r="L215" i="17" a="1"/>
  <c r="M215" i="17" s="1"/>
  <c r="L216" i="17" a="1"/>
  <c r="M216" i="17" s="1"/>
  <c r="L217" i="17" a="1"/>
  <c r="M217" i="17" s="1"/>
  <c r="L218" i="17" a="1"/>
  <c r="M218" i="17" s="1"/>
  <c r="L219" i="17" a="1"/>
  <c r="M219" i="17" s="1"/>
  <c r="L220" i="17" a="1"/>
  <c r="M220" i="17" s="1"/>
  <c r="L221" i="17" a="1"/>
  <c r="M221" i="17" s="1"/>
  <c r="L222" i="17" a="1"/>
  <c r="M222" i="17" s="1"/>
  <c r="L223" i="17" a="1"/>
  <c r="M223" i="17" s="1"/>
  <c r="L224" i="17" a="1"/>
  <c r="M224" i="17" s="1"/>
  <c r="L225" i="17" a="1"/>
  <c r="M225" i="17" s="1"/>
  <c r="L226" i="17" a="1"/>
  <c r="M226" i="17" s="1"/>
  <c r="L227" i="17" a="1"/>
  <c r="M227" i="17" s="1"/>
  <c r="L228" i="17" a="1"/>
  <c r="M228" i="17" s="1"/>
  <c r="L229" i="17" a="1"/>
  <c r="M229" i="17" s="1"/>
  <c r="L230" i="17" a="1"/>
  <c r="M230" i="17" s="1"/>
  <c r="L231" i="17" a="1"/>
  <c r="M231" i="17" s="1"/>
  <c r="L232" i="17" a="1"/>
  <c r="M232" i="17" s="1"/>
  <c r="L233" i="17" a="1"/>
  <c r="M233" i="17" s="1"/>
  <c r="L234" i="17" a="1"/>
  <c r="M234" i="17" s="1"/>
  <c r="L235" i="17" a="1"/>
  <c r="M235" i="17" s="1"/>
  <c r="L236" i="17" a="1"/>
  <c r="M236" i="17" s="1"/>
  <c r="L237" i="17" a="1"/>
  <c r="M237" i="17" s="1"/>
  <c r="L238" i="17" a="1"/>
  <c r="M238" i="17" s="1"/>
  <c r="L239" i="17" a="1"/>
  <c r="M239" i="17" s="1"/>
  <c r="L240" i="17" a="1"/>
  <c r="M240" i="17" s="1"/>
  <c r="L241" i="17" a="1"/>
  <c r="M241" i="17" s="1"/>
  <c r="L242" i="17" a="1"/>
  <c r="M242" i="17" s="1"/>
  <c r="L243" i="17" a="1"/>
  <c r="M243" i="17" s="1"/>
  <c r="L244" i="17" a="1"/>
  <c r="M244" i="17" s="1"/>
  <c r="L245" i="17" a="1"/>
  <c r="M245" i="17" s="1"/>
  <c r="L246" i="17" a="1"/>
  <c r="M246" i="17" s="1"/>
  <c r="L247" i="17" a="1"/>
  <c r="M247" i="17" s="1"/>
  <c r="L248" i="17" a="1"/>
  <c r="M248" i="17" s="1"/>
  <c r="L249" i="17" a="1"/>
  <c r="M249" i="17" s="1"/>
  <c r="L250" i="17" a="1"/>
  <c r="M250" i="17" s="1"/>
  <c r="L251" i="17" a="1"/>
  <c r="M251" i="17" s="1"/>
  <c r="L252" i="17" a="1"/>
  <c r="M252" i="17" s="1"/>
  <c r="L253" i="17" a="1"/>
  <c r="M253" i="17" s="1"/>
  <c r="L254" i="17" a="1"/>
  <c r="M254" i="17" s="1"/>
  <c r="L255" i="17" a="1"/>
  <c r="M255" i="17" s="1"/>
  <c r="L256" i="17" a="1"/>
  <c r="M256" i="17" s="1"/>
  <c r="L257" i="17" a="1"/>
  <c r="M257" i="17" s="1"/>
  <c r="L258" i="17" a="1"/>
  <c r="M258" i="17" s="1"/>
  <c r="L259" i="17" a="1"/>
  <c r="M259" i="17" s="1"/>
  <c r="L260" i="17" a="1"/>
  <c r="M260" i="17" s="1"/>
  <c r="L261" i="17" a="1"/>
  <c r="M261" i="17" s="1"/>
  <c r="L262" i="17" a="1"/>
  <c r="M262" i="17" s="1"/>
  <c r="L263" i="17" a="1"/>
  <c r="M263" i="17" s="1"/>
  <c r="L264" i="17" a="1"/>
  <c r="M264" i="17" s="1"/>
  <c r="L265" i="17" a="1"/>
  <c r="M265" i="17" s="1"/>
  <c r="L266" i="17" a="1"/>
  <c r="M266" i="17" s="1"/>
  <c r="L267" i="17" a="1"/>
  <c r="M267" i="17" s="1"/>
  <c r="L268" i="17" a="1"/>
  <c r="M268" i="17" s="1"/>
  <c r="L269" i="17" a="1"/>
  <c r="M269" i="17" s="1"/>
  <c r="L270" i="17" a="1"/>
  <c r="M270" i="17" s="1"/>
  <c r="L271" i="17" a="1"/>
  <c r="M271" i="17" s="1"/>
  <c r="L272" i="17" a="1"/>
  <c r="M272" i="17" s="1"/>
  <c r="L273" i="17" a="1"/>
  <c r="M273" i="17" s="1"/>
  <c r="L274" i="17" a="1"/>
  <c r="M274" i="17" s="1"/>
  <c r="L275" i="17" a="1"/>
  <c r="M275" i="17" s="1"/>
  <c r="L276" i="17" a="1"/>
  <c r="M276" i="17" s="1"/>
  <c r="L277" i="17" a="1"/>
  <c r="M277" i="17" s="1"/>
  <c r="L278" i="17" a="1"/>
  <c r="M278" i="17" s="1"/>
  <c r="L279" i="17" a="1"/>
  <c r="M279" i="17" s="1"/>
  <c r="L280" i="17" a="1"/>
  <c r="M280" i="17" s="1"/>
  <c r="L281" i="17" a="1"/>
  <c r="M281" i="17" s="1"/>
  <c r="L282" i="17" a="1"/>
  <c r="M282" i="17" s="1"/>
  <c r="L283" i="17" a="1"/>
  <c r="M283" i="17" s="1"/>
  <c r="L284" i="17" a="1"/>
  <c r="M284" i="17" s="1"/>
  <c r="L285" i="17" a="1"/>
  <c r="M285" i="17" s="1"/>
  <c r="L286" i="17" a="1"/>
  <c r="M286" i="17" s="1"/>
  <c r="L287" i="17" a="1"/>
  <c r="M287" i="17" s="1"/>
  <c r="L288" i="17" a="1"/>
  <c r="M288" i="17" s="1"/>
  <c r="L289" i="17" a="1"/>
  <c r="M289" i="17" s="1"/>
  <c r="L290" i="17" a="1"/>
  <c r="M290" i="17" s="1"/>
  <c r="L291" i="17" a="1"/>
  <c r="M291" i="17" s="1"/>
  <c r="L292" i="17" a="1"/>
  <c r="M292" i="17" s="1"/>
  <c r="L293" i="17" a="1"/>
  <c r="M293" i="17" s="1"/>
  <c r="L294" i="17" a="1"/>
  <c r="M294" i="17" s="1"/>
  <c r="L295" i="17" a="1"/>
  <c r="M295" i="17" s="1"/>
  <c r="L296" i="17" a="1"/>
  <c r="M296" i="17" s="1"/>
  <c r="L297" i="17" a="1"/>
  <c r="M297" i="17" s="1"/>
  <c r="L298" i="17" a="1"/>
  <c r="M298" i="17" s="1"/>
  <c r="L299" i="17" a="1"/>
  <c r="M299" i="17" s="1"/>
  <c r="L300" i="17" a="1"/>
  <c r="M300" i="17" s="1"/>
  <c r="L301" i="17" a="1"/>
  <c r="M301" i="17" s="1"/>
  <c r="L302" i="17" a="1"/>
  <c r="M302" i="17" s="1"/>
  <c r="L303" i="17" a="1"/>
  <c r="M303" i="17" s="1"/>
  <c r="L304" i="17" a="1"/>
  <c r="M304" i="17" s="1"/>
  <c r="L305" i="17" a="1"/>
  <c r="M305" i="17" s="1"/>
  <c r="L306" i="17" a="1"/>
  <c r="M306" i="17" s="1"/>
  <c r="L307" i="17" a="1"/>
  <c r="M307" i="17" s="1"/>
  <c r="L308" i="17" a="1"/>
  <c r="M308" i="17" s="1"/>
  <c r="L309" i="17" a="1"/>
  <c r="M309" i="17" s="1"/>
  <c r="L310" i="17" a="1"/>
  <c r="M310" i="17" s="1"/>
  <c r="L311" i="17" a="1"/>
  <c r="M311" i="17" s="1"/>
  <c r="L312" i="17" a="1"/>
  <c r="M312" i="17" s="1"/>
  <c r="L313" i="17" a="1"/>
  <c r="M313" i="17" s="1"/>
  <c r="L314" i="17" a="1"/>
  <c r="M314" i="17" s="1"/>
  <c r="L315" i="17" a="1"/>
  <c r="M315" i="17" s="1"/>
  <c r="L316" i="17" a="1"/>
  <c r="M316" i="17" s="1"/>
  <c r="L317" i="17" a="1"/>
  <c r="M317" i="17" s="1"/>
  <c r="L318" i="17" a="1"/>
  <c r="M318" i="17" s="1"/>
  <c r="L319" i="17" a="1"/>
  <c r="M319" i="17" s="1"/>
  <c r="L320" i="17" a="1"/>
  <c r="M320" i="17" s="1"/>
  <c r="L321" i="17" a="1"/>
  <c r="M321" i="17" s="1"/>
  <c r="L322" i="17" a="1"/>
  <c r="M322" i="17" s="1"/>
  <c r="L323" i="17" a="1"/>
  <c r="M323" i="17" s="1"/>
  <c r="L324" i="17" a="1"/>
  <c r="M324" i="17" s="1"/>
  <c r="L325" i="17" a="1"/>
  <c r="M325" i="17" s="1"/>
  <c r="L326" i="17" a="1"/>
  <c r="M326" i="17" s="1"/>
  <c r="L327" i="17" a="1"/>
  <c r="M327" i="17" s="1"/>
  <c r="L328" i="17" a="1"/>
  <c r="M328" i="17" s="1"/>
  <c r="L329" i="17" a="1"/>
  <c r="M329" i="17" s="1"/>
  <c r="L330" i="17" a="1"/>
  <c r="M330" i="17" s="1"/>
  <c r="L331" i="17" a="1"/>
  <c r="M331" i="17" s="1"/>
  <c r="L332" i="17" a="1"/>
  <c r="M332" i="17" s="1"/>
  <c r="L333" i="17" a="1"/>
  <c r="M333" i="17" s="1"/>
  <c r="L334" i="17" a="1"/>
  <c r="M334" i="17" s="1"/>
  <c r="L335" i="17" a="1"/>
  <c r="M335" i="17" s="1"/>
  <c r="L336" i="17" a="1"/>
  <c r="M336" i="17" s="1"/>
  <c r="L337" i="17" a="1"/>
  <c r="M337" i="17" s="1"/>
  <c r="L338" i="17" a="1"/>
  <c r="M338" i="17" s="1"/>
  <c r="L339" i="17" a="1"/>
  <c r="M339" i="17" s="1"/>
  <c r="L340" i="17" a="1"/>
  <c r="M340" i="17" s="1"/>
  <c r="L341" i="17" a="1"/>
  <c r="M341" i="17" s="1"/>
  <c r="L342" i="17" a="1"/>
  <c r="M342" i="17" s="1"/>
  <c r="L343" i="17" a="1"/>
  <c r="M343" i="17" s="1"/>
  <c r="L344" i="17" a="1"/>
  <c r="M344" i="17" s="1"/>
  <c r="L345" i="17" a="1"/>
  <c r="M345" i="17" s="1"/>
  <c r="L346" i="17" a="1"/>
  <c r="M346" i="17" s="1"/>
  <c r="L347" i="17" a="1"/>
  <c r="M347" i="17" s="1"/>
  <c r="L348" i="17" a="1"/>
  <c r="M348" i="17" s="1"/>
  <c r="L349" i="17" a="1"/>
  <c r="M349" i="17" s="1"/>
  <c r="L350" i="17" a="1"/>
  <c r="M350" i="17" s="1"/>
  <c r="L351" i="17" a="1"/>
  <c r="M351" i="17" s="1"/>
  <c r="L352" i="17" a="1"/>
  <c r="M352" i="17" s="1"/>
  <c r="L353" i="17" a="1"/>
  <c r="M353" i="17" s="1"/>
  <c r="L354" i="17" a="1"/>
  <c r="M354" i="17" s="1"/>
  <c r="L355" i="17" a="1"/>
  <c r="M355" i="17" s="1"/>
  <c r="L356" i="17" a="1"/>
  <c r="M356" i="17" s="1"/>
  <c r="L357" i="17" a="1"/>
  <c r="M357" i="17" s="1"/>
  <c r="L358" i="17" a="1"/>
  <c r="M358" i="17" s="1"/>
  <c r="L359" i="17" a="1"/>
  <c r="M359" i="17" s="1"/>
  <c r="L360" i="17" a="1"/>
  <c r="M360" i="17" s="1"/>
  <c r="L361" i="17" a="1"/>
  <c r="M361" i="17" s="1"/>
  <c r="L362" i="17" a="1"/>
  <c r="M362" i="17" s="1"/>
  <c r="L363" i="17" a="1"/>
  <c r="M363" i="17" s="1"/>
  <c r="L364" i="17" a="1"/>
  <c r="M364" i="17" s="1"/>
  <c r="L365" i="17" a="1"/>
  <c r="M365" i="17" s="1"/>
  <c r="L366" i="17" a="1"/>
  <c r="M366" i="17" s="1"/>
  <c r="L367" i="17" a="1"/>
  <c r="M367" i="17" s="1"/>
  <c r="L368" i="17" a="1"/>
  <c r="M368" i="17" s="1"/>
  <c r="L369" i="17" a="1"/>
  <c r="M369" i="17" s="1"/>
  <c r="L370" i="17" a="1"/>
  <c r="M370" i="17" s="1"/>
  <c r="L371" i="17" a="1"/>
  <c r="M371" i="17" s="1"/>
  <c r="L372" i="17" a="1"/>
  <c r="M372" i="17" s="1"/>
  <c r="L373" i="17" a="1"/>
  <c r="M373" i="17" s="1"/>
  <c r="L374" i="17" a="1"/>
  <c r="M374" i="17" s="1"/>
  <c r="L375" i="17" a="1"/>
  <c r="M375" i="17" s="1"/>
  <c r="L376" i="17" a="1"/>
  <c r="M376" i="17" s="1"/>
  <c r="L377" i="17" a="1"/>
  <c r="M377" i="17" s="1"/>
  <c r="L378" i="17" a="1"/>
  <c r="M378" i="17" s="1"/>
  <c r="L379" i="17" a="1"/>
  <c r="M379" i="17" s="1"/>
  <c r="L380" i="17" a="1"/>
  <c r="M380" i="17" s="1"/>
  <c r="L381" i="17" a="1"/>
  <c r="M381" i="17" s="1"/>
  <c r="L382" i="17" a="1"/>
  <c r="M382" i="17" s="1"/>
  <c r="L383" i="17" a="1"/>
  <c r="M383" i="17" s="1"/>
  <c r="L384" i="17" a="1"/>
  <c r="M384" i="17" s="1"/>
  <c r="L385" i="17" a="1"/>
  <c r="M385" i="17" s="1"/>
  <c r="L386" i="17" a="1"/>
  <c r="M386" i="17" s="1"/>
  <c r="L387" i="17" a="1"/>
  <c r="M387" i="17" s="1"/>
  <c r="L388" i="17" a="1"/>
  <c r="M388" i="17" s="1"/>
  <c r="L389" i="17" a="1"/>
  <c r="M389" i="17" s="1"/>
  <c r="L390" i="17" a="1"/>
  <c r="M390" i="17" s="1"/>
  <c r="L391" i="17" a="1"/>
  <c r="M391" i="17" s="1"/>
  <c r="L392" i="17" a="1"/>
  <c r="M392" i="17" s="1"/>
  <c r="L393" i="17" a="1"/>
  <c r="M393" i="17" s="1"/>
  <c r="L394" i="17" a="1"/>
  <c r="M394" i="17" s="1"/>
  <c r="L395" i="17" a="1"/>
  <c r="M395" i="17" s="1"/>
  <c r="L396" i="17" a="1"/>
  <c r="M396" i="17" s="1"/>
  <c r="L397" i="17" a="1"/>
  <c r="M397" i="17" s="1"/>
  <c r="L398" i="17" a="1"/>
  <c r="M398" i="17" s="1"/>
  <c r="L399" i="17" a="1"/>
  <c r="M399" i="17" s="1"/>
  <c r="L400" i="17" a="1"/>
  <c r="M400" i="17" s="1"/>
  <c r="L401" i="17" a="1"/>
  <c r="M401" i="17" s="1"/>
  <c r="L402" i="17" a="1"/>
  <c r="M402" i="17" s="1"/>
  <c r="L403" i="17" a="1"/>
  <c r="M403" i="17" s="1"/>
  <c r="L404" i="17" a="1"/>
  <c r="M404" i="17" s="1"/>
  <c r="L405" i="17" a="1"/>
  <c r="M405" i="17" s="1"/>
  <c r="L406" i="17" a="1"/>
  <c r="M406" i="17" s="1"/>
  <c r="L407" i="17" a="1"/>
  <c r="M407" i="17" s="1"/>
  <c r="L408" i="17" a="1"/>
  <c r="M408" i="17" s="1"/>
  <c r="L409" i="17" a="1"/>
  <c r="M409" i="17" s="1"/>
  <c r="L410" i="17" a="1"/>
  <c r="M410" i="17" s="1"/>
  <c r="L411" i="17" a="1"/>
  <c r="M411" i="17" s="1"/>
  <c r="L412" i="17" a="1"/>
  <c r="M412" i="17" s="1"/>
  <c r="L413" i="17" a="1"/>
  <c r="M413" i="17" s="1"/>
  <c r="L414" i="17" a="1"/>
  <c r="M414" i="17" s="1"/>
  <c r="L415" i="17" a="1"/>
  <c r="M415" i="17" s="1"/>
  <c r="L416" i="17" a="1"/>
  <c r="M416" i="17" s="1"/>
  <c r="L417" i="17" a="1"/>
  <c r="M417" i="17" s="1"/>
  <c r="L418" i="17" a="1"/>
  <c r="M418" i="17" s="1"/>
  <c r="L419" i="17" a="1"/>
  <c r="M419" i="17" s="1"/>
  <c r="L420" i="17" a="1"/>
  <c r="M420" i="17" s="1"/>
  <c r="L421" i="17" a="1"/>
  <c r="M421" i="17" s="1"/>
  <c r="L422" i="17" a="1"/>
  <c r="M422" i="17" s="1"/>
  <c r="L423" i="17" a="1"/>
  <c r="M423" i="17" s="1"/>
  <c r="L424" i="17" a="1"/>
  <c r="M424" i="17" s="1"/>
  <c r="L425" i="17" a="1"/>
  <c r="M425" i="17" s="1"/>
  <c r="L426" i="17" a="1"/>
  <c r="M426" i="17" s="1"/>
  <c r="L427" i="17" a="1"/>
  <c r="M427" i="17" s="1"/>
  <c r="L428" i="17" a="1"/>
  <c r="M428" i="17" s="1"/>
  <c r="L429" i="17" a="1"/>
  <c r="M429" i="17" s="1"/>
  <c r="L430" i="17" a="1"/>
  <c r="M430" i="17" s="1"/>
  <c r="L431" i="17" a="1"/>
  <c r="M431" i="17" s="1"/>
  <c r="L432" i="17" a="1"/>
  <c r="M432" i="17" s="1"/>
  <c r="L433" i="17" a="1"/>
  <c r="M433" i="17" s="1"/>
  <c r="L434" i="17" a="1"/>
  <c r="M434" i="17" s="1"/>
  <c r="L435" i="17" a="1"/>
  <c r="M435" i="17" s="1"/>
  <c r="L436" i="17" a="1"/>
  <c r="M436" i="17" s="1"/>
  <c r="L437" i="17" a="1"/>
  <c r="M437" i="17" s="1"/>
  <c r="L438" i="17" a="1"/>
  <c r="M438" i="17" s="1"/>
  <c r="L439" i="17" a="1"/>
  <c r="M439" i="17" s="1"/>
  <c r="L440" i="17" a="1"/>
  <c r="M440" i="17" s="1"/>
  <c r="L441" i="17" a="1"/>
  <c r="M441" i="17" s="1"/>
  <c r="L442" i="17" a="1"/>
  <c r="M442" i="17" s="1"/>
  <c r="L443" i="17" a="1"/>
  <c r="M443" i="17" s="1"/>
  <c r="L444" i="17" a="1"/>
  <c r="M444" i="17" s="1"/>
  <c r="L445" i="17" a="1"/>
  <c r="M445" i="17" s="1"/>
  <c r="L446" i="17" a="1"/>
  <c r="M446" i="17" s="1"/>
  <c r="L447" i="17" a="1"/>
  <c r="M447" i="17" s="1"/>
  <c r="L448" i="17" a="1"/>
  <c r="M448" i="17" s="1"/>
  <c r="L449" i="17" a="1"/>
  <c r="M449" i="17" s="1"/>
  <c r="L450" i="17" a="1"/>
  <c r="M450" i="17" s="1"/>
  <c r="L451" i="17" a="1"/>
  <c r="M451" i="17" s="1"/>
  <c r="L452" i="17" a="1"/>
  <c r="M452" i="17" s="1"/>
  <c r="L453" i="17" a="1"/>
  <c r="M453" i="17" s="1"/>
  <c r="L454" i="17" a="1"/>
  <c r="M454" i="17" s="1"/>
  <c r="L455" i="17" a="1"/>
  <c r="M455" i="17" s="1"/>
  <c r="L456" i="17" a="1"/>
  <c r="M456" i="17" s="1"/>
  <c r="L457" i="17" a="1"/>
  <c r="M457" i="17" s="1"/>
  <c r="L458" i="17" a="1"/>
  <c r="M458" i="17" s="1"/>
  <c r="L459" i="17" a="1"/>
  <c r="M459" i="17" s="1"/>
  <c r="L460" i="17" a="1"/>
  <c r="M460" i="17" s="1"/>
  <c r="L461" i="17" a="1"/>
  <c r="M461" i="17" s="1"/>
  <c r="L462" i="17" a="1"/>
  <c r="M462" i="17" s="1"/>
  <c r="L463" i="17" a="1"/>
  <c r="M463" i="17" s="1"/>
  <c r="L464" i="17" a="1"/>
  <c r="M464" i="17" s="1"/>
  <c r="L465" i="17" a="1"/>
  <c r="M465" i="17" s="1"/>
  <c r="L466" i="17" a="1"/>
  <c r="M466" i="17" s="1"/>
  <c r="L467" i="17" a="1"/>
  <c r="M467" i="17" s="1"/>
  <c r="L468" i="17" a="1"/>
  <c r="M468" i="17" s="1"/>
  <c r="L469" i="17" a="1"/>
  <c r="M469" i="17" s="1"/>
  <c r="L470" i="17" a="1"/>
  <c r="M470" i="17" s="1"/>
  <c r="L471" i="17" a="1"/>
  <c r="M471" i="17" s="1"/>
  <c r="L472" i="17" a="1"/>
  <c r="M472" i="17" s="1"/>
  <c r="L473" i="17" a="1"/>
  <c r="M473" i="17" s="1"/>
  <c r="L474" i="17" a="1"/>
  <c r="M474" i="17" s="1"/>
  <c r="L475" i="17" a="1"/>
  <c r="M475" i="17" s="1"/>
  <c r="L476" i="17" a="1"/>
  <c r="M476" i="17" s="1"/>
  <c r="L477" i="17" a="1"/>
  <c r="M477" i="17" s="1"/>
  <c r="L478" i="17" a="1"/>
  <c r="M478" i="17" s="1"/>
  <c r="L479" i="17" a="1"/>
  <c r="M479" i="17" s="1"/>
  <c r="L480" i="17" a="1"/>
  <c r="M480" i="17" s="1"/>
  <c r="L481" i="17" a="1"/>
  <c r="M481" i="17" s="1"/>
  <c r="L482" i="17" a="1"/>
  <c r="M482" i="17" s="1"/>
  <c r="L483" i="17" a="1"/>
  <c r="M483" i="17" s="1"/>
  <c r="L484" i="17" a="1"/>
  <c r="M484" i="17" s="1"/>
  <c r="L485" i="17" a="1"/>
  <c r="M485" i="17" s="1"/>
  <c r="L486" i="17" a="1"/>
  <c r="M486" i="17" s="1"/>
  <c r="L487" i="17" a="1"/>
  <c r="M487" i="17" s="1"/>
  <c r="L488" i="17" a="1"/>
  <c r="M488" i="17" s="1"/>
  <c r="L489" i="17" a="1"/>
  <c r="M489" i="17" s="1"/>
  <c r="L490" i="17" a="1"/>
  <c r="M490" i="17" s="1"/>
  <c r="L491" i="17" a="1"/>
  <c r="M491" i="17" s="1"/>
  <c r="L492" i="17" a="1"/>
  <c r="M492" i="17" s="1"/>
  <c r="L493" i="17" a="1"/>
  <c r="M493" i="17" s="1"/>
  <c r="L494" i="17" a="1"/>
  <c r="M494" i="17" s="1"/>
  <c r="L495" i="17" a="1"/>
  <c r="M495" i="17" s="1"/>
  <c r="L496" i="17" a="1"/>
  <c r="M496" i="17" s="1"/>
  <c r="L497" i="17" a="1"/>
  <c r="M497" i="17" s="1"/>
  <c r="L498" i="17" a="1"/>
  <c r="M498" i="17" s="1"/>
  <c r="L499" i="17" a="1"/>
  <c r="M499" i="17" s="1"/>
  <c r="L500" i="17" a="1"/>
  <c r="M500" i="17" s="1"/>
  <c r="L501" i="17" a="1"/>
  <c r="M501" i="17" s="1"/>
  <c r="L502" i="17" a="1"/>
  <c r="M502" i="17" s="1"/>
  <c r="L503" i="17" a="1"/>
  <c r="M503" i="17" s="1"/>
  <c r="L504" i="17" a="1"/>
  <c r="M504" i="17" s="1"/>
  <c r="L505" i="17" a="1"/>
  <c r="M505" i="17" s="1"/>
  <c r="L506" i="17" a="1"/>
  <c r="M506" i="17" s="1"/>
  <c r="L507" i="17" a="1"/>
  <c r="M507" i="17" s="1"/>
  <c r="L508" i="17" a="1"/>
  <c r="M508" i="17" s="1"/>
  <c r="L509" i="17" a="1"/>
  <c r="M509" i="17" s="1"/>
  <c r="L510" i="17" a="1"/>
  <c r="M510" i="17" s="1"/>
  <c r="L511" i="17" a="1"/>
  <c r="M511" i="17" s="1"/>
  <c r="L512" i="17" a="1"/>
  <c r="M512" i="17" s="1"/>
  <c r="L513" i="17" a="1"/>
  <c r="M513" i="17" s="1"/>
  <c r="L514" i="17" a="1"/>
  <c r="M514" i="17" s="1"/>
  <c r="L515" i="17" a="1"/>
  <c r="M515" i="17" s="1"/>
  <c r="L516" i="17" a="1"/>
  <c r="M516" i="17" s="1"/>
  <c r="L517" i="17" a="1"/>
  <c r="M517" i="17" s="1"/>
  <c r="L518" i="17" a="1"/>
  <c r="M518" i="17" s="1"/>
  <c r="L519" i="17" a="1"/>
  <c r="M519" i="17" s="1"/>
  <c r="L520" i="17" a="1"/>
  <c r="M520" i="17" s="1"/>
  <c r="L521" i="17" a="1"/>
  <c r="M521" i="17" s="1"/>
  <c r="L522" i="17" a="1"/>
  <c r="M522" i="17" s="1"/>
  <c r="L523" i="17" a="1"/>
  <c r="M523" i="17" s="1"/>
  <c r="L524" i="17" a="1"/>
  <c r="M524" i="17" s="1"/>
  <c r="L525" i="17" a="1"/>
  <c r="M525" i="17" s="1"/>
  <c r="L526" i="17" a="1"/>
  <c r="M526" i="17" s="1"/>
  <c r="L527" i="17" a="1"/>
  <c r="M527" i="17" s="1"/>
  <c r="L528" i="17" a="1"/>
  <c r="M528" i="17" s="1"/>
  <c r="L529" i="17" a="1"/>
  <c r="M529" i="17" s="1"/>
  <c r="L530" i="17" a="1"/>
  <c r="M530" i="17" s="1"/>
  <c r="L531" i="17" a="1"/>
  <c r="M531" i="17" s="1"/>
  <c r="L532" i="17" a="1"/>
  <c r="M532" i="17" s="1"/>
  <c r="L533" i="17" a="1"/>
  <c r="M533" i="17" s="1"/>
  <c r="L534" i="17" a="1"/>
  <c r="M534" i="17" s="1"/>
  <c r="L535" i="17" a="1"/>
  <c r="M535" i="17" s="1"/>
  <c r="L536" i="17" a="1"/>
  <c r="M536" i="17" s="1"/>
  <c r="L537" i="17" a="1"/>
  <c r="M537" i="17" s="1"/>
  <c r="L538" i="17" a="1"/>
  <c r="M538" i="17" s="1"/>
  <c r="L539" i="17" a="1"/>
  <c r="M539" i="17" s="1"/>
  <c r="L540" i="17" a="1"/>
  <c r="M540" i="17" s="1"/>
  <c r="L541" i="17" a="1"/>
  <c r="M541" i="17" s="1"/>
  <c r="L542" i="17" a="1"/>
  <c r="M542" i="17" s="1"/>
  <c r="L543" i="17" a="1"/>
  <c r="M543" i="17" s="1"/>
  <c r="L544" i="17" a="1"/>
  <c r="M544" i="17" s="1"/>
  <c r="L545" i="17" a="1"/>
  <c r="M545" i="17" s="1"/>
  <c r="L546" i="17" a="1"/>
  <c r="M546" i="17" s="1"/>
  <c r="L547" i="17" a="1"/>
  <c r="M547" i="17" s="1"/>
  <c r="L548" i="17" a="1"/>
  <c r="M548" i="17" s="1"/>
  <c r="L549" i="17" a="1"/>
  <c r="M549" i="17" s="1"/>
  <c r="L550" i="17" a="1"/>
  <c r="M550" i="17" s="1"/>
  <c r="L551" i="17" a="1"/>
  <c r="M551" i="17" s="1"/>
  <c r="L552" i="17" a="1"/>
  <c r="M552" i="17" s="1"/>
  <c r="L553" i="17" a="1"/>
  <c r="M553" i="17" s="1"/>
  <c r="L554" i="17" a="1"/>
  <c r="M554" i="17" s="1"/>
  <c r="L555" i="17" a="1"/>
  <c r="M555" i="17" s="1"/>
  <c r="L556" i="17" a="1"/>
  <c r="M556" i="17" s="1"/>
  <c r="L557" i="17" a="1"/>
  <c r="M557" i="17" s="1"/>
  <c r="L558" i="17" a="1"/>
  <c r="M558" i="17" s="1"/>
  <c r="L559" i="17" a="1"/>
  <c r="M559" i="17" s="1"/>
  <c r="L560" i="17" a="1"/>
  <c r="M560" i="17" s="1"/>
  <c r="L561" i="17" a="1"/>
  <c r="M561" i="17" s="1"/>
  <c r="L562" i="17" a="1"/>
  <c r="M562" i="17" s="1"/>
  <c r="L563" i="17" a="1"/>
  <c r="M563" i="17" s="1"/>
  <c r="L564" i="17" a="1"/>
  <c r="M564" i="17" s="1"/>
  <c r="L565" i="17" a="1"/>
  <c r="M565" i="17" s="1"/>
  <c r="L566" i="17" a="1"/>
  <c r="M566" i="17" s="1"/>
  <c r="L567" i="17" a="1"/>
  <c r="M567" i="17" s="1"/>
  <c r="L568" i="17" a="1"/>
  <c r="M568" i="17" s="1"/>
  <c r="L569" i="17" a="1"/>
  <c r="M569" i="17" s="1"/>
  <c r="L570" i="17" a="1"/>
  <c r="M570" i="17" s="1"/>
  <c r="L571" i="17" a="1"/>
  <c r="M571" i="17" s="1"/>
  <c r="L572" i="17" a="1"/>
  <c r="M572" i="17" s="1"/>
  <c r="L573" i="17" a="1"/>
  <c r="M573" i="17" s="1"/>
  <c r="L574" i="17" a="1"/>
  <c r="M574" i="17" s="1"/>
  <c r="L575" i="17" a="1"/>
  <c r="M575" i="17" s="1"/>
  <c r="L576" i="17" a="1"/>
  <c r="M576" i="17" s="1"/>
  <c r="L577" i="17" a="1"/>
  <c r="M577" i="17" s="1"/>
  <c r="L578" i="17" a="1"/>
  <c r="M578" i="17" s="1"/>
  <c r="L579" i="17" a="1"/>
  <c r="M579" i="17" s="1"/>
  <c r="L580" i="17" a="1"/>
  <c r="M580" i="17" s="1"/>
  <c r="L581" i="17" a="1"/>
  <c r="M581" i="17" s="1"/>
  <c r="L582" i="17" a="1"/>
  <c r="M582" i="17" s="1"/>
  <c r="L583" i="17" a="1"/>
  <c r="M583" i="17" s="1"/>
  <c r="L584" i="17" a="1"/>
  <c r="M584" i="17" s="1"/>
  <c r="L585" i="17" a="1"/>
  <c r="M585" i="17" s="1"/>
  <c r="L586" i="17" a="1"/>
  <c r="M586" i="17" s="1"/>
  <c r="L587" i="17" a="1"/>
  <c r="M587" i="17" s="1"/>
  <c r="L588" i="17" a="1"/>
  <c r="M588" i="17" s="1"/>
  <c r="L589" i="17" a="1"/>
  <c r="M589" i="17" s="1"/>
  <c r="L590" i="17" a="1"/>
  <c r="M590" i="17" s="1"/>
  <c r="L591" i="17" a="1"/>
  <c r="M591" i="17" s="1"/>
  <c r="L592" i="17" a="1"/>
  <c r="M592" i="17" s="1"/>
  <c r="L593" i="17" a="1"/>
  <c r="M593" i="17" s="1"/>
  <c r="L594" i="17" a="1"/>
  <c r="M594" i="17" s="1"/>
  <c r="L595" i="17" a="1"/>
  <c r="M595" i="17" s="1"/>
  <c r="L596" i="17" a="1"/>
  <c r="M596" i="17" s="1"/>
  <c r="L597" i="17" a="1"/>
  <c r="M597" i="17" s="1"/>
  <c r="L598" i="17" a="1"/>
  <c r="M598" i="17" s="1"/>
  <c r="L599" i="17" a="1"/>
  <c r="M599" i="17" s="1"/>
  <c r="L600" i="17" a="1"/>
  <c r="M600" i="17" s="1"/>
  <c r="L601" i="17" a="1"/>
  <c r="M601" i="17" s="1"/>
  <c r="L602" i="17" a="1"/>
  <c r="M602" i="17" s="1"/>
  <c r="L603" i="17" a="1"/>
  <c r="M603" i="17" s="1"/>
  <c r="L604" i="17" a="1"/>
  <c r="M604" i="17" s="1"/>
  <c r="L605" i="17" a="1"/>
  <c r="M605" i="17" s="1"/>
  <c r="L606" i="17" a="1"/>
  <c r="M606" i="17" s="1"/>
  <c r="L607" i="17" a="1"/>
  <c r="M607" i="17" s="1"/>
  <c r="L608" i="17" a="1"/>
  <c r="M608" i="17" s="1"/>
  <c r="L609" i="17" a="1"/>
  <c r="M609" i="17" s="1"/>
  <c r="L610" i="17" a="1"/>
  <c r="M610" i="17" s="1"/>
  <c r="L611" i="17" a="1"/>
  <c r="M611" i="17" s="1"/>
  <c r="L612" i="17" a="1"/>
  <c r="M612" i="17" s="1"/>
  <c r="L613" i="17" a="1"/>
  <c r="M613" i="17" s="1"/>
  <c r="L614" i="17" a="1"/>
  <c r="M614" i="17" s="1"/>
  <c r="L615" i="17" a="1"/>
  <c r="M615" i="17" s="1"/>
  <c r="L616" i="17" a="1"/>
  <c r="M616" i="17" s="1"/>
  <c r="L617" i="17" a="1"/>
  <c r="M617" i="17" s="1"/>
  <c r="L618" i="17" a="1"/>
  <c r="M618" i="17" s="1"/>
  <c r="L619" i="17" a="1"/>
  <c r="M619" i="17" s="1"/>
  <c r="L620" i="17" a="1"/>
  <c r="M620" i="17" s="1"/>
  <c r="L621" i="17" a="1"/>
  <c r="M621" i="17" s="1"/>
  <c r="L622" i="17" a="1"/>
  <c r="M622" i="17" s="1"/>
  <c r="L623" i="17" a="1"/>
  <c r="M623" i="17" s="1"/>
  <c r="L624" i="17" a="1"/>
  <c r="M624" i="17" s="1"/>
  <c r="L625" i="17" a="1"/>
  <c r="M625" i="17" s="1"/>
  <c r="L626" i="17" a="1"/>
  <c r="M626" i="17" s="1"/>
  <c r="L627" i="17" a="1"/>
  <c r="M627" i="17" s="1"/>
  <c r="L628" i="17" a="1"/>
  <c r="M628" i="17" s="1"/>
  <c r="L629" i="17" a="1"/>
  <c r="M629" i="17" s="1"/>
  <c r="L630" i="17" a="1"/>
  <c r="M630" i="17" s="1"/>
  <c r="L631" i="17" a="1"/>
  <c r="M631" i="17" s="1"/>
  <c r="L632" i="17" a="1"/>
  <c r="M632" i="17" s="1"/>
  <c r="L633" i="17" a="1"/>
  <c r="M633" i="17" s="1"/>
  <c r="L634" i="17" a="1"/>
  <c r="M634" i="17" s="1"/>
  <c r="L635" i="17" a="1"/>
  <c r="M635" i="17" s="1"/>
  <c r="L636" i="17" a="1"/>
  <c r="M636" i="17" s="1"/>
  <c r="L637" i="17" a="1"/>
  <c r="M637" i="17" s="1"/>
  <c r="L638" i="17" a="1"/>
  <c r="M638" i="17" s="1"/>
  <c r="L639" i="17" a="1"/>
  <c r="M639" i="17" s="1"/>
  <c r="L640" i="17" a="1"/>
  <c r="M640" i="17" s="1"/>
  <c r="L641" i="17" a="1"/>
  <c r="M641" i="17" s="1"/>
  <c r="L642" i="17" a="1"/>
  <c r="M642" i="17" s="1"/>
  <c r="L643" i="17" a="1"/>
  <c r="M643" i="17" s="1"/>
  <c r="L644" i="17" a="1"/>
  <c r="M644" i="17" s="1"/>
  <c r="L645" i="17" a="1"/>
  <c r="M645" i="17" s="1"/>
  <c r="L646" i="17" a="1"/>
  <c r="M646" i="17" s="1"/>
  <c r="L647" i="17" a="1"/>
  <c r="M647" i="17" s="1"/>
  <c r="L648" i="17" a="1"/>
  <c r="M648" i="17" s="1"/>
  <c r="L649" i="17" a="1"/>
  <c r="M649" i="17" s="1"/>
  <c r="L650" i="17" a="1"/>
  <c r="M650" i="17" s="1"/>
  <c r="L651" i="17" a="1"/>
  <c r="M651" i="17" s="1"/>
  <c r="L652" i="17" a="1"/>
  <c r="M652" i="17" s="1"/>
  <c r="L653" i="17" a="1"/>
  <c r="M653" i="17" s="1"/>
  <c r="L654" i="17" a="1"/>
  <c r="M654" i="17" s="1"/>
  <c r="L655" i="17" a="1"/>
  <c r="M655" i="17" s="1"/>
  <c r="L656" i="17" a="1"/>
  <c r="M656" i="17" s="1"/>
  <c r="L657" i="17" a="1"/>
  <c r="M657" i="17" s="1"/>
  <c r="L658" i="17" a="1"/>
  <c r="M658" i="17" s="1"/>
  <c r="L659" i="17" a="1"/>
  <c r="M659" i="17" s="1"/>
  <c r="L660" i="17" a="1"/>
  <c r="M660" i="17" s="1"/>
  <c r="L661" i="17" a="1"/>
  <c r="M661" i="17" s="1"/>
  <c r="L662" i="17" a="1"/>
  <c r="M662" i="17" s="1"/>
  <c r="L663" i="17" a="1"/>
  <c r="M663" i="17" s="1"/>
  <c r="L664" i="17" a="1"/>
  <c r="M664" i="17" s="1"/>
  <c r="L665" i="17" a="1"/>
  <c r="M665" i="17" s="1"/>
  <c r="L666" i="17" a="1"/>
  <c r="M666" i="17" s="1"/>
  <c r="L667" i="17" a="1"/>
  <c r="M667" i="17" s="1"/>
  <c r="L668" i="17" a="1"/>
  <c r="M668" i="17" s="1"/>
  <c r="L669" i="17" a="1"/>
  <c r="M669" i="17" s="1"/>
  <c r="L670" i="17" a="1"/>
  <c r="M670" i="17" s="1"/>
  <c r="L671" i="17" a="1"/>
  <c r="M671" i="17" s="1"/>
  <c r="L672" i="17" a="1"/>
  <c r="M672" i="17" s="1"/>
  <c r="L673" i="17" a="1"/>
  <c r="M673" i="17" s="1"/>
  <c r="L674" i="17" a="1"/>
  <c r="M674" i="17" s="1"/>
  <c r="L675" i="17" a="1"/>
  <c r="M675" i="17" s="1"/>
  <c r="L676" i="17" a="1"/>
  <c r="M676" i="17" s="1"/>
  <c r="L677" i="17" a="1"/>
  <c r="M677" i="17" s="1"/>
  <c r="L678" i="17" a="1"/>
  <c r="M678" i="17" s="1"/>
  <c r="L679" i="17" a="1"/>
  <c r="M679" i="17" s="1"/>
  <c r="L680" i="17" a="1"/>
  <c r="M680" i="17" s="1"/>
  <c r="L681" i="17" a="1"/>
  <c r="M681" i="17" s="1"/>
  <c r="L682" i="17" a="1"/>
  <c r="M682" i="17" s="1"/>
  <c r="L683" i="17" a="1"/>
  <c r="M683" i="17" s="1"/>
  <c r="L684" i="17" a="1"/>
  <c r="M684" i="17" s="1"/>
  <c r="L685" i="17" a="1"/>
  <c r="M685" i="17" s="1"/>
  <c r="L686" i="17" a="1"/>
  <c r="M686" i="17" s="1"/>
  <c r="L687" i="17" a="1"/>
  <c r="M687" i="17" s="1"/>
  <c r="L688" i="17" a="1"/>
  <c r="M688" i="17" s="1"/>
  <c r="L689" i="17" a="1"/>
  <c r="L690" i="17" a="1"/>
  <c r="L691" i="17" a="1"/>
  <c r="L692" i="17" a="1"/>
  <c r="L693" i="17" a="1"/>
  <c r="L694" i="17" a="1"/>
  <c r="L695" i="17" a="1"/>
  <c r="L696" i="17" a="1"/>
  <c r="L697" i="17" a="1"/>
  <c r="L698" i="17" a="1"/>
  <c r="L699" i="17" a="1"/>
  <c r="M699" i="17" s="1"/>
  <c r="L700" i="17" a="1"/>
  <c r="M700" i="17" s="1"/>
  <c r="L701" i="17" a="1"/>
  <c r="M701" i="17" s="1"/>
  <c r="L702" i="17" a="1"/>
  <c r="M702" i="17" s="1"/>
  <c r="L703" i="17" a="1"/>
  <c r="M703" i="17" s="1"/>
  <c r="L704" i="17" a="1"/>
  <c r="M704" i="17" s="1"/>
  <c r="L705" i="17" a="1"/>
  <c r="M705" i="17" s="1"/>
  <c r="L706" i="17" a="1"/>
  <c r="M706" i="17" s="1"/>
  <c r="L707" i="17" a="1"/>
  <c r="M707" i="17" s="1"/>
  <c r="L708" i="17" a="1"/>
  <c r="M708" i="17" s="1"/>
  <c r="L709" i="17" a="1"/>
  <c r="M709" i="17" s="1"/>
  <c r="L710" i="17" a="1"/>
  <c r="M710" i="17" s="1"/>
  <c r="L711" i="17" a="1"/>
  <c r="M711" i="17" s="1"/>
  <c r="L712" i="17" a="1"/>
  <c r="M712" i="17" s="1"/>
  <c r="L713" i="17" a="1"/>
  <c r="M713" i="17" s="1"/>
  <c r="L714" i="17" a="1"/>
  <c r="M714" i="17" s="1"/>
  <c r="L715" i="17" a="1"/>
  <c r="M715" i="17" s="1"/>
  <c r="L716" i="17" a="1"/>
  <c r="M716" i="17" s="1"/>
  <c r="L717" i="17" a="1"/>
  <c r="M717" i="17" s="1"/>
  <c r="L718" i="17" a="1"/>
  <c r="M718" i="17" s="1"/>
  <c r="L719" i="17" a="1"/>
  <c r="M719" i="17" s="1"/>
  <c r="L720" i="17" a="1"/>
  <c r="M720" i="17" s="1"/>
  <c r="L721" i="17" a="1"/>
  <c r="M721" i="17" s="1"/>
  <c r="L722" i="17" a="1"/>
  <c r="M722" i="17" s="1"/>
  <c r="L723" i="17" a="1"/>
  <c r="M723" i="17" s="1"/>
  <c r="L724" i="17" a="1"/>
  <c r="M724" i="17" s="1"/>
  <c r="L725" i="17" a="1"/>
  <c r="M725" i="17" s="1"/>
  <c r="L726" i="17" a="1"/>
  <c r="M726" i="17" s="1"/>
  <c r="L727" i="17" a="1"/>
  <c r="M727" i="17" s="1"/>
  <c r="L728" i="17" a="1"/>
  <c r="M728" i="17" s="1"/>
  <c r="L729" i="17" a="1"/>
  <c r="M729" i="17" s="1"/>
  <c r="L730" i="17" a="1"/>
  <c r="M730" i="17" s="1"/>
  <c r="L731" i="17" a="1"/>
  <c r="M731" i="17" s="1"/>
  <c r="L732" i="17" a="1"/>
  <c r="M732" i="17" s="1"/>
  <c r="L733" i="17" a="1"/>
  <c r="M733" i="17" s="1"/>
  <c r="L734" i="17" a="1"/>
  <c r="M734" i="17" s="1"/>
  <c r="L735" i="17" a="1"/>
  <c r="M735" i="17" s="1"/>
  <c r="L736" i="17" a="1"/>
  <c r="M736" i="17" s="1"/>
  <c r="L737" i="17" a="1"/>
  <c r="M737" i="17" s="1"/>
  <c r="L738" i="17" a="1"/>
  <c r="M738" i="17" s="1"/>
  <c r="L739" i="17" a="1"/>
  <c r="M739" i="17" s="1"/>
  <c r="L740" i="17" a="1"/>
  <c r="M740" i="17" s="1"/>
  <c r="L741" i="17" a="1"/>
  <c r="M741" i="17" s="1"/>
  <c r="L742" i="17" a="1"/>
  <c r="M742" i="17" s="1"/>
  <c r="L743" i="17" a="1"/>
  <c r="M743" i="17" s="1"/>
  <c r="L744" i="17" a="1"/>
  <c r="M744" i="17" s="1"/>
  <c r="L745" i="17" a="1"/>
  <c r="M745" i="17" s="1"/>
  <c r="L746" i="17" a="1"/>
  <c r="M746" i="17" s="1"/>
  <c r="L747" i="17" a="1"/>
  <c r="M747" i="17" s="1"/>
  <c r="L748" i="17" a="1"/>
  <c r="M748" i="17" s="1"/>
  <c r="L749" i="17" a="1"/>
  <c r="M749" i="17" s="1"/>
  <c r="L750" i="17" a="1"/>
  <c r="M750" i="17" s="1"/>
  <c r="L751" i="17" a="1"/>
  <c r="M751" i="17" s="1"/>
  <c r="L752" i="17" a="1"/>
  <c r="M752" i="17" s="1"/>
  <c r="L753" i="17" a="1"/>
  <c r="M753" i="17" s="1"/>
  <c r="L754" i="17" a="1"/>
  <c r="M754" i="17" s="1"/>
  <c r="L755" i="17" a="1"/>
  <c r="M755" i="17" s="1"/>
  <c r="L756" i="17" a="1"/>
  <c r="M756" i="17" s="1"/>
  <c r="L757" i="17" a="1"/>
  <c r="M757" i="17" s="1"/>
  <c r="L758" i="17" a="1"/>
  <c r="M758" i="17" s="1"/>
  <c r="L759" i="17" a="1"/>
  <c r="M759" i="17" s="1"/>
  <c r="L760" i="17" a="1"/>
  <c r="M760" i="17" s="1"/>
  <c r="L761" i="17" a="1"/>
  <c r="M761" i="17" s="1"/>
  <c r="L762" i="17" a="1"/>
  <c r="M762" i="17" s="1"/>
  <c r="L763" i="17" a="1"/>
  <c r="M763" i="17" s="1"/>
  <c r="L764" i="17" a="1"/>
  <c r="M764" i="17" s="1"/>
  <c r="L765" i="17" a="1"/>
  <c r="M765" i="17" s="1"/>
  <c r="L766" i="17" a="1"/>
  <c r="M766" i="17" s="1"/>
  <c r="L767" i="17" a="1"/>
  <c r="M767" i="17" s="1"/>
  <c r="L768" i="17" a="1"/>
  <c r="M768" i="17" s="1"/>
  <c r="L769" i="17" a="1"/>
  <c r="M769" i="17" s="1"/>
  <c r="L770" i="17" a="1"/>
  <c r="M770" i="17" s="1"/>
  <c r="L771" i="17" a="1"/>
  <c r="M771" i="17" s="1"/>
  <c r="L772" i="17" a="1"/>
  <c r="M772" i="17" s="1"/>
  <c r="L773" i="17" a="1"/>
  <c r="M773" i="17" s="1"/>
  <c r="L774" i="17" a="1"/>
  <c r="M774" i="17" s="1"/>
  <c r="L775" i="17" a="1"/>
  <c r="M775" i="17" s="1"/>
  <c r="L776" i="17" a="1"/>
  <c r="M776" i="17" s="1"/>
  <c r="L777" i="17" a="1"/>
  <c r="M777" i="17" s="1"/>
  <c r="L778" i="17" a="1"/>
  <c r="M778" i="17" s="1"/>
  <c r="L779" i="17" a="1"/>
  <c r="M779" i="17" s="1"/>
  <c r="L780" i="17" a="1"/>
  <c r="M780" i="17" s="1"/>
  <c r="L781" i="17" a="1"/>
  <c r="M781" i="17" s="1"/>
  <c r="L782" i="17" a="1"/>
  <c r="M782" i="17" s="1"/>
  <c r="L783" i="17" a="1"/>
  <c r="M783" i="17" s="1"/>
  <c r="L784" i="17" a="1"/>
  <c r="M784" i="17" s="1"/>
  <c r="L785" i="17" a="1"/>
  <c r="M785" i="17" s="1"/>
  <c r="L786" i="17" a="1"/>
  <c r="M786" i="17" s="1"/>
  <c r="L787" i="17" a="1"/>
  <c r="M787" i="17" s="1"/>
  <c r="L788" i="17" a="1"/>
  <c r="M788" i="17" s="1"/>
  <c r="L789" i="17" a="1"/>
  <c r="M789" i="17" s="1"/>
  <c r="L790" i="17" a="1"/>
  <c r="M790" i="17" s="1"/>
  <c r="L791" i="17" a="1"/>
  <c r="M791" i="17" s="1"/>
  <c r="L792" i="17" a="1"/>
  <c r="M792" i="17" s="1"/>
  <c r="L793" i="17" a="1"/>
  <c r="M793" i="17" s="1"/>
  <c r="L794" i="17" a="1"/>
  <c r="M794" i="17" s="1"/>
  <c r="L795" i="17" a="1"/>
  <c r="M795" i="17" s="1"/>
  <c r="L796" i="17" a="1"/>
  <c r="M796" i="17" s="1"/>
  <c r="L797" i="17" a="1"/>
  <c r="M797" i="17" s="1"/>
  <c r="L798" i="17" a="1"/>
  <c r="M798" i="17" s="1"/>
  <c r="L799" i="17" a="1"/>
  <c r="M799" i="17" s="1"/>
  <c r="L800" i="17" a="1"/>
  <c r="M800" i="17" s="1"/>
  <c r="L801" i="17" a="1"/>
  <c r="M801" i="17" s="1"/>
  <c r="L802" i="17" a="1"/>
  <c r="M802" i="17" s="1"/>
  <c r="L803" i="17" a="1"/>
  <c r="M803" i="17" s="1"/>
  <c r="L804" i="17" a="1"/>
  <c r="M804" i="17" s="1"/>
  <c r="L805" i="17" a="1"/>
  <c r="M805" i="17" s="1"/>
  <c r="L806" i="17" a="1"/>
  <c r="M806" i="17" s="1"/>
  <c r="L807" i="17" a="1"/>
  <c r="M807" i="17" s="1"/>
  <c r="L808" i="17" a="1"/>
  <c r="M808" i="17" s="1"/>
  <c r="L809" i="17" a="1"/>
  <c r="M809" i="17" s="1"/>
  <c r="L810" i="17" a="1"/>
  <c r="M810" i="17" s="1"/>
  <c r="L811" i="17" a="1"/>
  <c r="M811" i="17" s="1"/>
  <c r="L812" i="17" a="1"/>
  <c r="M812" i="17" s="1"/>
  <c r="L813" i="17" a="1"/>
  <c r="M813" i="17" s="1"/>
  <c r="L814" i="17" a="1"/>
  <c r="M814" i="17" s="1"/>
  <c r="L815" i="17" a="1"/>
  <c r="M815" i="17" s="1"/>
  <c r="L816" i="17" a="1"/>
  <c r="M816" i="17" s="1"/>
  <c r="L817" i="17" a="1"/>
  <c r="M817" i="17" s="1"/>
  <c r="L818" i="17" a="1"/>
  <c r="M818" i="17" s="1"/>
  <c r="L819" i="17" a="1"/>
  <c r="M819" i="17" s="1"/>
  <c r="L820" i="17" a="1"/>
  <c r="M820" i="17" s="1"/>
  <c r="L821" i="17" a="1"/>
  <c r="M821" i="17" s="1"/>
  <c r="L822" i="17" a="1"/>
  <c r="M822" i="17" s="1"/>
  <c r="L823" i="17" a="1"/>
  <c r="M823" i="17" s="1"/>
  <c r="L824" i="17" a="1"/>
  <c r="M824" i="17" s="1"/>
  <c r="L825" i="17" a="1"/>
  <c r="M825" i="17" s="1"/>
  <c r="L826" i="17" a="1"/>
  <c r="M826" i="17" s="1"/>
  <c r="L827" i="17" a="1"/>
  <c r="M827" i="17" s="1"/>
  <c r="L828" i="17" a="1"/>
  <c r="M828" i="17" s="1"/>
  <c r="L829" i="17" a="1"/>
  <c r="M829" i="17" s="1"/>
  <c r="L830" i="17" a="1"/>
  <c r="M830" i="17" s="1"/>
  <c r="L831" i="17" a="1"/>
  <c r="M831" i="17" s="1"/>
  <c r="L832" i="17" a="1"/>
  <c r="M832" i="17" s="1"/>
  <c r="L833" i="17" a="1"/>
  <c r="M833" i="17" s="1"/>
  <c r="L834" i="17" a="1"/>
  <c r="M834" i="17" s="1"/>
  <c r="L835" i="17" a="1"/>
  <c r="M835" i="17" s="1"/>
  <c r="L836" i="17" a="1"/>
  <c r="M836" i="17" s="1"/>
  <c r="L837" i="17" a="1"/>
  <c r="M837" i="17" s="1"/>
  <c r="L838" i="17" a="1"/>
  <c r="M838" i="17" s="1"/>
  <c r="L839" i="17" a="1"/>
  <c r="M839" i="17" s="1"/>
  <c r="L840" i="17" a="1"/>
  <c r="M840" i="17" s="1"/>
  <c r="L841" i="17" a="1"/>
  <c r="M841" i="17" s="1"/>
  <c r="L842" i="17" a="1"/>
  <c r="M842" i="17" s="1"/>
  <c r="L843" i="17" a="1"/>
  <c r="M843" i="17" s="1"/>
  <c r="L844" i="17" a="1"/>
  <c r="M844" i="17" s="1"/>
  <c r="L845" i="17" a="1"/>
  <c r="M845" i="17" s="1"/>
  <c r="L846" i="17" a="1"/>
  <c r="M846" i="17" s="1"/>
  <c r="L847" i="17" a="1"/>
  <c r="M847" i="17" s="1"/>
  <c r="L848" i="17" a="1"/>
  <c r="M848" i="17" s="1"/>
  <c r="L849" i="17" a="1"/>
  <c r="M849" i="17" s="1"/>
  <c r="L850" i="17" a="1"/>
  <c r="M850" i="17" s="1"/>
  <c r="L851" i="17" a="1"/>
  <c r="M851" i="17" s="1"/>
  <c r="L852" i="17" a="1"/>
  <c r="M852" i="17" s="1"/>
  <c r="L853" i="17" a="1"/>
  <c r="M853" i="17" s="1"/>
  <c r="L854" i="17" a="1"/>
  <c r="M854" i="17" s="1"/>
  <c r="L855" i="17" a="1"/>
  <c r="M855" i="17" s="1"/>
  <c r="L856" i="17" a="1"/>
  <c r="M856" i="17" s="1"/>
  <c r="L857" i="17" a="1"/>
  <c r="M857" i="17" s="1"/>
  <c r="L858" i="17" a="1"/>
  <c r="M858" i="17" s="1"/>
  <c r="L859" i="17" a="1"/>
  <c r="M859" i="17" s="1"/>
  <c r="L860" i="17" a="1"/>
  <c r="M860" i="17" s="1"/>
  <c r="L861" i="17" a="1"/>
  <c r="M861" i="17" s="1"/>
  <c r="L862" i="17" a="1"/>
  <c r="M862" i="17" s="1"/>
  <c r="L863" i="17" a="1"/>
  <c r="M863" i="17" s="1"/>
  <c r="L864" i="17" a="1"/>
  <c r="M864" i="17" s="1"/>
  <c r="L865" i="17" a="1"/>
  <c r="M865" i="17" s="1"/>
  <c r="L866" i="17" a="1"/>
  <c r="M866" i="17" s="1"/>
  <c r="L867" i="17" a="1"/>
  <c r="M867" i="17" s="1"/>
  <c r="L868" i="17" a="1"/>
  <c r="M868" i="17" s="1"/>
  <c r="L869" i="17" a="1"/>
  <c r="M869" i="17" s="1"/>
  <c r="L870" i="17" a="1"/>
  <c r="M870" i="17" s="1"/>
  <c r="L871" i="17" a="1"/>
  <c r="M871" i="17" s="1"/>
  <c r="L872" i="17" a="1"/>
  <c r="M872" i="17" s="1"/>
  <c r="L873" i="17" a="1"/>
  <c r="M873" i="17" s="1"/>
  <c r="L874" i="17" a="1"/>
  <c r="M874" i="17" s="1"/>
  <c r="L875" i="17" a="1"/>
  <c r="M875" i="17" s="1"/>
  <c r="L876" i="17" a="1"/>
  <c r="M876" i="17" s="1"/>
  <c r="L877" i="17" a="1"/>
  <c r="M877" i="17" s="1"/>
  <c r="L878" i="17" a="1"/>
  <c r="M878" i="17" s="1"/>
  <c r="L879" i="17" a="1"/>
  <c r="M879" i="17" s="1"/>
  <c r="L880" i="17" a="1"/>
  <c r="M880" i="17" s="1"/>
  <c r="L881" i="17" a="1"/>
  <c r="M881" i="17" s="1"/>
  <c r="L882" i="17" a="1"/>
  <c r="M882" i="17" s="1"/>
  <c r="L883" i="17" a="1"/>
  <c r="M883" i="17" s="1"/>
  <c r="L884" i="17" a="1"/>
  <c r="M884" i="17" s="1"/>
  <c r="L885" i="17" a="1"/>
  <c r="M885" i="17" s="1"/>
  <c r="L886" i="17" a="1"/>
  <c r="M886" i="17" s="1"/>
  <c r="L887" i="17" a="1"/>
  <c r="M887" i="17" s="1"/>
  <c r="L888" i="17" a="1"/>
  <c r="M888" i="17" s="1"/>
  <c r="L889" i="17" a="1"/>
  <c r="M889" i="17" s="1"/>
  <c r="L890" i="17" a="1"/>
  <c r="M890" i="17" s="1"/>
  <c r="L891" i="17" a="1"/>
  <c r="M891" i="17" s="1"/>
  <c r="L892" i="17" a="1"/>
  <c r="M892" i="17" s="1"/>
  <c r="L893" i="17" a="1"/>
  <c r="M893" i="17" s="1"/>
  <c r="L894" i="17" a="1"/>
  <c r="M894" i="17" s="1"/>
  <c r="L895" i="17" a="1"/>
  <c r="M895" i="17" s="1"/>
  <c r="L896" i="17" a="1"/>
  <c r="M896" i="17" s="1"/>
  <c r="L897" i="17" a="1"/>
  <c r="M897" i="17" s="1"/>
  <c r="L898" i="17" a="1"/>
  <c r="M898" i="17" s="1"/>
  <c r="L899" i="17" a="1"/>
  <c r="M899" i="17" s="1"/>
  <c r="L900" i="17" a="1"/>
  <c r="M900" i="17" s="1"/>
  <c r="L901" i="17" a="1"/>
  <c r="M901" i="17" s="1"/>
  <c r="L902" i="17" a="1"/>
  <c r="M902" i="17" s="1"/>
  <c r="L903" i="17" a="1"/>
  <c r="M903" i="17" s="1"/>
  <c r="L904" i="17" a="1"/>
  <c r="M904" i="17" s="1"/>
  <c r="L905" i="17" a="1"/>
  <c r="M905" i="17" s="1"/>
  <c r="L906" i="17" a="1"/>
  <c r="M906" i="17" s="1"/>
  <c r="L907" i="17" a="1"/>
  <c r="M907" i="17" s="1"/>
  <c r="L908" i="17" a="1"/>
  <c r="M908" i="17" s="1"/>
  <c r="L909" i="17" a="1"/>
  <c r="M909" i="17" s="1"/>
  <c r="L910" i="17" a="1"/>
  <c r="M910" i="17" s="1"/>
  <c r="L911" i="17" a="1"/>
  <c r="M911" i="17" s="1"/>
  <c r="L912" i="17" a="1"/>
  <c r="M912" i="17" s="1"/>
  <c r="L913" i="17" a="1"/>
  <c r="M913" i="17" s="1"/>
  <c r="L914" i="17" a="1"/>
  <c r="M914" i="17" s="1"/>
  <c r="L915" i="17" a="1"/>
  <c r="M915" i="17" s="1"/>
  <c r="L916" i="17" a="1"/>
  <c r="M916" i="17" s="1"/>
  <c r="L917" i="17" a="1"/>
  <c r="M917" i="17" s="1"/>
  <c r="L918" i="17" a="1"/>
  <c r="M918" i="17" s="1"/>
  <c r="L919" i="17" a="1"/>
  <c r="M919" i="17" s="1"/>
  <c r="L920" i="17" a="1"/>
  <c r="M920" i="17" s="1"/>
  <c r="L921" i="17" a="1"/>
  <c r="M921" i="17" s="1"/>
  <c r="L922" i="17" a="1"/>
  <c r="M922" i="17" s="1"/>
  <c r="L923" i="17" a="1"/>
  <c r="M923" i="17" s="1"/>
  <c r="L924" i="17" a="1"/>
  <c r="M924" i="17" s="1"/>
  <c r="L925" i="17" a="1"/>
  <c r="M925" i="17" s="1"/>
  <c r="L926" i="17" a="1"/>
  <c r="M926" i="17" s="1"/>
  <c r="L927" i="17" a="1"/>
  <c r="M927" i="17" s="1"/>
  <c r="L928" i="17" a="1"/>
  <c r="M928" i="17" s="1"/>
  <c r="L929" i="17" a="1"/>
  <c r="M929" i="17" s="1"/>
  <c r="L930" i="17" a="1"/>
  <c r="M930" i="17" s="1"/>
  <c r="L931" i="17" a="1"/>
  <c r="M931" i="17" s="1"/>
  <c r="L932" i="17" a="1"/>
  <c r="M932" i="17" s="1"/>
  <c r="L933" i="17" a="1"/>
  <c r="M933" i="17" s="1"/>
  <c r="L934" i="17" a="1"/>
  <c r="M934" i="17" s="1"/>
  <c r="L935" i="17" a="1"/>
  <c r="M935" i="17" s="1"/>
  <c r="L936" i="17" a="1"/>
  <c r="M936" i="17" s="1"/>
  <c r="L937" i="17" a="1"/>
  <c r="M937" i="17" s="1"/>
  <c r="L938" i="17" a="1"/>
  <c r="M938" i="17" s="1"/>
  <c r="L939" i="17" a="1"/>
  <c r="M939" i="17" s="1"/>
  <c r="L940" i="17" a="1"/>
  <c r="M940" i="17" s="1"/>
  <c r="L941" i="17" a="1"/>
  <c r="M941" i="17" s="1"/>
  <c r="L942" i="17" a="1"/>
  <c r="M942" i="17" s="1"/>
  <c r="L943" i="17" a="1"/>
  <c r="M943" i="17" s="1"/>
  <c r="L944" i="17" a="1"/>
  <c r="M944" i="17" s="1"/>
  <c r="L945" i="17" a="1"/>
  <c r="M945" i="17" s="1"/>
  <c r="L946" i="17" a="1"/>
  <c r="M946" i="17" s="1"/>
  <c r="L947" i="17" a="1"/>
  <c r="M947" i="17" s="1"/>
  <c r="L948" i="17" a="1"/>
  <c r="M948" i="17" s="1"/>
  <c r="L949" i="17" a="1"/>
  <c r="M949" i="17" s="1"/>
  <c r="L950" i="17" a="1"/>
  <c r="M950" i="17" s="1"/>
  <c r="L951" i="17" a="1"/>
  <c r="M951" i="17" s="1"/>
  <c r="L952" i="17" a="1"/>
  <c r="M952" i="17" s="1"/>
  <c r="L953" i="17" a="1"/>
  <c r="M953" i="17" s="1"/>
  <c r="L954" i="17" a="1"/>
  <c r="M954" i="17" s="1"/>
  <c r="L955" i="17" a="1"/>
  <c r="M955" i="17" s="1"/>
  <c r="L956" i="17" a="1"/>
  <c r="M956" i="17" s="1"/>
  <c r="L957" i="17" a="1"/>
  <c r="M957" i="17" s="1"/>
  <c r="L958" i="17" a="1"/>
  <c r="M958" i="17" s="1"/>
  <c r="L959" i="17" a="1"/>
  <c r="M959" i="17" s="1"/>
  <c r="L960" i="17" a="1"/>
  <c r="M960" i="17" s="1"/>
  <c r="L961" i="17" a="1"/>
  <c r="M961" i="17" s="1"/>
  <c r="L962" i="17" a="1"/>
  <c r="M962" i="17" s="1"/>
  <c r="L963" i="17" a="1"/>
  <c r="M963" i="17" s="1"/>
  <c r="L964" i="17" a="1"/>
  <c r="M964" i="17" s="1"/>
  <c r="L965" i="17" a="1"/>
  <c r="M965" i="17" s="1"/>
  <c r="L966" i="17" a="1"/>
  <c r="M966" i="17" s="1"/>
  <c r="L967" i="17" a="1"/>
  <c r="M967" i="17" s="1"/>
  <c r="L968" i="17" a="1"/>
  <c r="M968" i="17" s="1"/>
  <c r="L969" i="17" a="1"/>
  <c r="M969" i="17" s="1"/>
  <c r="L970" i="17" a="1"/>
  <c r="M970" i="17" s="1"/>
  <c r="L971" i="17" a="1"/>
  <c r="M971" i="17" s="1"/>
  <c r="L972" i="17" a="1"/>
  <c r="M972" i="17" s="1"/>
  <c r="L973" i="17" a="1"/>
  <c r="M973" i="17" s="1"/>
  <c r="L974" i="17" a="1"/>
  <c r="M974" i="17" s="1"/>
  <c r="L975" i="17" a="1"/>
  <c r="M975" i="17" s="1"/>
  <c r="L976" i="17" a="1"/>
  <c r="M976" i="17" s="1"/>
  <c r="L977" i="17" a="1"/>
  <c r="M977" i="17" s="1"/>
  <c r="L978" i="17" a="1"/>
  <c r="M978" i="17" s="1"/>
  <c r="L979" i="17" a="1"/>
  <c r="M979" i="17" s="1"/>
  <c r="L980" i="17" a="1"/>
  <c r="M980" i="17" s="1"/>
  <c r="L981" i="17" a="1"/>
  <c r="M981" i="17" s="1"/>
  <c r="L982" i="17" a="1"/>
  <c r="M982" i="17" s="1"/>
  <c r="L983" i="17" a="1"/>
  <c r="M983" i="17" s="1"/>
  <c r="L984" i="17" a="1"/>
  <c r="M984" i="17" s="1"/>
  <c r="L985" i="17" a="1"/>
  <c r="M985" i="17" s="1"/>
  <c r="L986" i="17" a="1"/>
  <c r="M986" i="17" s="1"/>
  <c r="L987" i="17" a="1"/>
  <c r="M987" i="17" s="1"/>
  <c r="L988" i="17" a="1"/>
  <c r="M988" i="17" s="1"/>
  <c r="L989" i="17" a="1"/>
  <c r="M989" i="17" s="1"/>
  <c r="L990" i="17" a="1"/>
  <c r="M990" i="17" s="1"/>
  <c r="L991" i="17" a="1"/>
  <c r="M991" i="17" s="1"/>
  <c r="L992" i="17" a="1"/>
  <c r="M992" i="17" s="1"/>
  <c r="L993" i="17" a="1"/>
  <c r="M993" i="17" s="1"/>
  <c r="L994" i="17" a="1"/>
  <c r="M994" i="17" s="1"/>
  <c r="L995" i="17" a="1"/>
  <c r="M995" i="17" s="1"/>
  <c r="L996" i="17" a="1"/>
  <c r="M996" i="17" s="1"/>
  <c r="L997" i="17" a="1"/>
  <c r="M997" i="17" s="1"/>
  <c r="L998" i="17" a="1"/>
  <c r="M998" i="17" s="1"/>
  <c r="L999" i="17" a="1"/>
  <c r="M999" i="17" s="1"/>
  <c r="L1000" i="17" a="1"/>
  <c r="M1000" i="17" s="1"/>
  <c r="L1001" i="17" a="1"/>
  <c r="M1001" i="17" s="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253" i="17"/>
  <c r="N254" i="17"/>
  <c r="N255" i="17"/>
  <c r="N256" i="17"/>
  <c r="N257" i="17"/>
  <c r="M689" i="17"/>
  <c r="M690" i="17"/>
  <c r="M691" i="17"/>
  <c r="M692" i="17"/>
  <c r="M693" i="17"/>
  <c r="M694" i="17"/>
  <c r="M695" i="17"/>
  <c r="M696" i="17"/>
  <c r="M697" i="17"/>
  <c r="M698" i="17"/>
  <c r="K3" i="17" a="1"/>
  <c r="K4" i="17" a="1"/>
  <c r="K5" i="17" a="1"/>
  <c r="K6" i="17" a="1"/>
  <c r="K7" i="17" a="1"/>
  <c r="K8" i="17" a="1"/>
  <c r="K9" i="17" a="1"/>
  <c r="K10" i="17" a="1"/>
  <c r="K11" i="17" a="1"/>
  <c r="K12" i="17" a="1"/>
  <c r="K13" i="17" a="1"/>
  <c r="K14" i="17" a="1"/>
  <c r="K15" i="17" a="1"/>
  <c r="K16" i="17" a="1"/>
  <c r="K17" i="17" a="1"/>
  <c r="K18" i="17" a="1"/>
  <c r="K19" i="17" a="1"/>
  <c r="K20" i="17" a="1"/>
  <c r="K21" i="17" a="1"/>
  <c r="K22" i="17" a="1"/>
  <c r="K23" i="17" a="1"/>
  <c r="K24" i="17" a="1"/>
  <c r="K25" i="17" a="1"/>
  <c r="K26" i="17" a="1"/>
  <c r="K27" i="17" a="1"/>
  <c r="K28" i="17" a="1"/>
  <c r="K29" i="17" a="1"/>
  <c r="K30" i="17" a="1"/>
  <c r="K31" i="17" a="1"/>
  <c r="K32" i="17" a="1"/>
  <c r="K33" i="17" a="1"/>
  <c r="K34" i="17" a="1"/>
  <c r="K35" i="17" a="1"/>
  <c r="K36" i="17" a="1"/>
  <c r="K37" i="17" a="1"/>
  <c r="K38" i="17" a="1"/>
  <c r="K39" i="17" a="1"/>
  <c r="K40" i="17" a="1"/>
  <c r="K41" i="17" a="1"/>
  <c r="K42" i="17" a="1"/>
  <c r="K43" i="17" a="1"/>
  <c r="K44" i="17" a="1"/>
  <c r="K45" i="17" a="1"/>
  <c r="K46" i="17" a="1"/>
  <c r="K47" i="17" a="1"/>
  <c r="K48" i="17" a="1"/>
  <c r="K49" i="17" a="1"/>
  <c r="K50" i="17" a="1"/>
  <c r="K51" i="17" a="1"/>
  <c r="K52" i="17" a="1"/>
  <c r="K53" i="17" a="1"/>
  <c r="K54" i="17" a="1"/>
  <c r="K55" i="17" a="1"/>
  <c r="K56" i="17" a="1"/>
  <c r="K57" i="17" a="1"/>
  <c r="K58" i="17" a="1"/>
  <c r="K59" i="17" a="1"/>
  <c r="K60" i="17" a="1"/>
  <c r="K61" i="17" a="1"/>
  <c r="K62" i="17" a="1"/>
  <c r="K63" i="17" a="1"/>
  <c r="K64" i="17" a="1"/>
  <c r="K65" i="17" a="1"/>
  <c r="K66" i="17" a="1"/>
  <c r="K67" i="17" a="1"/>
  <c r="K68" i="17" a="1"/>
  <c r="K69" i="17" a="1"/>
  <c r="K70" i="17" a="1"/>
  <c r="K71" i="17" a="1"/>
  <c r="K72" i="17" a="1"/>
  <c r="K73" i="17" a="1"/>
  <c r="K74" i="17" a="1"/>
  <c r="K75" i="17" a="1"/>
  <c r="K76" i="17" a="1"/>
  <c r="K77" i="17" a="1"/>
  <c r="K78" i="17" a="1"/>
  <c r="K79" i="17" a="1"/>
  <c r="K80" i="17" a="1"/>
  <c r="K81" i="17" a="1"/>
  <c r="K82" i="17" a="1"/>
  <c r="K83" i="17" a="1"/>
  <c r="K84" i="17" a="1"/>
  <c r="K85" i="17" a="1"/>
  <c r="K86" i="17" a="1"/>
  <c r="K87" i="17" a="1"/>
  <c r="K88" i="17" a="1"/>
  <c r="K89" i="17" a="1"/>
  <c r="K90" i="17" a="1"/>
  <c r="K91" i="17" a="1"/>
  <c r="K92" i="17" a="1"/>
  <c r="K93" i="17" a="1"/>
  <c r="K94" i="17" a="1"/>
  <c r="K95" i="17" a="1"/>
  <c r="K96" i="17" a="1"/>
  <c r="K97" i="17" a="1"/>
  <c r="K98" i="17" a="1"/>
  <c r="K99" i="17" a="1"/>
  <c r="K100" i="17" a="1"/>
  <c r="K101" i="17" a="1"/>
  <c r="K102" i="17" a="1"/>
  <c r="K103" i="17" a="1"/>
  <c r="K104" i="17" a="1"/>
  <c r="K105" i="17" a="1"/>
  <c r="K106" i="17" a="1"/>
  <c r="K107" i="17" a="1"/>
  <c r="K108" i="17" a="1"/>
  <c r="K109" i="17" a="1"/>
  <c r="K110" i="17" a="1"/>
  <c r="K111" i="17" a="1"/>
  <c r="K112" i="17" a="1"/>
  <c r="K113" i="17" a="1"/>
  <c r="K114" i="17" a="1"/>
  <c r="K115" i="17" a="1"/>
  <c r="K116" i="17" a="1"/>
  <c r="K117" i="17" a="1"/>
  <c r="K118" i="17" a="1"/>
  <c r="K119" i="17" a="1"/>
  <c r="K120" i="17" a="1"/>
  <c r="K121" i="17" a="1"/>
  <c r="K122" i="17" a="1"/>
  <c r="K123" i="17" a="1"/>
  <c r="K124" i="17" a="1"/>
  <c r="K125" i="17" a="1"/>
  <c r="K126" i="17" a="1"/>
  <c r="K127" i="17" a="1"/>
  <c r="K128" i="17" a="1"/>
  <c r="K129" i="17" a="1"/>
  <c r="K130" i="17" a="1"/>
  <c r="K131" i="17" a="1"/>
  <c r="K132" i="17" a="1"/>
  <c r="K133" i="17" a="1"/>
  <c r="K134" i="17" a="1"/>
  <c r="K135" i="17" a="1"/>
  <c r="K136" i="17" a="1"/>
  <c r="K137" i="17" a="1"/>
  <c r="K138" i="17" a="1"/>
  <c r="K139" i="17" a="1"/>
  <c r="K140" i="17" a="1"/>
  <c r="K141" i="17" a="1"/>
  <c r="K142" i="17" a="1"/>
  <c r="K143" i="17" a="1"/>
  <c r="K144" i="17" a="1"/>
  <c r="K145" i="17" a="1"/>
  <c r="K146" i="17" a="1"/>
  <c r="K147" i="17" a="1"/>
  <c r="K148" i="17" a="1"/>
  <c r="K149" i="17" a="1"/>
  <c r="K150" i="17" a="1"/>
  <c r="K151" i="17" a="1"/>
  <c r="K152" i="17" a="1"/>
  <c r="K153" i="17" a="1"/>
  <c r="K154" i="17" a="1"/>
  <c r="K155" i="17" a="1"/>
  <c r="K156" i="17" a="1"/>
  <c r="K157" i="17" a="1"/>
  <c r="K158" i="17" a="1"/>
  <c r="K159" i="17" a="1"/>
  <c r="K160" i="17" a="1"/>
  <c r="K161" i="17" a="1"/>
  <c r="K162" i="17" a="1"/>
  <c r="K163" i="17" a="1"/>
  <c r="K164" i="17" a="1"/>
  <c r="K165" i="17" a="1"/>
  <c r="K166" i="17" a="1"/>
  <c r="K167" i="17" a="1"/>
  <c r="K168" i="17" a="1"/>
  <c r="K169" i="17" a="1"/>
  <c r="K170" i="17" a="1"/>
  <c r="K171" i="17" a="1"/>
  <c r="K172" i="17" a="1"/>
  <c r="K173" i="17" a="1"/>
  <c r="K174" i="17" a="1"/>
  <c r="K175" i="17" a="1"/>
  <c r="K176" i="17" a="1"/>
  <c r="K177" i="17" a="1"/>
  <c r="K178" i="17" a="1"/>
  <c r="K179" i="17" a="1"/>
  <c r="K180" i="17" a="1"/>
  <c r="K181" i="17" a="1"/>
  <c r="K182" i="17" a="1"/>
  <c r="K183" i="17" a="1"/>
  <c r="K184" i="17" a="1"/>
  <c r="K185" i="17" a="1"/>
  <c r="K186" i="17" a="1"/>
  <c r="K187" i="17" a="1"/>
  <c r="K188" i="17" a="1"/>
  <c r="K189" i="17" a="1"/>
  <c r="K190" i="17" a="1"/>
  <c r="K191" i="17" a="1"/>
  <c r="K192" i="17" a="1"/>
  <c r="K193" i="17" a="1"/>
  <c r="K194" i="17" a="1"/>
  <c r="K195" i="17" a="1"/>
  <c r="K196" i="17" a="1"/>
  <c r="K197" i="17" a="1"/>
  <c r="K198" i="17" a="1"/>
  <c r="K199" i="17" a="1"/>
  <c r="K200" i="17" a="1"/>
  <c r="K201" i="17" a="1"/>
  <c r="K202" i="17" a="1"/>
  <c r="K203" i="17" a="1"/>
  <c r="K204" i="17" a="1"/>
  <c r="K205" i="17" a="1"/>
  <c r="K206" i="17" a="1"/>
  <c r="K207" i="17" a="1"/>
  <c r="K208" i="17" a="1"/>
  <c r="K209" i="17" a="1"/>
  <c r="K210" i="17" a="1"/>
  <c r="K211" i="17" a="1"/>
  <c r="K212" i="17" a="1"/>
  <c r="K213" i="17" a="1"/>
  <c r="K214" i="17" a="1"/>
  <c r="K215" i="17" a="1"/>
  <c r="K216" i="17" a="1"/>
  <c r="K217" i="17" a="1"/>
  <c r="K218" i="17" a="1"/>
  <c r="K219" i="17" a="1"/>
  <c r="K220" i="17" a="1"/>
  <c r="K221" i="17" a="1"/>
  <c r="K222" i="17" a="1"/>
  <c r="K223" i="17" a="1"/>
  <c r="K224" i="17" a="1"/>
  <c r="K225" i="17" a="1"/>
  <c r="K226" i="17" a="1"/>
  <c r="K227" i="17" a="1"/>
  <c r="K228" i="17" a="1"/>
  <c r="K229" i="17" a="1"/>
  <c r="K230" i="17" a="1"/>
  <c r="K231" i="17" a="1"/>
  <c r="K232" i="17" a="1"/>
  <c r="K233" i="17" a="1"/>
  <c r="K234" i="17" a="1"/>
  <c r="K235" i="17" a="1"/>
  <c r="K236" i="17" a="1"/>
  <c r="K237" i="17" a="1"/>
  <c r="K238" i="17" a="1"/>
  <c r="K239" i="17" a="1"/>
  <c r="K240" i="17" a="1"/>
  <c r="K241" i="17" a="1"/>
  <c r="K242" i="17" a="1"/>
  <c r="K243" i="17" a="1"/>
  <c r="K244" i="17" a="1"/>
  <c r="K245" i="17" a="1"/>
  <c r="K246" i="17" a="1"/>
  <c r="K247" i="17" a="1"/>
  <c r="K248" i="17" a="1"/>
  <c r="K249" i="17" a="1"/>
  <c r="K250" i="17" a="1"/>
  <c r="K251" i="17" a="1"/>
  <c r="K252" i="17" a="1"/>
  <c r="K253" i="17" a="1"/>
  <c r="K254" i="17" a="1"/>
  <c r="K255" i="17" a="1"/>
  <c r="K256" i="17" a="1"/>
  <c r="K257" i="17" a="1"/>
  <c r="K258" i="17" a="1"/>
  <c r="K259" i="17" a="1"/>
  <c r="K260" i="17" a="1"/>
  <c r="K261" i="17" a="1"/>
  <c r="K262" i="17" a="1"/>
  <c r="K263" i="17" a="1"/>
  <c r="K264" i="17" a="1"/>
  <c r="K265" i="17" a="1"/>
  <c r="K266" i="17" a="1"/>
  <c r="K267" i="17" a="1"/>
  <c r="K268" i="17" a="1"/>
  <c r="K269" i="17" a="1"/>
  <c r="K270" i="17" a="1"/>
  <c r="K271" i="17" a="1"/>
  <c r="K272" i="17" a="1"/>
  <c r="K273" i="17" a="1"/>
  <c r="K274" i="17" a="1"/>
  <c r="K275" i="17" a="1"/>
  <c r="K276" i="17" a="1"/>
  <c r="K277" i="17" a="1"/>
  <c r="K278" i="17" a="1"/>
  <c r="K279" i="17" a="1"/>
  <c r="K280" i="17" a="1"/>
  <c r="K281" i="17" a="1"/>
  <c r="K282" i="17" a="1"/>
  <c r="K283" i="17" a="1"/>
  <c r="K284" i="17" a="1"/>
  <c r="K285" i="17" a="1"/>
  <c r="K286" i="17" a="1"/>
  <c r="K287" i="17" a="1"/>
  <c r="K288" i="17" a="1"/>
  <c r="K289" i="17" a="1"/>
  <c r="K290" i="17" a="1"/>
  <c r="K291" i="17" a="1"/>
  <c r="K292" i="17" a="1"/>
  <c r="K293" i="17" a="1"/>
  <c r="K294" i="17" a="1"/>
  <c r="K295" i="17" a="1"/>
  <c r="K296" i="17" a="1"/>
  <c r="K297" i="17" a="1"/>
  <c r="K298" i="17" a="1"/>
  <c r="K299" i="17" a="1"/>
  <c r="K300" i="17" a="1"/>
  <c r="K301" i="17" a="1"/>
  <c r="K302" i="17" a="1"/>
  <c r="K303" i="17" a="1"/>
  <c r="K304" i="17" a="1"/>
  <c r="K305" i="17" a="1"/>
  <c r="K306" i="17" a="1"/>
  <c r="K307" i="17" a="1"/>
  <c r="K308" i="17" a="1"/>
  <c r="K309" i="17" a="1"/>
  <c r="K310" i="17" a="1"/>
  <c r="K311" i="17" a="1"/>
  <c r="K312" i="17" a="1"/>
  <c r="K313" i="17" a="1"/>
  <c r="K314" i="17" a="1"/>
  <c r="K315" i="17" a="1"/>
  <c r="K316" i="17" a="1"/>
  <c r="K317" i="17" a="1"/>
  <c r="K318" i="17" a="1"/>
  <c r="K319" i="17" a="1"/>
  <c r="K320" i="17" a="1"/>
  <c r="K321" i="17" a="1"/>
  <c r="K322" i="17" a="1"/>
  <c r="K323" i="17" a="1"/>
  <c r="K324" i="17" a="1"/>
  <c r="K325" i="17" a="1"/>
  <c r="K326" i="17" a="1"/>
  <c r="K327" i="17" a="1"/>
  <c r="K328" i="17" a="1"/>
  <c r="K329" i="17" a="1"/>
  <c r="K330" i="17" a="1"/>
  <c r="K331" i="17" a="1"/>
  <c r="K332" i="17" a="1"/>
  <c r="K333" i="17" a="1"/>
  <c r="K334" i="17" a="1"/>
  <c r="K335" i="17" a="1"/>
  <c r="K336" i="17" a="1"/>
  <c r="K337" i="17" a="1"/>
  <c r="K338" i="17" a="1"/>
  <c r="K339" i="17" a="1"/>
  <c r="K340" i="17" a="1"/>
  <c r="K341" i="17" a="1"/>
  <c r="K342" i="17" a="1"/>
  <c r="K343" i="17" a="1"/>
  <c r="K344" i="17" a="1"/>
  <c r="K345" i="17" a="1"/>
  <c r="K346" i="17" a="1"/>
  <c r="K347" i="17" a="1"/>
  <c r="K348" i="17" a="1"/>
  <c r="K349" i="17" a="1"/>
  <c r="K350" i="17" a="1"/>
  <c r="K351" i="17" a="1"/>
  <c r="K352" i="17" a="1"/>
  <c r="K353" i="17" a="1"/>
  <c r="K354" i="17" a="1"/>
  <c r="K355" i="17" a="1"/>
  <c r="K356" i="17" a="1"/>
  <c r="K357" i="17" a="1"/>
  <c r="K358" i="17" a="1"/>
  <c r="K359" i="17" a="1"/>
  <c r="K360" i="17" a="1"/>
  <c r="K361" i="17" a="1"/>
  <c r="K362" i="17" a="1"/>
  <c r="K363" i="17" a="1"/>
  <c r="K364" i="17" a="1"/>
  <c r="K365" i="17" a="1"/>
  <c r="K366" i="17" a="1"/>
  <c r="K367" i="17" a="1"/>
  <c r="K368" i="17" a="1"/>
  <c r="K369" i="17" a="1"/>
  <c r="K370" i="17" a="1"/>
  <c r="K371" i="17" a="1"/>
  <c r="K372" i="17" a="1"/>
  <c r="K373" i="17" a="1"/>
  <c r="K374" i="17" a="1"/>
  <c r="K375" i="17" a="1"/>
  <c r="K376" i="17" a="1"/>
  <c r="K377" i="17" a="1"/>
  <c r="K378" i="17" a="1"/>
  <c r="K379" i="17" a="1"/>
  <c r="K380" i="17" a="1"/>
  <c r="K381" i="17" a="1"/>
  <c r="K382" i="17" a="1"/>
  <c r="K383" i="17" a="1"/>
  <c r="K384" i="17" a="1"/>
  <c r="K385" i="17" a="1"/>
  <c r="K386" i="17" a="1"/>
  <c r="K387" i="17" a="1"/>
  <c r="K388" i="17" a="1"/>
  <c r="K389" i="17" a="1"/>
  <c r="K390" i="17" a="1"/>
  <c r="K391" i="17" a="1"/>
  <c r="K392" i="17" a="1"/>
  <c r="K393" i="17" a="1"/>
  <c r="K394" i="17" a="1"/>
  <c r="K395" i="17" a="1"/>
  <c r="K396" i="17" a="1"/>
  <c r="K397" i="17" a="1"/>
  <c r="K398" i="17" a="1"/>
  <c r="K399" i="17" a="1"/>
  <c r="K400" i="17" a="1"/>
  <c r="K401" i="17" a="1"/>
  <c r="K402" i="17" a="1"/>
  <c r="K403" i="17" a="1"/>
  <c r="K404" i="17" a="1"/>
  <c r="K405" i="17" a="1"/>
  <c r="K406" i="17" a="1"/>
  <c r="K407" i="17" a="1"/>
  <c r="K408" i="17" a="1"/>
  <c r="K409" i="17" a="1"/>
  <c r="K410" i="17" a="1"/>
  <c r="K411" i="17" a="1"/>
  <c r="K412" i="17" a="1"/>
  <c r="K413" i="17" a="1"/>
  <c r="K414" i="17" a="1"/>
  <c r="K415" i="17" a="1"/>
  <c r="K416" i="17" a="1"/>
  <c r="K417" i="17" a="1"/>
  <c r="K418" i="17" a="1"/>
  <c r="K419" i="17" a="1"/>
  <c r="K420" i="17" a="1"/>
  <c r="K421" i="17" a="1"/>
  <c r="K422" i="17" a="1"/>
  <c r="K423" i="17" a="1"/>
  <c r="K424" i="17" a="1"/>
  <c r="K425" i="17" a="1"/>
  <c r="K426" i="17" a="1"/>
  <c r="K427" i="17" a="1"/>
  <c r="K428" i="17" a="1"/>
  <c r="K429" i="17" a="1"/>
  <c r="K430" i="17" a="1"/>
  <c r="K431" i="17" a="1"/>
  <c r="K432" i="17" a="1"/>
  <c r="K433" i="17" a="1"/>
  <c r="K434" i="17" a="1"/>
  <c r="K435" i="17" a="1"/>
  <c r="K436" i="17" a="1"/>
  <c r="K437" i="17" a="1"/>
  <c r="K438" i="17" a="1"/>
  <c r="K439" i="17" a="1"/>
  <c r="K440" i="17" a="1"/>
  <c r="K441" i="17" a="1"/>
  <c r="K442" i="17" a="1"/>
  <c r="K443" i="17" a="1"/>
  <c r="K444" i="17" a="1"/>
  <c r="K445" i="17" a="1"/>
  <c r="K446" i="17" a="1"/>
  <c r="K447" i="17" a="1"/>
  <c r="K448" i="17" a="1"/>
  <c r="K449" i="17" a="1"/>
  <c r="K450" i="17" a="1"/>
  <c r="K451" i="17" a="1"/>
  <c r="K452" i="17" a="1"/>
  <c r="K453" i="17" a="1"/>
  <c r="K454" i="17" a="1"/>
  <c r="K455" i="17" a="1"/>
  <c r="K456" i="17" a="1"/>
  <c r="K457" i="17" a="1"/>
  <c r="K458" i="17" a="1"/>
  <c r="K459" i="17" a="1"/>
  <c r="K460" i="17" a="1"/>
  <c r="K461" i="17" a="1"/>
  <c r="K462" i="17" a="1"/>
  <c r="K463" i="17" a="1"/>
  <c r="K464" i="17" a="1"/>
  <c r="K465" i="17" a="1"/>
  <c r="K466" i="17" a="1"/>
  <c r="K467" i="17" a="1"/>
  <c r="K468" i="17" a="1"/>
  <c r="K469" i="17" a="1"/>
  <c r="K470" i="17" a="1"/>
  <c r="K471" i="17" a="1"/>
  <c r="K472" i="17" a="1"/>
  <c r="K473" i="17" a="1"/>
  <c r="K474" i="17" a="1"/>
  <c r="K475" i="17" a="1"/>
  <c r="K476" i="17" a="1"/>
  <c r="K477" i="17" a="1"/>
  <c r="K478" i="17" a="1"/>
  <c r="K479" i="17" a="1"/>
  <c r="K480" i="17" a="1"/>
  <c r="K481" i="17" a="1"/>
  <c r="K482" i="17" a="1"/>
  <c r="K483" i="17" a="1"/>
  <c r="K484" i="17" a="1"/>
  <c r="K485" i="17" a="1"/>
  <c r="K486" i="17" a="1"/>
  <c r="K487" i="17" a="1"/>
  <c r="K488" i="17" a="1"/>
  <c r="K489" i="17" a="1"/>
  <c r="K490" i="17" a="1"/>
  <c r="K491" i="17" a="1"/>
  <c r="K492" i="17" a="1"/>
  <c r="K493" i="17" a="1"/>
  <c r="K494" i="17" a="1"/>
  <c r="K495" i="17" a="1"/>
  <c r="K496" i="17" a="1"/>
  <c r="K497" i="17" a="1"/>
  <c r="K498" i="17" a="1"/>
  <c r="K499" i="17" a="1"/>
  <c r="K500" i="17" a="1"/>
  <c r="K501" i="17" a="1"/>
  <c r="K502" i="17" a="1"/>
  <c r="K503" i="17" a="1"/>
  <c r="K504" i="17" a="1"/>
  <c r="K505" i="17" a="1"/>
  <c r="K506" i="17" a="1"/>
  <c r="K507" i="17" a="1"/>
  <c r="K508" i="17" a="1"/>
  <c r="K509" i="17" a="1"/>
  <c r="K510" i="17" a="1"/>
  <c r="K511" i="17" a="1"/>
  <c r="K512" i="17" a="1"/>
  <c r="K513" i="17" a="1"/>
  <c r="K514" i="17" a="1"/>
  <c r="K515" i="17" a="1"/>
  <c r="K516" i="17" a="1"/>
  <c r="K517" i="17" a="1"/>
  <c r="K518" i="17" a="1"/>
  <c r="K519" i="17" a="1"/>
  <c r="K520" i="17" a="1"/>
  <c r="K521" i="17" a="1"/>
  <c r="K522" i="17" a="1"/>
  <c r="K523" i="17" a="1"/>
  <c r="K524" i="17" a="1"/>
  <c r="K525" i="17" a="1"/>
  <c r="K526" i="17" a="1"/>
  <c r="K527" i="17" a="1"/>
  <c r="K528" i="17" a="1"/>
  <c r="K529" i="17" a="1"/>
  <c r="K530" i="17" a="1"/>
  <c r="K531" i="17" a="1"/>
  <c r="K532" i="17" a="1"/>
  <c r="K533" i="17" a="1"/>
  <c r="K534" i="17" a="1"/>
  <c r="K535" i="17" a="1"/>
  <c r="K536" i="17" a="1"/>
  <c r="K537" i="17" a="1"/>
  <c r="K538" i="17" a="1"/>
  <c r="K539" i="17" a="1"/>
  <c r="K540" i="17" a="1"/>
  <c r="K541" i="17" a="1"/>
  <c r="K542" i="17" a="1"/>
  <c r="K543" i="17" a="1"/>
  <c r="K544" i="17" a="1"/>
  <c r="K545" i="17" a="1"/>
  <c r="K546" i="17" a="1"/>
  <c r="K547" i="17" a="1"/>
  <c r="K548" i="17" a="1"/>
  <c r="K549" i="17" a="1"/>
  <c r="K550" i="17" a="1"/>
  <c r="K551" i="17" a="1"/>
  <c r="K552" i="17" a="1"/>
  <c r="K553" i="17" a="1"/>
  <c r="K554" i="17" a="1"/>
  <c r="K555" i="17" a="1"/>
  <c r="K556" i="17" a="1"/>
  <c r="K557" i="17" a="1"/>
  <c r="K558" i="17" a="1"/>
  <c r="K559" i="17" a="1"/>
  <c r="K560" i="17" a="1"/>
  <c r="K561" i="17" a="1"/>
  <c r="K562" i="17" a="1"/>
  <c r="K563" i="17" a="1"/>
  <c r="K564" i="17" a="1"/>
  <c r="K565" i="17" a="1"/>
  <c r="K566" i="17" a="1"/>
  <c r="K567" i="17" a="1"/>
  <c r="K568" i="17" a="1"/>
  <c r="K569" i="17" a="1"/>
  <c r="K570" i="17" a="1"/>
  <c r="K571" i="17" a="1"/>
  <c r="K572" i="17" a="1"/>
  <c r="K573" i="17" a="1"/>
  <c r="K574" i="17" a="1"/>
  <c r="K575" i="17" a="1"/>
  <c r="K576" i="17" a="1"/>
  <c r="K577" i="17" a="1"/>
  <c r="K578" i="17" a="1"/>
  <c r="K579" i="17" a="1"/>
  <c r="K580" i="17" a="1"/>
  <c r="K581" i="17" a="1"/>
  <c r="K582" i="17" a="1"/>
  <c r="K583" i="17" a="1"/>
  <c r="K584" i="17" a="1"/>
  <c r="K585" i="17" a="1"/>
  <c r="K586" i="17" a="1"/>
  <c r="K587" i="17" a="1"/>
  <c r="K588" i="17" a="1"/>
  <c r="K589" i="17" a="1"/>
  <c r="K590" i="17" a="1"/>
  <c r="K591" i="17" a="1"/>
  <c r="K592" i="17" a="1"/>
  <c r="K593" i="17" a="1"/>
  <c r="K594" i="17" a="1"/>
  <c r="K595" i="17" a="1"/>
  <c r="K596" i="17" a="1"/>
  <c r="K597" i="17" a="1"/>
  <c r="K598" i="17" a="1"/>
  <c r="K599" i="17" a="1"/>
  <c r="K600" i="17" a="1"/>
  <c r="K601" i="17" a="1"/>
  <c r="K602" i="17" a="1"/>
  <c r="K603" i="17" a="1"/>
  <c r="K604" i="17" a="1"/>
  <c r="K605" i="17" a="1"/>
  <c r="K606" i="17" a="1"/>
  <c r="K607" i="17" a="1"/>
  <c r="K608" i="17" a="1"/>
  <c r="K609" i="17" a="1"/>
  <c r="K610" i="17" a="1"/>
  <c r="K611" i="17" a="1"/>
  <c r="K612" i="17" a="1"/>
  <c r="K613" i="17" a="1"/>
  <c r="K614" i="17" a="1"/>
  <c r="K615" i="17" a="1"/>
  <c r="K616" i="17" a="1"/>
  <c r="K617" i="17" a="1"/>
  <c r="K618" i="17" a="1"/>
  <c r="K619" i="17" a="1"/>
  <c r="K620" i="17" a="1"/>
  <c r="K621" i="17" a="1"/>
  <c r="K622" i="17" a="1"/>
  <c r="K623" i="17" a="1"/>
  <c r="K624" i="17" a="1"/>
  <c r="K625" i="17" a="1"/>
  <c r="K626" i="17" a="1"/>
  <c r="K627" i="17" a="1"/>
  <c r="K628" i="17" a="1"/>
  <c r="K629" i="17" a="1"/>
  <c r="K630" i="17" a="1"/>
  <c r="K631" i="17" a="1"/>
  <c r="K632" i="17" a="1"/>
  <c r="K633" i="17" a="1"/>
  <c r="K634" i="17" a="1"/>
  <c r="K635" i="17" a="1"/>
  <c r="K636" i="17" a="1"/>
  <c r="K637" i="17" a="1"/>
  <c r="K638" i="17" a="1"/>
  <c r="K639" i="17" a="1"/>
  <c r="K640" i="17" a="1"/>
  <c r="K641" i="17" a="1"/>
  <c r="K642" i="17" a="1"/>
  <c r="K643" i="17" a="1"/>
  <c r="K644" i="17" a="1"/>
  <c r="K645" i="17" a="1"/>
  <c r="K646" i="17" a="1"/>
  <c r="K647" i="17" a="1"/>
  <c r="K648" i="17" a="1"/>
  <c r="K649" i="17" a="1"/>
  <c r="K650" i="17" a="1"/>
  <c r="K651" i="17" a="1"/>
  <c r="K652" i="17" a="1"/>
  <c r="K653" i="17" a="1"/>
  <c r="K654" i="17" a="1"/>
  <c r="K655" i="17" a="1"/>
  <c r="K656" i="17" a="1"/>
  <c r="K657" i="17" a="1"/>
  <c r="K658" i="17" a="1"/>
  <c r="K659" i="17" a="1"/>
  <c r="K660" i="17" a="1"/>
  <c r="K661" i="17" a="1"/>
  <c r="K662" i="17" a="1"/>
  <c r="K663" i="17" a="1"/>
  <c r="K664" i="17" a="1"/>
  <c r="K665" i="17" a="1"/>
  <c r="K666" i="17" a="1"/>
  <c r="K667" i="17" a="1"/>
  <c r="K668" i="17" a="1"/>
  <c r="K669" i="17" a="1"/>
  <c r="K670" i="17" a="1"/>
  <c r="K671" i="17" a="1"/>
  <c r="K672" i="17" a="1"/>
  <c r="K673" i="17" a="1"/>
  <c r="K674" i="17" a="1"/>
  <c r="K675" i="17" a="1"/>
  <c r="K676" i="17" a="1"/>
  <c r="K677" i="17" a="1"/>
  <c r="K678" i="17" a="1"/>
  <c r="K679" i="17" a="1"/>
  <c r="K680" i="17" a="1"/>
  <c r="K681" i="17" a="1"/>
  <c r="K682" i="17" a="1"/>
  <c r="K683" i="17" a="1"/>
  <c r="K684" i="17" a="1"/>
  <c r="K685" i="17" a="1"/>
  <c r="K686" i="17" a="1"/>
  <c r="K687" i="17" a="1"/>
  <c r="K688" i="17" a="1"/>
  <c r="K689" i="17" a="1"/>
  <c r="K690" i="17" a="1"/>
  <c r="K691" i="17" a="1"/>
  <c r="K692" i="17" a="1"/>
  <c r="K693" i="17" a="1"/>
  <c r="K694" i="17" a="1"/>
  <c r="K695" i="17" a="1"/>
  <c r="K696" i="17" a="1"/>
  <c r="K697" i="17" a="1"/>
  <c r="K698" i="17" a="1"/>
  <c r="K699" i="17" a="1"/>
  <c r="K700" i="17" a="1"/>
  <c r="K701" i="17" a="1"/>
  <c r="K702" i="17" a="1"/>
  <c r="K703" i="17" a="1"/>
  <c r="K704" i="17" a="1"/>
  <c r="K705" i="17" a="1"/>
  <c r="K706" i="17" a="1"/>
  <c r="K707" i="17" a="1"/>
  <c r="K708" i="17" a="1"/>
  <c r="K709" i="17" a="1"/>
  <c r="K710" i="17" a="1"/>
  <c r="K711" i="17" a="1"/>
  <c r="K712" i="17" a="1"/>
  <c r="K713" i="17" a="1"/>
  <c r="K714" i="17" a="1"/>
  <c r="K715" i="17" a="1"/>
  <c r="K716" i="17" a="1"/>
  <c r="K717" i="17" a="1"/>
  <c r="K718" i="17" a="1"/>
  <c r="K719" i="17" a="1"/>
  <c r="K720" i="17" a="1"/>
  <c r="K721" i="17" a="1"/>
  <c r="K722" i="17" a="1"/>
  <c r="K723" i="17" a="1"/>
  <c r="K724" i="17" a="1"/>
  <c r="K725" i="17" a="1"/>
  <c r="K726" i="17" a="1"/>
  <c r="K727" i="17" a="1"/>
  <c r="K728" i="17" a="1"/>
  <c r="K729" i="17" a="1"/>
  <c r="K730" i="17" a="1"/>
  <c r="K731" i="17" a="1"/>
  <c r="K732" i="17" a="1"/>
  <c r="K733" i="17" a="1"/>
  <c r="K734" i="17" a="1"/>
  <c r="K735" i="17" a="1"/>
  <c r="K736" i="17" a="1"/>
  <c r="K737" i="17" a="1"/>
  <c r="K738" i="17" a="1"/>
  <c r="K739" i="17" a="1"/>
  <c r="K740" i="17" a="1"/>
  <c r="K741" i="17" a="1"/>
  <c r="K742" i="17" a="1"/>
  <c r="K743" i="17" a="1"/>
  <c r="K744" i="17" a="1"/>
  <c r="K745" i="17" a="1"/>
  <c r="K746" i="17" a="1"/>
  <c r="K747" i="17" a="1"/>
  <c r="K748" i="17" a="1"/>
  <c r="K749" i="17" a="1"/>
  <c r="K750" i="17" a="1"/>
  <c r="K751" i="17" a="1"/>
  <c r="K752" i="17" a="1"/>
  <c r="K753" i="17" a="1"/>
  <c r="K754" i="17" a="1"/>
  <c r="K755" i="17" a="1"/>
  <c r="K756" i="17" a="1"/>
  <c r="K757" i="17" a="1"/>
  <c r="K758" i="17" a="1"/>
  <c r="K759" i="17" a="1"/>
  <c r="K760" i="17" a="1"/>
  <c r="K761" i="17" a="1"/>
  <c r="K762" i="17" a="1"/>
  <c r="K763" i="17" a="1"/>
  <c r="K764" i="17" a="1"/>
  <c r="K765" i="17" a="1"/>
  <c r="K766" i="17" a="1"/>
  <c r="K767" i="17" a="1"/>
  <c r="K768" i="17" a="1"/>
  <c r="K769" i="17" a="1"/>
  <c r="K770" i="17" a="1"/>
  <c r="K771" i="17" a="1"/>
  <c r="K772" i="17" a="1"/>
  <c r="K773" i="17" a="1"/>
  <c r="K774" i="17" a="1"/>
  <c r="K775" i="17" a="1"/>
  <c r="K776" i="17" a="1"/>
  <c r="K777" i="17" a="1"/>
  <c r="K778" i="17" a="1"/>
  <c r="K779" i="17" a="1"/>
  <c r="K780" i="17" a="1"/>
  <c r="K781" i="17" a="1"/>
  <c r="K782" i="17" a="1"/>
  <c r="K783" i="17" a="1"/>
  <c r="K784" i="17" a="1"/>
  <c r="K785" i="17" a="1"/>
  <c r="K786" i="17" a="1"/>
  <c r="K787" i="17" a="1"/>
  <c r="K788" i="17" a="1"/>
  <c r="K789" i="17" a="1"/>
  <c r="K790" i="17" a="1"/>
  <c r="K791" i="17" a="1"/>
  <c r="K792" i="17" a="1"/>
  <c r="K793" i="17" a="1"/>
  <c r="K794" i="17" a="1"/>
  <c r="K795" i="17" a="1"/>
  <c r="K796" i="17" a="1"/>
  <c r="K797" i="17" a="1"/>
  <c r="K798" i="17" a="1"/>
  <c r="K799" i="17" a="1"/>
  <c r="K800" i="17" a="1"/>
  <c r="K801" i="17" a="1"/>
  <c r="K802" i="17" a="1"/>
  <c r="K803" i="17" a="1"/>
  <c r="K804" i="17" a="1"/>
  <c r="K805" i="17" a="1"/>
  <c r="K806" i="17" a="1"/>
  <c r="K807" i="17" a="1"/>
  <c r="K808" i="17" a="1"/>
  <c r="K809" i="17" a="1"/>
  <c r="K810" i="17" a="1"/>
  <c r="K811" i="17" a="1"/>
  <c r="K812" i="17" a="1"/>
  <c r="K813" i="17" a="1"/>
  <c r="K814" i="17" a="1"/>
  <c r="K815" i="17" a="1"/>
  <c r="K816" i="17" a="1"/>
  <c r="K817" i="17" a="1"/>
  <c r="K818" i="17" a="1"/>
  <c r="K819" i="17" a="1"/>
  <c r="K820" i="17" a="1"/>
  <c r="K821" i="17" a="1"/>
  <c r="K822" i="17" a="1"/>
  <c r="K823" i="17" a="1"/>
  <c r="K824" i="17" a="1"/>
  <c r="K825" i="17" a="1"/>
  <c r="K826" i="17" a="1"/>
  <c r="K827" i="17" a="1"/>
  <c r="K828" i="17" a="1"/>
  <c r="K829" i="17" a="1"/>
  <c r="K830" i="17" a="1"/>
  <c r="K831" i="17" a="1"/>
  <c r="K832" i="17" a="1"/>
  <c r="K833" i="17" a="1"/>
  <c r="K834" i="17" a="1"/>
  <c r="K835" i="17" a="1"/>
  <c r="K836" i="17" a="1"/>
  <c r="K837" i="17" a="1"/>
  <c r="K838" i="17" a="1"/>
  <c r="K839" i="17" a="1"/>
  <c r="K840" i="17" a="1"/>
  <c r="K841" i="17" a="1"/>
  <c r="K842" i="17" a="1"/>
  <c r="K843" i="17" a="1"/>
  <c r="K844" i="17" a="1"/>
  <c r="K845" i="17" a="1"/>
  <c r="K846" i="17" a="1"/>
  <c r="K847" i="17" a="1"/>
  <c r="K848" i="17" a="1"/>
  <c r="K849" i="17" a="1"/>
  <c r="K850" i="17" a="1"/>
  <c r="K851" i="17" a="1"/>
  <c r="K852" i="17" a="1"/>
  <c r="K853" i="17" a="1"/>
  <c r="K854" i="17" a="1"/>
  <c r="K855" i="17" a="1"/>
  <c r="K856" i="17" a="1"/>
  <c r="K857" i="17" a="1"/>
  <c r="K858" i="17" a="1"/>
  <c r="K859" i="17" a="1"/>
  <c r="K860" i="17" a="1"/>
  <c r="K861" i="17" a="1"/>
  <c r="K862" i="17" a="1"/>
  <c r="K863" i="17" a="1"/>
  <c r="K864" i="17" a="1"/>
  <c r="K865" i="17" a="1"/>
  <c r="K866" i="17" a="1"/>
  <c r="K867" i="17" a="1"/>
  <c r="K868" i="17" a="1"/>
  <c r="K869" i="17" a="1"/>
  <c r="K870" i="17" a="1"/>
  <c r="K871" i="17" a="1"/>
  <c r="K872" i="17" a="1"/>
  <c r="K873" i="17" a="1"/>
  <c r="K874" i="17" a="1"/>
  <c r="K875" i="17" a="1"/>
  <c r="K876" i="17" a="1"/>
  <c r="K877" i="17" a="1"/>
  <c r="K878" i="17" a="1"/>
  <c r="K879" i="17" a="1"/>
  <c r="K880" i="17" a="1"/>
  <c r="K881" i="17" a="1"/>
  <c r="K882" i="17" a="1"/>
  <c r="K883" i="17" a="1"/>
  <c r="K884" i="17" a="1"/>
  <c r="K885" i="17" a="1"/>
  <c r="K886" i="17" a="1"/>
  <c r="K887" i="17" a="1"/>
  <c r="K888" i="17" a="1"/>
  <c r="K889" i="17" a="1"/>
  <c r="K890" i="17" a="1"/>
  <c r="K891" i="17" a="1"/>
  <c r="K892" i="17" a="1"/>
  <c r="K893" i="17" a="1"/>
  <c r="K894" i="17" a="1"/>
  <c r="K895" i="17" a="1"/>
  <c r="K896" i="17" a="1"/>
  <c r="K897" i="17" a="1"/>
  <c r="K898" i="17" a="1"/>
  <c r="K899" i="17" a="1"/>
  <c r="K900" i="17" a="1"/>
  <c r="K901" i="17" a="1"/>
  <c r="K902" i="17" a="1"/>
  <c r="K903" i="17" a="1"/>
  <c r="K904" i="17" a="1"/>
  <c r="K905" i="17" a="1"/>
  <c r="K906" i="17" a="1"/>
  <c r="K907" i="17" a="1"/>
  <c r="K908" i="17" a="1"/>
  <c r="K909" i="17" a="1"/>
  <c r="K910" i="17" a="1"/>
  <c r="K911" i="17" a="1"/>
  <c r="K912" i="17" a="1"/>
  <c r="K913" i="17" a="1"/>
  <c r="K914" i="17" a="1"/>
  <c r="K915" i="17" a="1"/>
  <c r="K916" i="17" a="1"/>
  <c r="K917" i="17" a="1"/>
  <c r="K918" i="17" a="1"/>
  <c r="K919" i="17" a="1"/>
  <c r="K920" i="17" a="1"/>
  <c r="K921" i="17" a="1"/>
  <c r="K922" i="17" a="1"/>
  <c r="K923" i="17" a="1"/>
  <c r="K924" i="17" a="1"/>
  <c r="K925" i="17" a="1"/>
  <c r="K926" i="17" a="1"/>
  <c r="K927" i="17" a="1"/>
  <c r="K928" i="17" a="1"/>
  <c r="K929" i="17" a="1"/>
  <c r="K930" i="17" a="1"/>
  <c r="K931" i="17" a="1"/>
  <c r="K932" i="17" a="1"/>
  <c r="K933" i="17" a="1"/>
  <c r="K934" i="17" a="1"/>
  <c r="K935" i="17" a="1"/>
  <c r="K936" i="17" a="1"/>
  <c r="K937" i="17" a="1"/>
  <c r="K938" i="17" a="1"/>
  <c r="K939" i="17" a="1"/>
  <c r="K940" i="17" a="1"/>
  <c r="K941" i="17" a="1"/>
  <c r="K942" i="17" a="1"/>
  <c r="K943" i="17" a="1"/>
  <c r="K944" i="17" a="1"/>
  <c r="K945" i="17" a="1"/>
  <c r="K946" i="17" a="1"/>
  <c r="K947" i="17" a="1"/>
  <c r="K948" i="17" a="1"/>
  <c r="K949" i="17" a="1"/>
  <c r="K950" i="17" a="1"/>
  <c r="K951" i="17" a="1"/>
  <c r="K952" i="17" a="1"/>
  <c r="K953" i="17" a="1"/>
  <c r="K954" i="17" a="1"/>
  <c r="K955" i="17" a="1"/>
  <c r="K956" i="17" a="1"/>
  <c r="K957" i="17" a="1"/>
  <c r="K958" i="17" a="1"/>
  <c r="K959" i="17" a="1"/>
  <c r="K960" i="17" a="1"/>
  <c r="K961" i="17" a="1"/>
  <c r="K962" i="17" a="1"/>
  <c r="K963" i="17" a="1"/>
  <c r="K964" i="17" a="1"/>
  <c r="K965" i="17" a="1"/>
  <c r="K966" i="17" a="1"/>
  <c r="K967" i="17" a="1"/>
  <c r="K968" i="17" a="1"/>
  <c r="K969" i="17" a="1"/>
  <c r="K970" i="17" a="1"/>
  <c r="K971" i="17" a="1"/>
  <c r="K972" i="17" a="1"/>
  <c r="K973" i="17" a="1"/>
  <c r="K974" i="17" a="1"/>
  <c r="K975" i="17" a="1"/>
  <c r="K976" i="17" a="1"/>
  <c r="K977" i="17" a="1"/>
  <c r="K978" i="17" a="1"/>
  <c r="K979" i="17" a="1"/>
  <c r="K980" i="17" a="1"/>
  <c r="K981" i="17" a="1"/>
  <c r="K982" i="17" a="1"/>
  <c r="K983" i="17" a="1"/>
  <c r="K984" i="17" a="1"/>
  <c r="K985" i="17" a="1"/>
  <c r="K986" i="17" a="1"/>
  <c r="K987" i="17" a="1"/>
  <c r="K988" i="17" a="1"/>
  <c r="K989" i="17" a="1"/>
  <c r="K990" i="17" a="1"/>
  <c r="K991" i="17" a="1"/>
  <c r="K992" i="17" a="1"/>
  <c r="K993" i="17" a="1"/>
  <c r="K994" i="17" a="1"/>
  <c r="K995" i="17" a="1"/>
  <c r="K996" i="17" a="1"/>
  <c r="K997" i="17" a="1"/>
  <c r="K998" i="17" a="1"/>
  <c r="K999" i="17" a="1"/>
  <c r="K1000" i="17" a="1"/>
  <c r="K1001" i="17" a="1"/>
  <c r="K2" i="17" a="1"/>
  <c r="J3" i="17" a="1"/>
  <c r="O3" i="17" s="1" a="1"/>
  <c r="J4" i="17" a="1"/>
  <c r="O4" i="17" s="1" a="1"/>
  <c r="J5" i="17" a="1"/>
  <c r="O5" i="17" s="1" a="1"/>
  <c r="J6" i="17" a="1"/>
  <c r="O6" i="17" s="1" a="1"/>
  <c r="J7" i="17" a="1"/>
  <c r="O7" i="17" s="1" a="1"/>
  <c r="J8" i="17" a="1"/>
  <c r="O8" i="17" s="1" a="1"/>
  <c r="J9" i="17" a="1"/>
  <c r="O9" i="17" s="1" a="1"/>
  <c r="J10" i="17" a="1"/>
  <c r="O10" i="17" s="1" a="1"/>
  <c r="J11" i="17" a="1"/>
  <c r="O11" i="17" s="1" a="1"/>
  <c r="J12" i="17" a="1"/>
  <c r="O12" i="17" s="1" a="1"/>
  <c r="J13" i="17" a="1"/>
  <c r="O13" i="17" s="1" a="1"/>
  <c r="J14" i="17" a="1"/>
  <c r="O14" i="17" s="1" a="1"/>
  <c r="J15" i="17" a="1"/>
  <c r="O15" i="17" s="1" a="1"/>
  <c r="J16" i="17" a="1"/>
  <c r="O16" i="17" s="1" a="1"/>
  <c r="J17" i="17" a="1"/>
  <c r="O17" i="17" s="1" a="1"/>
  <c r="J18" i="17" a="1"/>
  <c r="O18" i="17" s="1" a="1"/>
  <c r="J19" i="17" a="1"/>
  <c r="O19" i="17" s="1" a="1"/>
  <c r="J20" i="17" a="1"/>
  <c r="O20" i="17" s="1" a="1"/>
  <c r="J21" i="17" a="1"/>
  <c r="O21" i="17" s="1" a="1"/>
  <c r="J22" i="17" a="1"/>
  <c r="O22" i="17" s="1" a="1"/>
  <c r="J23" i="17" a="1"/>
  <c r="O23" i="17" s="1" a="1"/>
  <c r="J24" i="17" a="1"/>
  <c r="O24" i="17" s="1" a="1"/>
  <c r="J25" i="17" a="1"/>
  <c r="O25" i="17" s="1" a="1"/>
  <c r="J26" i="17" a="1"/>
  <c r="O26" i="17" s="1" a="1"/>
  <c r="J27" i="17" a="1"/>
  <c r="O27" i="17" s="1" a="1"/>
  <c r="J28" i="17" a="1"/>
  <c r="O28" i="17" s="1" a="1"/>
  <c r="J29" i="17" a="1"/>
  <c r="O29" i="17" s="1" a="1"/>
  <c r="J30" i="17" a="1"/>
  <c r="O30" i="17" s="1" a="1"/>
  <c r="J31" i="17" a="1"/>
  <c r="O31" i="17" s="1" a="1"/>
  <c r="J32" i="17" a="1"/>
  <c r="O32" i="17" s="1" a="1"/>
  <c r="J33" i="17" a="1"/>
  <c r="O33" i="17" s="1" a="1"/>
  <c r="J34" i="17" a="1"/>
  <c r="O34" i="17" s="1" a="1"/>
  <c r="J35" i="17" a="1"/>
  <c r="O35" i="17" s="1" a="1"/>
  <c r="J36" i="17" a="1"/>
  <c r="O36" i="17" s="1" a="1"/>
  <c r="J37" i="17" a="1"/>
  <c r="O37" i="17" s="1" a="1"/>
  <c r="J38" i="17" a="1"/>
  <c r="O38" i="17" s="1" a="1"/>
  <c r="J39" i="17" a="1"/>
  <c r="O39" i="17" s="1" a="1"/>
  <c r="J40" i="17" a="1"/>
  <c r="O40" i="17" s="1" a="1"/>
  <c r="J41" i="17" a="1"/>
  <c r="O41" i="17" s="1" a="1"/>
  <c r="J42" i="17" a="1"/>
  <c r="O42" i="17" s="1" a="1"/>
  <c r="J43" i="17" a="1"/>
  <c r="O43" i="17" s="1" a="1"/>
  <c r="J44" i="17" a="1"/>
  <c r="O44" i="17" s="1" a="1"/>
  <c r="J45" i="17" a="1"/>
  <c r="O45" i="17" s="1" a="1"/>
  <c r="J46" i="17" a="1"/>
  <c r="O46" i="17" s="1" a="1"/>
  <c r="J47" i="17" a="1"/>
  <c r="O47" i="17" s="1" a="1"/>
  <c r="J48" i="17" a="1"/>
  <c r="O48" i="17" s="1" a="1"/>
  <c r="J49" i="17" a="1"/>
  <c r="O49" i="17" s="1" a="1"/>
  <c r="J50" i="17" a="1"/>
  <c r="O50" i="17" s="1" a="1"/>
  <c r="J51" i="17" a="1"/>
  <c r="O51" i="17" s="1" a="1"/>
  <c r="J52" i="17" a="1"/>
  <c r="O52" i="17" s="1" a="1"/>
  <c r="J53" i="17" a="1"/>
  <c r="O53" i="17" s="1" a="1"/>
  <c r="J54" i="17" a="1"/>
  <c r="O54" i="17" s="1" a="1"/>
  <c r="J55" i="17" a="1"/>
  <c r="O55" i="17" s="1" a="1"/>
  <c r="J56" i="17" a="1"/>
  <c r="O56" i="17" s="1" a="1"/>
  <c r="J57" i="17" a="1"/>
  <c r="O57" i="17" s="1" a="1"/>
  <c r="J58" i="17" a="1"/>
  <c r="O58" i="17" s="1" a="1"/>
  <c r="J59" i="17" a="1"/>
  <c r="O59" i="17" s="1" a="1"/>
  <c r="J60" i="17" a="1"/>
  <c r="O60" i="17" s="1" a="1"/>
  <c r="J61" i="17" a="1"/>
  <c r="O61" i="17" s="1" a="1"/>
  <c r="J62" i="17" a="1"/>
  <c r="O62" i="17" s="1" a="1"/>
  <c r="J63" i="17" a="1"/>
  <c r="O63" i="17" s="1" a="1"/>
  <c r="J64" i="17" a="1"/>
  <c r="O64" i="17" s="1" a="1"/>
  <c r="J65" i="17" a="1"/>
  <c r="O65" i="17" s="1" a="1"/>
  <c r="J66" i="17" a="1"/>
  <c r="O66" i="17" s="1" a="1"/>
  <c r="J67" i="17" a="1"/>
  <c r="O67" i="17" s="1" a="1"/>
  <c r="J68" i="17" a="1"/>
  <c r="O68" i="17" s="1" a="1"/>
  <c r="J69" i="17" a="1"/>
  <c r="O69" i="17" s="1" a="1"/>
  <c r="J70" i="17" a="1"/>
  <c r="O70" i="17" s="1" a="1"/>
  <c r="J71" i="17" a="1"/>
  <c r="O71" i="17" s="1" a="1"/>
  <c r="J72" i="17" a="1"/>
  <c r="O72" i="17" s="1" a="1"/>
  <c r="J73" i="17" a="1"/>
  <c r="O73" i="17" s="1" a="1"/>
  <c r="J74" i="17" a="1"/>
  <c r="O74" i="17" s="1" a="1"/>
  <c r="J75" i="17" a="1"/>
  <c r="O75" i="17" s="1" a="1"/>
  <c r="J76" i="17" a="1"/>
  <c r="O76" i="17" s="1" a="1"/>
  <c r="J77" i="17" a="1"/>
  <c r="O77" i="17" s="1" a="1"/>
  <c r="J78" i="17" a="1"/>
  <c r="O78" i="17" s="1" a="1"/>
  <c r="J79" i="17" a="1"/>
  <c r="O79" i="17" s="1" a="1"/>
  <c r="J80" i="17" a="1"/>
  <c r="O80" i="17" s="1" a="1"/>
  <c r="J81" i="17" a="1"/>
  <c r="O81" i="17" s="1" a="1"/>
  <c r="J82" i="17" a="1"/>
  <c r="O82" i="17" s="1" a="1"/>
  <c r="J83" i="17" a="1"/>
  <c r="O83" i="17" s="1" a="1"/>
  <c r="J84" i="17" a="1"/>
  <c r="O84" i="17" s="1" a="1"/>
  <c r="J85" i="17" a="1"/>
  <c r="O85" i="17" s="1" a="1"/>
  <c r="J86" i="17" a="1"/>
  <c r="O86" i="17" s="1" a="1"/>
  <c r="J87" i="17" a="1"/>
  <c r="O87" i="17" s="1" a="1"/>
  <c r="J88" i="17" a="1"/>
  <c r="O88" i="17" s="1" a="1"/>
  <c r="J89" i="17" a="1"/>
  <c r="O89" i="17" s="1" a="1"/>
  <c r="J90" i="17" a="1"/>
  <c r="O90" i="17" s="1" a="1"/>
  <c r="J91" i="17" a="1"/>
  <c r="O91" i="17" s="1" a="1"/>
  <c r="J92" i="17" a="1"/>
  <c r="O92" i="17" s="1" a="1"/>
  <c r="J93" i="17" a="1"/>
  <c r="O93" i="17" s="1" a="1"/>
  <c r="J94" i="17" a="1"/>
  <c r="O94" i="17" s="1" a="1"/>
  <c r="J95" i="17" a="1"/>
  <c r="O95" i="17" s="1" a="1"/>
  <c r="J96" i="17" a="1"/>
  <c r="O96" i="17" s="1" a="1"/>
  <c r="J97" i="17" a="1"/>
  <c r="O97" i="17" s="1" a="1"/>
  <c r="J98" i="17" a="1"/>
  <c r="O98" i="17" s="1" a="1"/>
  <c r="J99" i="17" a="1"/>
  <c r="O99" i="17" s="1" a="1"/>
  <c r="J100" i="17" a="1"/>
  <c r="O100" i="17" s="1" a="1"/>
  <c r="J101" i="17" a="1"/>
  <c r="O101" i="17" s="1" a="1"/>
  <c r="J102" i="17" a="1"/>
  <c r="O102" i="17" s="1" a="1"/>
  <c r="J103" i="17" a="1"/>
  <c r="O103" i="17" s="1" a="1"/>
  <c r="J104" i="17" a="1"/>
  <c r="O104" i="17" s="1" a="1"/>
  <c r="J105" i="17" a="1"/>
  <c r="O105" i="17" s="1" a="1"/>
  <c r="J106" i="17" a="1"/>
  <c r="O106" i="17" s="1" a="1"/>
  <c r="J107" i="17" a="1"/>
  <c r="O107" i="17" s="1" a="1"/>
  <c r="J108" i="17" a="1"/>
  <c r="O108" i="17" s="1" a="1"/>
  <c r="J109" i="17" a="1"/>
  <c r="O109" i="17" s="1" a="1"/>
  <c r="J110" i="17" a="1"/>
  <c r="O110" i="17" s="1" a="1"/>
  <c r="J111" i="17" a="1"/>
  <c r="O111" i="17" s="1" a="1"/>
  <c r="J112" i="17" a="1"/>
  <c r="O112" i="17" s="1" a="1"/>
  <c r="J113" i="17" a="1"/>
  <c r="O113" i="17" s="1" a="1"/>
  <c r="J114" i="17" a="1"/>
  <c r="O114" i="17" s="1" a="1"/>
  <c r="J115" i="17" a="1"/>
  <c r="O115" i="17" s="1" a="1"/>
  <c r="J116" i="17" a="1"/>
  <c r="O116" i="17" s="1" a="1"/>
  <c r="J117" i="17" a="1"/>
  <c r="O117" i="17" s="1" a="1"/>
  <c r="J118" i="17" a="1"/>
  <c r="O118" i="17" s="1" a="1"/>
  <c r="J119" i="17" a="1"/>
  <c r="O119" i="17" s="1" a="1"/>
  <c r="J120" i="17" a="1"/>
  <c r="O120" i="17" s="1" a="1"/>
  <c r="J121" i="17" a="1"/>
  <c r="O121" i="17" s="1" a="1"/>
  <c r="J122" i="17" a="1"/>
  <c r="O122" i="17" s="1" a="1"/>
  <c r="J123" i="17" a="1"/>
  <c r="O123" i="17" s="1" a="1"/>
  <c r="J124" i="17" a="1"/>
  <c r="O124" i="17" s="1" a="1"/>
  <c r="J125" i="17" a="1"/>
  <c r="O125" i="17" s="1" a="1"/>
  <c r="J126" i="17" a="1"/>
  <c r="O126" i="17" s="1" a="1"/>
  <c r="J127" i="17" a="1"/>
  <c r="O127" i="17" s="1" a="1"/>
  <c r="J128" i="17" a="1"/>
  <c r="O128" i="17" s="1" a="1"/>
  <c r="J129" i="17" a="1"/>
  <c r="O129" i="17" s="1" a="1"/>
  <c r="J130" i="17" a="1"/>
  <c r="O130" i="17" s="1" a="1"/>
  <c r="J131" i="17" a="1"/>
  <c r="O131" i="17" s="1" a="1"/>
  <c r="J132" i="17" a="1"/>
  <c r="O132" i="17" s="1" a="1"/>
  <c r="J133" i="17" a="1"/>
  <c r="O133" i="17" s="1" a="1"/>
  <c r="J134" i="17" a="1"/>
  <c r="O134" i="17" s="1" a="1"/>
  <c r="J135" i="17" a="1"/>
  <c r="O135" i="17" s="1" a="1"/>
  <c r="J136" i="17" a="1"/>
  <c r="O136" i="17" s="1" a="1"/>
  <c r="J137" i="17" a="1"/>
  <c r="O137" i="17" s="1" a="1"/>
  <c r="J138" i="17" a="1"/>
  <c r="O138" i="17" s="1" a="1"/>
  <c r="J139" i="17" a="1"/>
  <c r="O139" i="17" s="1" a="1"/>
  <c r="J140" i="17" a="1"/>
  <c r="O140" i="17" s="1" a="1"/>
  <c r="J141" i="17" a="1"/>
  <c r="O141" i="17" s="1" a="1"/>
  <c r="J142" i="17" a="1"/>
  <c r="O142" i="17" s="1" a="1"/>
  <c r="J143" i="17" a="1"/>
  <c r="O143" i="17" s="1" a="1"/>
  <c r="J144" i="17" a="1"/>
  <c r="O144" i="17" s="1" a="1"/>
  <c r="J145" i="17" a="1"/>
  <c r="O145" i="17" s="1" a="1"/>
  <c r="J146" i="17" a="1"/>
  <c r="O146" i="17" s="1" a="1"/>
  <c r="J147" i="17" a="1"/>
  <c r="O147" i="17" s="1" a="1"/>
  <c r="J148" i="17" a="1"/>
  <c r="O148" i="17" s="1" a="1"/>
  <c r="J149" i="17" a="1"/>
  <c r="O149" i="17" s="1" a="1"/>
  <c r="J150" i="17" a="1"/>
  <c r="O150" i="17" s="1" a="1"/>
  <c r="J151" i="17" a="1"/>
  <c r="O151" i="17" s="1" a="1"/>
  <c r="J152" i="17" a="1"/>
  <c r="O152" i="17" s="1" a="1"/>
  <c r="J153" i="17" a="1"/>
  <c r="O153" i="17" s="1" a="1"/>
  <c r="J154" i="17" a="1"/>
  <c r="O154" i="17" s="1" a="1"/>
  <c r="J155" i="17" a="1"/>
  <c r="O155" i="17" s="1" a="1"/>
  <c r="J156" i="17" a="1"/>
  <c r="O156" i="17" s="1" a="1"/>
  <c r="J157" i="17" a="1"/>
  <c r="O157" i="17" s="1" a="1"/>
  <c r="J158" i="17" a="1"/>
  <c r="O158" i="17" s="1" a="1"/>
  <c r="J159" i="17" a="1"/>
  <c r="O159" i="17" s="1" a="1"/>
  <c r="J160" i="17" a="1"/>
  <c r="O160" i="17" s="1" a="1"/>
  <c r="J161" i="17" a="1"/>
  <c r="O161" i="17" s="1" a="1"/>
  <c r="J162" i="17" a="1"/>
  <c r="O162" i="17" s="1" a="1"/>
  <c r="J163" i="17" a="1"/>
  <c r="O163" i="17" s="1" a="1"/>
  <c r="J164" i="17" a="1"/>
  <c r="O164" i="17" s="1" a="1"/>
  <c r="J165" i="17" a="1"/>
  <c r="O165" i="17" s="1" a="1"/>
  <c r="J166" i="17" a="1"/>
  <c r="O166" i="17" s="1" a="1"/>
  <c r="J167" i="17" a="1"/>
  <c r="O167" i="17" s="1" a="1"/>
  <c r="J168" i="17" a="1"/>
  <c r="O168" i="17" s="1" a="1"/>
  <c r="J169" i="17" a="1"/>
  <c r="O169" i="17" s="1" a="1"/>
  <c r="J170" i="17" a="1"/>
  <c r="O170" i="17" s="1" a="1"/>
  <c r="J171" i="17" a="1"/>
  <c r="O171" i="17" s="1" a="1"/>
  <c r="J172" i="17" a="1"/>
  <c r="O172" i="17" s="1" a="1"/>
  <c r="J173" i="17" a="1"/>
  <c r="O173" i="17" s="1" a="1"/>
  <c r="J174" i="17" a="1"/>
  <c r="O174" i="17" s="1" a="1"/>
  <c r="J175" i="17" a="1"/>
  <c r="O175" i="17" s="1" a="1"/>
  <c r="J176" i="17" a="1"/>
  <c r="O176" i="17" s="1" a="1"/>
  <c r="J177" i="17" a="1"/>
  <c r="O177" i="17" s="1" a="1"/>
  <c r="J178" i="17" a="1"/>
  <c r="O178" i="17" s="1" a="1"/>
  <c r="J179" i="17" a="1"/>
  <c r="O179" i="17" s="1" a="1"/>
  <c r="J180" i="17" a="1"/>
  <c r="O180" i="17" s="1" a="1"/>
  <c r="J181" i="17" a="1"/>
  <c r="O181" i="17" s="1" a="1"/>
  <c r="J182" i="17" a="1"/>
  <c r="O182" i="17" s="1" a="1"/>
  <c r="J183" i="17" a="1"/>
  <c r="O183" i="17" s="1" a="1"/>
  <c r="J184" i="17" a="1"/>
  <c r="O184" i="17" s="1" a="1"/>
  <c r="J185" i="17" a="1"/>
  <c r="O185" i="17" s="1" a="1"/>
  <c r="J186" i="17" a="1"/>
  <c r="O186" i="17" s="1" a="1"/>
  <c r="J187" i="17" a="1"/>
  <c r="O187" i="17" s="1" a="1"/>
  <c r="J188" i="17" a="1"/>
  <c r="O188" i="17" s="1" a="1"/>
  <c r="J189" i="17" a="1"/>
  <c r="O189" i="17" s="1" a="1"/>
  <c r="J190" i="17" a="1"/>
  <c r="O190" i="17" s="1" a="1"/>
  <c r="J191" i="17" a="1"/>
  <c r="O191" i="17" s="1" a="1"/>
  <c r="J192" i="17" a="1"/>
  <c r="O192" i="17" s="1" a="1"/>
  <c r="J193" i="17" a="1"/>
  <c r="O193" i="17" s="1" a="1"/>
  <c r="J194" i="17" a="1"/>
  <c r="O194" i="17" s="1" a="1"/>
  <c r="J195" i="17" a="1"/>
  <c r="O195" i="17" s="1" a="1"/>
  <c r="J196" i="17" a="1"/>
  <c r="O196" i="17" s="1" a="1"/>
  <c r="J197" i="17" a="1"/>
  <c r="O197" i="17" s="1" a="1"/>
  <c r="J198" i="17" a="1"/>
  <c r="O198" i="17" s="1" a="1"/>
  <c r="J199" i="17" a="1"/>
  <c r="O199" i="17" s="1" a="1"/>
  <c r="J200" i="17" a="1"/>
  <c r="O200" i="17" s="1" a="1"/>
  <c r="J201" i="17" a="1"/>
  <c r="O201" i="17" s="1" a="1"/>
  <c r="J202" i="17" a="1"/>
  <c r="O202" i="17" s="1" a="1"/>
  <c r="J203" i="17" a="1"/>
  <c r="O203" i="17" s="1" a="1"/>
  <c r="J204" i="17" a="1"/>
  <c r="O204" i="17" s="1" a="1"/>
  <c r="J205" i="17" a="1"/>
  <c r="O205" i="17" s="1" a="1"/>
  <c r="J206" i="17" a="1"/>
  <c r="O206" i="17" s="1" a="1"/>
  <c r="J207" i="17" a="1"/>
  <c r="O207" i="17" s="1" a="1"/>
  <c r="J208" i="17" a="1"/>
  <c r="O208" i="17" s="1" a="1"/>
  <c r="J209" i="17" a="1"/>
  <c r="O209" i="17" s="1" a="1"/>
  <c r="J210" i="17" a="1"/>
  <c r="O210" i="17" s="1" a="1"/>
  <c r="J211" i="17" a="1"/>
  <c r="O211" i="17" s="1" a="1"/>
  <c r="J212" i="17" a="1"/>
  <c r="O212" i="17" s="1" a="1"/>
  <c r="J213" i="17" a="1"/>
  <c r="O213" i="17" s="1" a="1"/>
  <c r="J214" i="17" a="1"/>
  <c r="O214" i="17" s="1" a="1"/>
  <c r="J215" i="17" a="1"/>
  <c r="O215" i="17" s="1" a="1"/>
  <c r="J216" i="17" a="1"/>
  <c r="O216" i="17" s="1" a="1"/>
  <c r="J217" i="17" a="1"/>
  <c r="O217" i="17" s="1" a="1"/>
  <c r="J218" i="17" a="1"/>
  <c r="O218" i="17" s="1" a="1"/>
  <c r="J219" i="17" a="1"/>
  <c r="O219" i="17" s="1" a="1"/>
  <c r="J220" i="17" a="1"/>
  <c r="O220" i="17" s="1" a="1"/>
  <c r="J221" i="17" a="1"/>
  <c r="O221" i="17" s="1" a="1"/>
  <c r="J222" i="17" a="1"/>
  <c r="O222" i="17" s="1" a="1"/>
  <c r="J223" i="17" a="1"/>
  <c r="O223" i="17" s="1" a="1"/>
  <c r="J224" i="17" a="1"/>
  <c r="O224" i="17" s="1" a="1"/>
  <c r="J225" i="17" a="1"/>
  <c r="O225" i="17" s="1" a="1"/>
  <c r="J226" i="17" a="1"/>
  <c r="O226" i="17" s="1" a="1"/>
  <c r="J227" i="17" a="1"/>
  <c r="O227" i="17" s="1" a="1"/>
  <c r="J228" i="17" a="1"/>
  <c r="O228" i="17" s="1" a="1"/>
  <c r="J229" i="17" a="1"/>
  <c r="O229" i="17" s="1" a="1"/>
  <c r="J230" i="17" a="1"/>
  <c r="O230" i="17" s="1" a="1"/>
  <c r="J231" i="17" a="1"/>
  <c r="O231" i="17" s="1" a="1"/>
  <c r="J232" i="17" a="1"/>
  <c r="O232" i="17" s="1" a="1"/>
  <c r="J233" i="17" a="1"/>
  <c r="O233" i="17" s="1" a="1"/>
  <c r="J234" i="17" a="1"/>
  <c r="O234" i="17" s="1" a="1"/>
  <c r="J235" i="17" a="1"/>
  <c r="O235" i="17" s="1" a="1"/>
  <c r="J236" i="17" a="1"/>
  <c r="O236" i="17" s="1" a="1"/>
  <c r="J237" i="17" a="1"/>
  <c r="O237" i="17" s="1" a="1"/>
  <c r="J238" i="17" a="1"/>
  <c r="O238" i="17" s="1" a="1"/>
  <c r="J239" i="17" a="1"/>
  <c r="O239" i="17" s="1" a="1"/>
  <c r="J240" i="17" a="1"/>
  <c r="O240" i="17" s="1" a="1"/>
  <c r="J241" i="17" a="1"/>
  <c r="O241" i="17" s="1" a="1"/>
  <c r="J242" i="17" a="1"/>
  <c r="O242" i="17" s="1" a="1"/>
  <c r="J243" i="17" a="1"/>
  <c r="O243" i="17" s="1" a="1"/>
  <c r="J244" i="17" a="1"/>
  <c r="O244" i="17" s="1" a="1"/>
  <c r="J245" i="17" a="1"/>
  <c r="O245" i="17" s="1" a="1"/>
  <c r="J246" i="17" a="1"/>
  <c r="O246" i="17" s="1" a="1"/>
  <c r="J247" i="17" a="1"/>
  <c r="O247" i="17" s="1" a="1"/>
  <c r="J248" i="17" a="1"/>
  <c r="O248" i="17" s="1" a="1"/>
  <c r="J249" i="17" a="1"/>
  <c r="O249" i="17" s="1" a="1"/>
  <c r="J250" i="17" a="1"/>
  <c r="O250" i="17" s="1" a="1"/>
  <c r="J251" i="17" a="1"/>
  <c r="O251" i="17" s="1" a="1"/>
  <c r="J252" i="17" a="1"/>
  <c r="O252" i="17" s="1" a="1"/>
  <c r="J253" i="17" a="1"/>
  <c r="O253" i="17" s="1" a="1"/>
  <c r="J254" i="17" a="1"/>
  <c r="O254" i="17" s="1" a="1"/>
  <c r="J255" i="17" a="1"/>
  <c r="O255" i="17" s="1" a="1"/>
  <c r="J256" i="17" a="1"/>
  <c r="O256" i="17" s="1" a="1"/>
  <c r="J257" i="17" a="1"/>
  <c r="O257" i="17" s="1" a="1"/>
  <c r="J258" i="17" a="1"/>
  <c r="O258" i="17" s="1" a="1"/>
  <c r="J259" i="17" a="1"/>
  <c r="O259" i="17" s="1" a="1"/>
  <c r="J260" i="17" a="1"/>
  <c r="O260" i="17" s="1" a="1"/>
  <c r="J261" i="17" a="1"/>
  <c r="O261" i="17" s="1" a="1"/>
  <c r="J262" i="17" a="1"/>
  <c r="O262" i="17" s="1" a="1"/>
  <c r="J263" i="17" a="1"/>
  <c r="O263" i="17" s="1" a="1"/>
  <c r="J264" i="17" a="1"/>
  <c r="O264" i="17" s="1" a="1"/>
  <c r="J265" i="17" a="1"/>
  <c r="O265" i="17" s="1" a="1"/>
  <c r="J266" i="17" a="1"/>
  <c r="O266" i="17" s="1" a="1"/>
  <c r="J267" i="17" a="1"/>
  <c r="O267" i="17" s="1" a="1"/>
  <c r="J268" i="17" a="1"/>
  <c r="O268" i="17" s="1" a="1"/>
  <c r="J269" i="17" a="1"/>
  <c r="O269" i="17" s="1" a="1"/>
  <c r="J270" i="17" a="1"/>
  <c r="O270" i="17" s="1" a="1"/>
  <c r="J271" i="17" a="1"/>
  <c r="O271" i="17" s="1" a="1"/>
  <c r="J272" i="17" a="1"/>
  <c r="O272" i="17" s="1" a="1"/>
  <c r="J273" i="17" a="1"/>
  <c r="O273" i="17" s="1" a="1"/>
  <c r="J274" i="17" a="1"/>
  <c r="O274" i="17" s="1" a="1"/>
  <c r="J275" i="17" a="1"/>
  <c r="O275" i="17" s="1" a="1"/>
  <c r="J276" i="17" a="1"/>
  <c r="O276" i="17" s="1" a="1"/>
  <c r="J277" i="17" a="1"/>
  <c r="O277" i="17" s="1" a="1"/>
  <c r="J278" i="17" a="1"/>
  <c r="O278" i="17" s="1" a="1"/>
  <c r="J279" i="17" a="1"/>
  <c r="O279" i="17" s="1" a="1"/>
  <c r="J280" i="17" a="1"/>
  <c r="O280" i="17" s="1" a="1"/>
  <c r="J281" i="17" a="1"/>
  <c r="O281" i="17" s="1" a="1"/>
  <c r="J282" i="17" a="1"/>
  <c r="O282" i="17" s="1" a="1"/>
  <c r="J283" i="17" a="1"/>
  <c r="O283" i="17" s="1" a="1"/>
  <c r="J284" i="17" a="1"/>
  <c r="O284" i="17" s="1" a="1"/>
  <c r="J285" i="17" a="1"/>
  <c r="O285" i="17" s="1" a="1"/>
  <c r="J286" i="17" a="1"/>
  <c r="O286" i="17" s="1" a="1"/>
  <c r="J287" i="17" a="1"/>
  <c r="O287" i="17" s="1" a="1"/>
  <c r="J288" i="17" a="1"/>
  <c r="O288" i="17" s="1" a="1"/>
  <c r="J289" i="17" a="1"/>
  <c r="O289" i="17" s="1" a="1"/>
  <c r="J290" i="17" a="1"/>
  <c r="O290" i="17" s="1" a="1"/>
  <c r="J291" i="17" a="1"/>
  <c r="O291" i="17" s="1" a="1"/>
  <c r="J292" i="17" a="1"/>
  <c r="O292" i="17" s="1" a="1"/>
  <c r="J293" i="17" a="1"/>
  <c r="O293" i="17" s="1" a="1"/>
  <c r="J294" i="17" a="1"/>
  <c r="O294" i="17" s="1" a="1"/>
  <c r="J295" i="17" a="1"/>
  <c r="O295" i="17" s="1" a="1"/>
  <c r="J296" i="17" a="1"/>
  <c r="O296" i="17" s="1" a="1"/>
  <c r="J297" i="17" a="1"/>
  <c r="O297" i="17" s="1" a="1"/>
  <c r="J298" i="17" a="1"/>
  <c r="O298" i="17" s="1" a="1"/>
  <c r="J299" i="17" a="1"/>
  <c r="O299" i="17" s="1" a="1"/>
  <c r="J300" i="17" a="1"/>
  <c r="O300" i="17" s="1" a="1"/>
  <c r="J301" i="17" a="1"/>
  <c r="O301" i="17" s="1" a="1"/>
  <c r="J302" i="17" a="1"/>
  <c r="O302" i="17" s="1" a="1"/>
  <c r="J303" i="17" a="1"/>
  <c r="O303" i="17" s="1" a="1"/>
  <c r="J304" i="17" a="1"/>
  <c r="O304" i="17" s="1" a="1"/>
  <c r="J305" i="17" a="1"/>
  <c r="O305" i="17" s="1" a="1"/>
  <c r="J306" i="17" a="1"/>
  <c r="O306" i="17" s="1" a="1"/>
  <c r="J307" i="17" a="1"/>
  <c r="O307" i="17" s="1" a="1"/>
  <c r="J308" i="17" a="1"/>
  <c r="O308" i="17" s="1" a="1"/>
  <c r="J309" i="17" a="1"/>
  <c r="O309" i="17" s="1" a="1"/>
  <c r="J310" i="17" a="1"/>
  <c r="O310" i="17" s="1" a="1"/>
  <c r="J311" i="17" a="1"/>
  <c r="O311" i="17" s="1" a="1"/>
  <c r="J312" i="17" a="1"/>
  <c r="O312" i="17" s="1" a="1"/>
  <c r="J313" i="17" a="1"/>
  <c r="O313" i="17" s="1" a="1"/>
  <c r="J314" i="17" a="1"/>
  <c r="O314" i="17" s="1" a="1"/>
  <c r="J315" i="17" a="1"/>
  <c r="O315" i="17" s="1" a="1"/>
  <c r="J316" i="17" a="1"/>
  <c r="O316" i="17" s="1" a="1"/>
  <c r="J317" i="17" a="1"/>
  <c r="O317" i="17" s="1" a="1"/>
  <c r="J318" i="17" a="1"/>
  <c r="O318" i="17" s="1" a="1"/>
  <c r="J319" i="17" a="1"/>
  <c r="O319" i="17" s="1" a="1"/>
  <c r="J320" i="17" a="1"/>
  <c r="O320" i="17" s="1" a="1"/>
  <c r="J321" i="17" a="1"/>
  <c r="O321" i="17" s="1" a="1"/>
  <c r="J322" i="17" a="1"/>
  <c r="O322" i="17" s="1" a="1"/>
  <c r="J323" i="17" a="1"/>
  <c r="O323" i="17" s="1" a="1"/>
  <c r="J324" i="17" a="1"/>
  <c r="O324" i="17" s="1" a="1"/>
  <c r="J325" i="17" a="1"/>
  <c r="O325" i="17" s="1" a="1"/>
  <c r="J326" i="17" a="1"/>
  <c r="O326" i="17" s="1" a="1"/>
  <c r="J327" i="17" a="1"/>
  <c r="O327" i="17" s="1" a="1"/>
  <c r="J328" i="17" a="1"/>
  <c r="O328" i="17" s="1" a="1"/>
  <c r="J329" i="17" a="1"/>
  <c r="O329" i="17" s="1" a="1"/>
  <c r="J330" i="17" a="1"/>
  <c r="O330" i="17" s="1" a="1"/>
  <c r="J331" i="17" a="1"/>
  <c r="O331" i="17" s="1" a="1"/>
  <c r="J332" i="17" a="1"/>
  <c r="O332" i="17" s="1" a="1"/>
  <c r="J333" i="17" a="1"/>
  <c r="O333" i="17" s="1" a="1"/>
  <c r="J334" i="17" a="1"/>
  <c r="O334" i="17" s="1" a="1"/>
  <c r="J335" i="17" a="1"/>
  <c r="O335" i="17" s="1" a="1"/>
  <c r="J336" i="17" a="1"/>
  <c r="O336" i="17" s="1" a="1"/>
  <c r="J337" i="17" a="1"/>
  <c r="O337" i="17" s="1" a="1"/>
  <c r="J338" i="17" a="1"/>
  <c r="O338" i="17" s="1" a="1"/>
  <c r="J339" i="17" a="1"/>
  <c r="O339" i="17" s="1" a="1"/>
  <c r="J340" i="17" a="1"/>
  <c r="O340" i="17" s="1" a="1"/>
  <c r="J341" i="17" a="1"/>
  <c r="O341" i="17" s="1" a="1"/>
  <c r="J342" i="17" a="1"/>
  <c r="O342" i="17" s="1" a="1"/>
  <c r="J343" i="17" a="1"/>
  <c r="O343" i="17" s="1" a="1"/>
  <c r="J344" i="17" a="1"/>
  <c r="O344" i="17" s="1" a="1"/>
  <c r="J345" i="17" a="1"/>
  <c r="O345" i="17" s="1" a="1"/>
  <c r="J346" i="17" a="1"/>
  <c r="O346" i="17" s="1" a="1"/>
  <c r="J347" i="17" a="1"/>
  <c r="O347" i="17" s="1" a="1"/>
  <c r="J348" i="17" a="1"/>
  <c r="O348" i="17" s="1" a="1"/>
  <c r="J349" i="17" a="1"/>
  <c r="O349" i="17" s="1" a="1"/>
  <c r="J350" i="17" a="1"/>
  <c r="O350" i="17" s="1" a="1"/>
  <c r="J351" i="17" a="1"/>
  <c r="O351" i="17" s="1" a="1"/>
  <c r="J352" i="17" a="1"/>
  <c r="O352" i="17" s="1" a="1"/>
  <c r="J353" i="17" a="1"/>
  <c r="O353" i="17" s="1" a="1"/>
  <c r="J354" i="17" a="1"/>
  <c r="O354" i="17" s="1" a="1"/>
  <c r="J355" i="17" a="1"/>
  <c r="O355" i="17" s="1" a="1"/>
  <c r="J356" i="17" a="1"/>
  <c r="O356" i="17" s="1" a="1"/>
  <c r="J357" i="17" a="1"/>
  <c r="O357" i="17" s="1" a="1"/>
  <c r="J358" i="17" a="1"/>
  <c r="O358" i="17" s="1" a="1"/>
  <c r="J359" i="17" a="1"/>
  <c r="O359" i="17" s="1" a="1"/>
  <c r="J360" i="17" a="1"/>
  <c r="O360" i="17" s="1" a="1"/>
  <c r="J361" i="17" a="1"/>
  <c r="O361" i="17" s="1" a="1"/>
  <c r="J362" i="17" a="1"/>
  <c r="O362" i="17" s="1" a="1"/>
  <c r="J363" i="17" a="1"/>
  <c r="O363" i="17" s="1" a="1"/>
  <c r="J364" i="17" a="1"/>
  <c r="O364" i="17" s="1" a="1"/>
  <c r="J365" i="17" a="1"/>
  <c r="O365" i="17" s="1" a="1"/>
  <c r="J366" i="17" a="1"/>
  <c r="O366" i="17" s="1" a="1"/>
  <c r="J367" i="17" a="1"/>
  <c r="O367" i="17" s="1" a="1"/>
  <c r="J368" i="17" a="1"/>
  <c r="O368" i="17" s="1" a="1"/>
  <c r="J369" i="17" a="1"/>
  <c r="O369" i="17" s="1" a="1"/>
  <c r="J370" i="17" a="1"/>
  <c r="O370" i="17" s="1" a="1"/>
  <c r="J371" i="17" a="1"/>
  <c r="O371" i="17" s="1" a="1"/>
  <c r="J372" i="17" a="1"/>
  <c r="O372" i="17" s="1" a="1"/>
  <c r="J373" i="17" a="1"/>
  <c r="O373" i="17" s="1" a="1"/>
  <c r="J374" i="17" a="1"/>
  <c r="O374" i="17" s="1" a="1"/>
  <c r="J375" i="17" a="1"/>
  <c r="O375" i="17" s="1" a="1"/>
  <c r="J376" i="17" a="1"/>
  <c r="O376" i="17" s="1" a="1"/>
  <c r="J377" i="17" a="1"/>
  <c r="O377" i="17" s="1" a="1"/>
  <c r="J378" i="17" a="1"/>
  <c r="O378" i="17" s="1" a="1"/>
  <c r="J379" i="17" a="1"/>
  <c r="O379" i="17" s="1" a="1"/>
  <c r="J380" i="17" a="1"/>
  <c r="O380" i="17" s="1" a="1"/>
  <c r="J381" i="17" a="1"/>
  <c r="O381" i="17" s="1" a="1"/>
  <c r="J382" i="17" a="1"/>
  <c r="O382" i="17" s="1" a="1"/>
  <c r="J383" i="17" a="1"/>
  <c r="O383" i="17" s="1" a="1"/>
  <c r="J384" i="17" a="1"/>
  <c r="O384" i="17" s="1" a="1"/>
  <c r="J385" i="17" a="1"/>
  <c r="O385" i="17" s="1" a="1"/>
  <c r="J386" i="17" a="1"/>
  <c r="O386" i="17" s="1" a="1"/>
  <c r="J387" i="17" a="1"/>
  <c r="O387" i="17" s="1" a="1"/>
  <c r="J388" i="17" a="1"/>
  <c r="O388" i="17" s="1" a="1"/>
  <c r="J389" i="17" a="1"/>
  <c r="O389" i="17" s="1" a="1"/>
  <c r="J390" i="17" a="1"/>
  <c r="O390" i="17" s="1" a="1"/>
  <c r="J391" i="17" a="1"/>
  <c r="O391" i="17" s="1" a="1"/>
  <c r="J392" i="17" a="1"/>
  <c r="O392" i="17" s="1" a="1"/>
  <c r="J393" i="17" a="1"/>
  <c r="O393" i="17" s="1" a="1"/>
  <c r="J394" i="17" a="1"/>
  <c r="O394" i="17" s="1" a="1"/>
  <c r="J395" i="17" a="1"/>
  <c r="O395" i="17" s="1" a="1"/>
  <c r="J396" i="17" a="1"/>
  <c r="O396" i="17" s="1" a="1"/>
  <c r="J397" i="17" a="1"/>
  <c r="O397" i="17" s="1" a="1"/>
  <c r="J398" i="17" a="1"/>
  <c r="O398" i="17" s="1" a="1"/>
  <c r="J399" i="17" a="1"/>
  <c r="O399" i="17" s="1" a="1"/>
  <c r="J400" i="17" a="1"/>
  <c r="O400" i="17" s="1" a="1"/>
  <c r="J401" i="17" a="1"/>
  <c r="O401" i="17" s="1" a="1"/>
  <c r="J402" i="17" a="1"/>
  <c r="O402" i="17" s="1" a="1"/>
  <c r="J403" i="17" a="1"/>
  <c r="O403" i="17" s="1" a="1"/>
  <c r="J404" i="17" a="1"/>
  <c r="O404" i="17" s="1" a="1"/>
  <c r="J405" i="17" a="1"/>
  <c r="O405" i="17" s="1" a="1"/>
  <c r="J406" i="17" a="1"/>
  <c r="O406" i="17" s="1" a="1"/>
  <c r="J407" i="17" a="1"/>
  <c r="O407" i="17" s="1" a="1"/>
  <c r="J408" i="17" a="1"/>
  <c r="O408" i="17" s="1" a="1"/>
  <c r="J409" i="17" a="1"/>
  <c r="O409" i="17" s="1" a="1"/>
  <c r="J410" i="17" a="1"/>
  <c r="O410" i="17" s="1" a="1"/>
  <c r="J411" i="17" a="1"/>
  <c r="O411" i="17" s="1" a="1"/>
  <c r="J412" i="17" a="1"/>
  <c r="O412" i="17" s="1" a="1"/>
  <c r="J413" i="17" a="1"/>
  <c r="O413" i="17" s="1" a="1"/>
  <c r="J414" i="17" a="1"/>
  <c r="O414" i="17" s="1" a="1"/>
  <c r="J415" i="17" a="1"/>
  <c r="O415" i="17" s="1" a="1"/>
  <c r="J416" i="17" a="1"/>
  <c r="O416" i="17" s="1" a="1"/>
  <c r="J417" i="17" a="1"/>
  <c r="O417" i="17" s="1" a="1"/>
  <c r="J418" i="17" a="1"/>
  <c r="O418" i="17" s="1" a="1"/>
  <c r="J419" i="17" a="1"/>
  <c r="O419" i="17" s="1" a="1"/>
  <c r="J420" i="17" a="1"/>
  <c r="O420" i="17" s="1" a="1"/>
  <c r="J421" i="17" a="1"/>
  <c r="O421" i="17" s="1" a="1"/>
  <c r="J422" i="17" a="1"/>
  <c r="O422" i="17" s="1" a="1"/>
  <c r="J423" i="17" a="1"/>
  <c r="O423" i="17" s="1" a="1"/>
  <c r="J424" i="17" a="1"/>
  <c r="O424" i="17" s="1" a="1"/>
  <c r="J425" i="17" a="1"/>
  <c r="O425" i="17" s="1" a="1"/>
  <c r="J426" i="17" a="1"/>
  <c r="O426" i="17" s="1" a="1"/>
  <c r="J427" i="17" a="1"/>
  <c r="O427" i="17" s="1" a="1"/>
  <c r="J428" i="17" a="1"/>
  <c r="O428" i="17" s="1" a="1"/>
  <c r="J429" i="17" a="1"/>
  <c r="O429" i="17" s="1" a="1"/>
  <c r="J430" i="17" a="1"/>
  <c r="O430" i="17" s="1" a="1"/>
  <c r="J431" i="17" a="1"/>
  <c r="O431" i="17" s="1" a="1"/>
  <c r="J432" i="17" a="1"/>
  <c r="O432" i="17" s="1" a="1"/>
  <c r="J433" i="17" a="1"/>
  <c r="O433" i="17" s="1" a="1"/>
  <c r="J434" i="17" a="1"/>
  <c r="O434" i="17" s="1" a="1"/>
  <c r="J435" i="17" a="1"/>
  <c r="O435" i="17" s="1" a="1"/>
  <c r="J436" i="17" a="1"/>
  <c r="O436" i="17" s="1" a="1"/>
  <c r="J437" i="17" a="1"/>
  <c r="O437" i="17" s="1" a="1"/>
  <c r="J438" i="17" a="1"/>
  <c r="O438" i="17" s="1" a="1"/>
  <c r="J439" i="17" a="1"/>
  <c r="O439" i="17" s="1" a="1"/>
  <c r="J440" i="17" a="1"/>
  <c r="O440" i="17" s="1" a="1"/>
  <c r="J441" i="17" a="1"/>
  <c r="O441" i="17" s="1" a="1"/>
  <c r="J442" i="17" a="1"/>
  <c r="O442" i="17" s="1" a="1"/>
  <c r="J443" i="17" a="1"/>
  <c r="O443" i="17" s="1" a="1"/>
  <c r="J444" i="17" a="1"/>
  <c r="O444" i="17" s="1" a="1"/>
  <c r="J445" i="17" a="1"/>
  <c r="O445" i="17" s="1" a="1"/>
  <c r="J446" i="17" a="1"/>
  <c r="O446" i="17" s="1" a="1"/>
  <c r="J447" i="17" a="1"/>
  <c r="O447" i="17" s="1" a="1"/>
  <c r="J448" i="17" a="1"/>
  <c r="O448" i="17" s="1" a="1"/>
  <c r="J449" i="17" a="1"/>
  <c r="O449" i="17" s="1" a="1"/>
  <c r="J450" i="17" a="1"/>
  <c r="O450" i="17" s="1" a="1"/>
  <c r="J451" i="17" a="1"/>
  <c r="O451" i="17" s="1" a="1"/>
  <c r="J452" i="17" a="1"/>
  <c r="O452" i="17" s="1" a="1"/>
  <c r="J453" i="17" a="1"/>
  <c r="O453" i="17" s="1" a="1"/>
  <c r="J454" i="17" a="1"/>
  <c r="O454" i="17" s="1" a="1"/>
  <c r="J455" i="17" a="1"/>
  <c r="O455" i="17" s="1" a="1"/>
  <c r="J456" i="17" a="1"/>
  <c r="O456" i="17" s="1" a="1"/>
  <c r="J457" i="17" a="1"/>
  <c r="O457" i="17" s="1" a="1"/>
  <c r="J458" i="17" a="1"/>
  <c r="O458" i="17" s="1" a="1"/>
  <c r="J459" i="17" a="1"/>
  <c r="O459" i="17" s="1" a="1"/>
  <c r="J460" i="17" a="1"/>
  <c r="O460" i="17" s="1" a="1"/>
  <c r="J461" i="17" a="1"/>
  <c r="O461" i="17" s="1" a="1"/>
  <c r="J462" i="17" a="1"/>
  <c r="O462" i="17" s="1" a="1"/>
  <c r="J463" i="17" a="1"/>
  <c r="O463" i="17" s="1" a="1"/>
  <c r="J464" i="17" a="1"/>
  <c r="O464" i="17" s="1" a="1"/>
  <c r="J465" i="17" a="1"/>
  <c r="O465" i="17" s="1" a="1"/>
  <c r="J466" i="17" a="1"/>
  <c r="O466" i="17" s="1" a="1"/>
  <c r="J467" i="17" a="1"/>
  <c r="O467" i="17" s="1" a="1"/>
  <c r="J468" i="17" a="1"/>
  <c r="O468" i="17" s="1" a="1"/>
  <c r="J469" i="17" a="1"/>
  <c r="O469" i="17" s="1" a="1"/>
  <c r="J470" i="17" a="1"/>
  <c r="O470" i="17" s="1" a="1"/>
  <c r="J471" i="17" a="1"/>
  <c r="O471" i="17" s="1" a="1"/>
  <c r="J472" i="17" a="1"/>
  <c r="O472" i="17" s="1" a="1"/>
  <c r="J473" i="17" a="1"/>
  <c r="O473" i="17" s="1" a="1"/>
  <c r="J474" i="17" a="1"/>
  <c r="O474" i="17" s="1" a="1"/>
  <c r="J475" i="17" a="1"/>
  <c r="O475" i="17" s="1" a="1"/>
  <c r="J476" i="17" a="1"/>
  <c r="O476" i="17" s="1" a="1"/>
  <c r="J477" i="17" a="1"/>
  <c r="O477" i="17" s="1" a="1"/>
  <c r="J478" i="17" a="1"/>
  <c r="O478" i="17" s="1" a="1"/>
  <c r="J479" i="17" a="1"/>
  <c r="O479" i="17" s="1" a="1"/>
  <c r="J480" i="17" a="1"/>
  <c r="O480" i="17" s="1" a="1"/>
  <c r="J481" i="17" a="1"/>
  <c r="O481" i="17" s="1" a="1"/>
  <c r="J482" i="17" a="1"/>
  <c r="O482" i="17" s="1" a="1"/>
  <c r="J483" i="17" a="1"/>
  <c r="O483" i="17" s="1" a="1"/>
  <c r="J484" i="17" a="1"/>
  <c r="O484" i="17" s="1" a="1"/>
  <c r="J485" i="17" a="1"/>
  <c r="O485" i="17" s="1" a="1"/>
  <c r="J486" i="17" a="1"/>
  <c r="O486" i="17" s="1" a="1"/>
  <c r="J487" i="17" a="1"/>
  <c r="O487" i="17" s="1" a="1"/>
  <c r="J488" i="17" a="1"/>
  <c r="O488" i="17" s="1" a="1"/>
  <c r="J489" i="17" a="1"/>
  <c r="O489" i="17" s="1" a="1"/>
  <c r="J490" i="17" a="1"/>
  <c r="O490" i="17" s="1" a="1"/>
  <c r="J491" i="17" a="1"/>
  <c r="O491" i="17" s="1" a="1"/>
  <c r="J492" i="17" a="1"/>
  <c r="O492" i="17" s="1" a="1"/>
  <c r="J493" i="17" a="1"/>
  <c r="O493" i="17" s="1" a="1"/>
  <c r="J494" i="17" a="1"/>
  <c r="O494" i="17" s="1" a="1"/>
  <c r="J495" i="17" a="1"/>
  <c r="O495" i="17" s="1" a="1"/>
  <c r="J496" i="17" a="1"/>
  <c r="O496" i="17" s="1" a="1"/>
  <c r="J497" i="17" a="1"/>
  <c r="O497" i="17" s="1" a="1"/>
  <c r="J498" i="17" a="1"/>
  <c r="O498" i="17" s="1" a="1"/>
  <c r="J499" i="17" a="1"/>
  <c r="O499" i="17" s="1" a="1"/>
  <c r="J500" i="17" a="1"/>
  <c r="O500" i="17" s="1" a="1"/>
  <c r="J501" i="17" a="1"/>
  <c r="O501" i="17" s="1" a="1"/>
  <c r="J502" i="17" a="1"/>
  <c r="O502" i="17" s="1" a="1"/>
  <c r="J503" i="17" a="1"/>
  <c r="O503" i="17" s="1" a="1"/>
  <c r="J504" i="17" a="1"/>
  <c r="O504" i="17" s="1" a="1"/>
  <c r="J505" i="17" a="1"/>
  <c r="O505" i="17" s="1" a="1"/>
  <c r="J506" i="17" a="1"/>
  <c r="O506" i="17" s="1" a="1"/>
  <c r="J507" i="17" a="1"/>
  <c r="O507" i="17" s="1" a="1"/>
  <c r="J508" i="17" a="1"/>
  <c r="O508" i="17" s="1" a="1"/>
  <c r="J509" i="17" a="1"/>
  <c r="O509" i="17" s="1" a="1"/>
  <c r="J510" i="17" a="1"/>
  <c r="O510" i="17" s="1" a="1"/>
  <c r="J511" i="17" a="1"/>
  <c r="O511" i="17" s="1" a="1"/>
  <c r="J512" i="17" a="1"/>
  <c r="O512" i="17" s="1" a="1"/>
  <c r="J513" i="17" a="1"/>
  <c r="O513" i="17" s="1" a="1"/>
  <c r="J514" i="17" a="1"/>
  <c r="O514" i="17" s="1" a="1"/>
  <c r="J515" i="17" a="1"/>
  <c r="O515" i="17" s="1" a="1"/>
  <c r="J516" i="17" a="1"/>
  <c r="O516" i="17" s="1" a="1"/>
  <c r="J517" i="17" a="1"/>
  <c r="O517" i="17" s="1" a="1"/>
  <c r="J518" i="17" a="1"/>
  <c r="O518" i="17" s="1" a="1"/>
  <c r="J519" i="17" a="1"/>
  <c r="O519" i="17" s="1" a="1"/>
  <c r="J520" i="17" a="1"/>
  <c r="O520" i="17" s="1" a="1"/>
  <c r="J521" i="17" a="1"/>
  <c r="O521" i="17" s="1" a="1"/>
  <c r="J522" i="17" a="1"/>
  <c r="O522" i="17" s="1" a="1"/>
  <c r="J523" i="17" a="1"/>
  <c r="O523" i="17" s="1" a="1"/>
  <c r="J524" i="17" a="1"/>
  <c r="O524" i="17" s="1" a="1"/>
  <c r="J525" i="17" a="1"/>
  <c r="O525" i="17" s="1" a="1"/>
  <c r="J526" i="17" a="1"/>
  <c r="O526" i="17" s="1" a="1"/>
  <c r="J527" i="17" a="1"/>
  <c r="O527" i="17" s="1" a="1"/>
  <c r="J528" i="17" a="1"/>
  <c r="O528" i="17" s="1" a="1"/>
  <c r="J529" i="17" a="1"/>
  <c r="O529" i="17" s="1" a="1"/>
  <c r="J530" i="17" a="1"/>
  <c r="O530" i="17" s="1" a="1"/>
  <c r="J531" i="17" a="1"/>
  <c r="O531" i="17" s="1" a="1"/>
  <c r="J532" i="17" a="1"/>
  <c r="O532" i="17" s="1" a="1"/>
  <c r="J533" i="17" a="1"/>
  <c r="O533" i="17" s="1" a="1"/>
  <c r="J534" i="17" a="1"/>
  <c r="O534" i="17" s="1" a="1"/>
  <c r="J535" i="17" a="1"/>
  <c r="O535" i="17" s="1" a="1"/>
  <c r="J536" i="17" a="1"/>
  <c r="O536" i="17" s="1" a="1"/>
  <c r="J537" i="17" a="1"/>
  <c r="O537" i="17" s="1" a="1"/>
  <c r="J538" i="17" a="1"/>
  <c r="O538" i="17" s="1" a="1"/>
  <c r="J539" i="17" a="1"/>
  <c r="O539" i="17" s="1" a="1"/>
  <c r="J540" i="17" a="1"/>
  <c r="O540" i="17" s="1" a="1"/>
  <c r="J541" i="17" a="1"/>
  <c r="O541" i="17" s="1" a="1"/>
  <c r="J542" i="17" a="1"/>
  <c r="O542" i="17" s="1" a="1"/>
  <c r="J543" i="17" a="1"/>
  <c r="O543" i="17" s="1" a="1"/>
  <c r="J544" i="17" a="1"/>
  <c r="O544" i="17" s="1" a="1"/>
  <c r="J545" i="17" a="1"/>
  <c r="O545" i="17" s="1" a="1"/>
  <c r="J546" i="17" a="1"/>
  <c r="O546" i="17" s="1" a="1"/>
  <c r="J547" i="17" a="1"/>
  <c r="O547" i="17" s="1" a="1"/>
  <c r="J548" i="17" a="1"/>
  <c r="O548" i="17" s="1" a="1"/>
  <c r="J549" i="17" a="1"/>
  <c r="O549" i="17" s="1" a="1"/>
  <c r="J550" i="17" a="1"/>
  <c r="O550" i="17" s="1" a="1"/>
  <c r="J551" i="17" a="1"/>
  <c r="O551" i="17" s="1" a="1"/>
  <c r="J552" i="17" a="1"/>
  <c r="O552" i="17" s="1" a="1"/>
  <c r="J553" i="17" a="1"/>
  <c r="O553" i="17" s="1" a="1"/>
  <c r="J554" i="17" a="1"/>
  <c r="O554" i="17" s="1" a="1"/>
  <c r="J555" i="17" a="1"/>
  <c r="O555" i="17" s="1" a="1"/>
  <c r="J556" i="17" a="1"/>
  <c r="O556" i="17" s="1" a="1"/>
  <c r="J557" i="17" a="1"/>
  <c r="O557" i="17" s="1" a="1"/>
  <c r="J558" i="17" a="1"/>
  <c r="O558" i="17" s="1" a="1"/>
  <c r="J559" i="17" a="1"/>
  <c r="O559" i="17" s="1" a="1"/>
  <c r="J560" i="17" a="1"/>
  <c r="O560" i="17" s="1" a="1"/>
  <c r="J561" i="17" a="1"/>
  <c r="O561" i="17" s="1" a="1"/>
  <c r="J562" i="17" a="1"/>
  <c r="O562" i="17" s="1" a="1"/>
  <c r="J563" i="17" a="1"/>
  <c r="O563" i="17" s="1" a="1"/>
  <c r="J564" i="17" a="1"/>
  <c r="O564" i="17" s="1" a="1"/>
  <c r="J565" i="17" a="1"/>
  <c r="O565" i="17" s="1" a="1"/>
  <c r="J566" i="17" a="1"/>
  <c r="O566" i="17" s="1" a="1"/>
  <c r="J567" i="17" a="1"/>
  <c r="O567" i="17" s="1" a="1"/>
  <c r="J568" i="17" a="1"/>
  <c r="O568" i="17" s="1" a="1"/>
  <c r="J569" i="17" a="1"/>
  <c r="O569" i="17" s="1" a="1"/>
  <c r="J570" i="17" a="1"/>
  <c r="O570" i="17" s="1" a="1"/>
  <c r="J571" i="17" a="1"/>
  <c r="O571" i="17" s="1" a="1"/>
  <c r="J572" i="17" a="1"/>
  <c r="O572" i="17" s="1" a="1"/>
  <c r="J573" i="17" a="1"/>
  <c r="O573" i="17" s="1" a="1"/>
  <c r="J574" i="17" a="1"/>
  <c r="O574" i="17" s="1" a="1"/>
  <c r="J575" i="17" a="1"/>
  <c r="O575" i="17" s="1" a="1"/>
  <c r="J576" i="17" a="1"/>
  <c r="O576" i="17" s="1" a="1"/>
  <c r="J577" i="17" a="1"/>
  <c r="O577" i="17" s="1" a="1"/>
  <c r="J578" i="17" a="1"/>
  <c r="O578" i="17" s="1" a="1"/>
  <c r="J579" i="17" a="1"/>
  <c r="O579" i="17" s="1" a="1"/>
  <c r="J580" i="17" a="1"/>
  <c r="O580" i="17" s="1" a="1"/>
  <c r="J581" i="17" a="1"/>
  <c r="O581" i="17" s="1" a="1"/>
  <c r="J582" i="17" a="1"/>
  <c r="O582" i="17" s="1" a="1"/>
  <c r="J583" i="17" a="1"/>
  <c r="O583" i="17" s="1" a="1"/>
  <c r="J584" i="17" a="1"/>
  <c r="O584" i="17" s="1" a="1"/>
  <c r="J585" i="17" a="1"/>
  <c r="O585" i="17" s="1" a="1"/>
  <c r="J586" i="17" a="1"/>
  <c r="O586" i="17" s="1" a="1"/>
  <c r="J587" i="17" a="1"/>
  <c r="O587" i="17" s="1" a="1"/>
  <c r="J588" i="17" a="1"/>
  <c r="O588" i="17" s="1" a="1"/>
  <c r="J589" i="17" a="1"/>
  <c r="O589" i="17" s="1" a="1"/>
  <c r="J590" i="17" a="1"/>
  <c r="O590" i="17" s="1" a="1"/>
  <c r="J591" i="17" a="1"/>
  <c r="O591" i="17" s="1" a="1"/>
  <c r="J592" i="17" a="1"/>
  <c r="O592" i="17" s="1" a="1"/>
  <c r="J593" i="17" a="1"/>
  <c r="O593" i="17" s="1" a="1"/>
  <c r="J594" i="17" a="1"/>
  <c r="O594" i="17" s="1" a="1"/>
  <c r="J595" i="17" a="1"/>
  <c r="O595" i="17" s="1" a="1"/>
  <c r="J596" i="17" a="1"/>
  <c r="O596" i="17" s="1" a="1"/>
  <c r="J597" i="17" a="1"/>
  <c r="O597" i="17" s="1" a="1"/>
  <c r="J598" i="17" a="1"/>
  <c r="O598" i="17" s="1" a="1"/>
  <c r="J599" i="17" a="1"/>
  <c r="O599" i="17" s="1" a="1"/>
  <c r="J600" i="17" a="1"/>
  <c r="O600" i="17" s="1" a="1"/>
  <c r="J601" i="17" a="1"/>
  <c r="O601" i="17" s="1" a="1"/>
  <c r="J602" i="17" a="1"/>
  <c r="O602" i="17" s="1" a="1"/>
  <c r="J603" i="17" a="1"/>
  <c r="O603" i="17" s="1" a="1"/>
  <c r="J604" i="17" a="1"/>
  <c r="O604" i="17" s="1" a="1"/>
  <c r="J605" i="17" a="1"/>
  <c r="O605" i="17" s="1" a="1"/>
  <c r="J606" i="17" a="1"/>
  <c r="O606" i="17" s="1" a="1"/>
  <c r="J607" i="17" a="1"/>
  <c r="O607" i="17" s="1" a="1"/>
  <c r="J608" i="17" a="1"/>
  <c r="O608" i="17" s="1" a="1"/>
  <c r="J609" i="17" a="1"/>
  <c r="O609" i="17" s="1" a="1"/>
  <c r="J610" i="17" a="1"/>
  <c r="O610" i="17" s="1" a="1"/>
  <c r="J611" i="17" a="1"/>
  <c r="O611" i="17" s="1" a="1"/>
  <c r="J612" i="17" a="1"/>
  <c r="O612" i="17" s="1" a="1"/>
  <c r="J613" i="17" a="1"/>
  <c r="O613" i="17" s="1" a="1"/>
  <c r="J614" i="17" a="1"/>
  <c r="O614" i="17" s="1" a="1"/>
  <c r="J615" i="17" a="1"/>
  <c r="O615" i="17" s="1" a="1"/>
  <c r="J616" i="17" a="1"/>
  <c r="O616" i="17" s="1" a="1"/>
  <c r="J617" i="17" a="1"/>
  <c r="O617" i="17" s="1" a="1"/>
  <c r="J618" i="17" a="1"/>
  <c r="O618" i="17" s="1" a="1"/>
  <c r="J619" i="17" a="1"/>
  <c r="O619" i="17" s="1" a="1"/>
  <c r="J620" i="17" a="1"/>
  <c r="O620" i="17" s="1" a="1"/>
  <c r="J621" i="17" a="1"/>
  <c r="O621" i="17" s="1" a="1"/>
  <c r="J622" i="17" a="1"/>
  <c r="O622" i="17" s="1" a="1"/>
  <c r="J623" i="17" a="1"/>
  <c r="O623" i="17" s="1" a="1"/>
  <c r="J624" i="17" a="1"/>
  <c r="O624" i="17" s="1" a="1"/>
  <c r="J625" i="17" a="1"/>
  <c r="O625" i="17" s="1" a="1"/>
  <c r="J626" i="17" a="1"/>
  <c r="O626" i="17" s="1" a="1"/>
  <c r="J627" i="17" a="1"/>
  <c r="O627" i="17" s="1" a="1"/>
  <c r="J628" i="17" a="1"/>
  <c r="O628" i="17" s="1" a="1"/>
  <c r="J629" i="17" a="1"/>
  <c r="O629" i="17" s="1" a="1"/>
  <c r="J630" i="17" a="1"/>
  <c r="O630" i="17" s="1" a="1"/>
  <c r="J631" i="17" a="1"/>
  <c r="O631" i="17" s="1" a="1"/>
  <c r="J632" i="17" a="1"/>
  <c r="O632" i="17" s="1" a="1"/>
  <c r="J633" i="17" a="1"/>
  <c r="O633" i="17" s="1" a="1"/>
  <c r="J634" i="17" a="1"/>
  <c r="O634" i="17" s="1" a="1"/>
  <c r="J635" i="17" a="1"/>
  <c r="O635" i="17" s="1" a="1"/>
  <c r="J636" i="17" a="1"/>
  <c r="O636" i="17" s="1" a="1"/>
  <c r="J637" i="17" a="1"/>
  <c r="O637" i="17" s="1" a="1"/>
  <c r="J638" i="17" a="1"/>
  <c r="O638" i="17" s="1" a="1"/>
  <c r="J639" i="17" a="1"/>
  <c r="O639" i="17" s="1" a="1"/>
  <c r="J640" i="17" a="1"/>
  <c r="O640" i="17" s="1" a="1"/>
  <c r="J641" i="17" a="1"/>
  <c r="O641" i="17" s="1" a="1"/>
  <c r="J642" i="17" a="1"/>
  <c r="O642" i="17" s="1" a="1"/>
  <c r="J643" i="17" a="1"/>
  <c r="O643" i="17" s="1" a="1"/>
  <c r="J644" i="17" a="1"/>
  <c r="O644" i="17" s="1" a="1"/>
  <c r="J645" i="17" a="1"/>
  <c r="O645" i="17" s="1" a="1"/>
  <c r="J646" i="17" a="1"/>
  <c r="O646" i="17" s="1" a="1"/>
  <c r="J647" i="17" a="1"/>
  <c r="O647" i="17" s="1" a="1"/>
  <c r="J648" i="17" a="1"/>
  <c r="O648" i="17" s="1" a="1"/>
  <c r="J649" i="17" a="1"/>
  <c r="O649" i="17" s="1" a="1"/>
  <c r="J650" i="17" a="1"/>
  <c r="O650" i="17" s="1" a="1"/>
  <c r="J651" i="17" a="1"/>
  <c r="O651" i="17" s="1" a="1"/>
  <c r="J652" i="17" a="1"/>
  <c r="O652" i="17" s="1" a="1"/>
  <c r="J653" i="17" a="1"/>
  <c r="O653" i="17" s="1" a="1"/>
  <c r="J654" i="17" a="1"/>
  <c r="O654" i="17" s="1" a="1"/>
  <c r="J655" i="17" a="1"/>
  <c r="O655" i="17" s="1" a="1"/>
  <c r="J656" i="17" a="1"/>
  <c r="O656" i="17" s="1" a="1"/>
  <c r="J657" i="17" a="1"/>
  <c r="O657" i="17" s="1" a="1"/>
  <c r="J658" i="17" a="1"/>
  <c r="O658" i="17" s="1" a="1"/>
  <c r="J659" i="17" a="1"/>
  <c r="O659" i="17" s="1" a="1"/>
  <c r="J660" i="17" a="1"/>
  <c r="O660" i="17" s="1" a="1"/>
  <c r="J661" i="17" a="1"/>
  <c r="O661" i="17" s="1" a="1"/>
  <c r="J662" i="17" a="1"/>
  <c r="O662" i="17" s="1" a="1"/>
  <c r="J663" i="17" a="1"/>
  <c r="O663" i="17" s="1" a="1"/>
  <c r="J664" i="17" a="1"/>
  <c r="O664" i="17" s="1" a="1"/>
  <c r="J665" i="17" a="1"/>
  <c r="O665" i="17" s="1" a="1"/>
  <c r="J666" i="17" a="1"/>
  <c r="O666" i="17" s="1" a="1"/>
  <c r="J667" i="17" a="1"/>
  <c r="O667" i="17" s="1" a="1"/>
  <c r="J668" i="17" a="1"/>
  <c r="O668" i="17" s="1" a="1"/>
  <c r="J669" i="17" a="1"/>
  <c r="O669" i="17" s="1" a="1"/>
  <c r="J670" i="17" a="1"/>
  <c r="O670" i="17" s="1" a="1"/>
  <c r="J671" i="17" a="1"/>
  <c r="O671" i="17" s="1" a="1"/>
  <c r="J672" i="17" a="1"/>
  <c r="O672" i="17" s="1" a="1"/>
  <c r="J673" i="17" a="1"/>
  <c r="O673" i="17" s="1" a="1"/>
  <c r="J674" i="17" a="1"/>
  <c r="O674" i="17" s="1" a="1"/>
  <c r="J675" i="17" a="1"/>
  <c r="O675" i="17" s="1" a="1"/>
  <c r="J676" i="17" a="1"/>
  <c r="O676" i="17" s="1" a="1"/>
  <c r="J677" i="17" a="1"/>
  <c r="O677" i="17" s="1" a="1"/>
  <c r="J678" i="17" a="1"/>
  <c r="O678" i="17" s="1" a="1"/>
  <c r="J679" i="17" a="1"/>
  <c r="O679" i="17" s="1" a="1"/>
  <c r="J680" i="17" a="1"/>
  <c r="O680" i="17" s="1" a="1"/>
  <c r="J681" i="17" a="1"/>
  <c r="O681" i="17" s="1" a="1"/>
  <c r="J682" i="17" a="1"/>
  <c r="O682" i="17" s="1" a="1"/>
  <c r="J683" i="17" a="1"/>
  <c r="O683" i="17" s="1" a="1"/>
  <c r="J684" i="17" a="1"/>
  <c r="O684" i="17" s="1" a="1"/>
  <c r="J685" i="17" a="1"/>
  <c r="O685" i="17" s="1" a="1"/>
  <c r="J686" i="17" a="1"/>
  <c r="O686" i="17" s="1" a="1"/>
  <c r="J687" i="17" a="1"/>
  <c r="O687" i="17" s="1" a="1"/>
  <c r="J688" i="17" a="1"/>
  <c r="O688" i="17" s="1" a="1"/>
  <c r="J689" i="17" a="1"/>
  <c r="O689" i="17" s="1" a="1"/>
  <c r="J690" i="17" a="1"/>
  <c r="O690" i="17" s="1" a="1"/>
  <c r="J691" i="17" a="1"/>
  <c r="O691" i="17" s="1" a="1"/>
  <c r="J692" i="17" a="1"/>
  <c r="O692" i="17" s="1" a="1"/>
  <c r="J693" i="17" a="1"/>
  <c r="O693" i="17" s="1" a="1"/>
  <c r="J694" i="17" a="1"/>
  <c r="O694" i="17" s="1" a="1"/>
  <c r="J695" i="17" a="1"/>
  <c r="O695" i="17" s="1" a="1"/>
  <c r="J696" i="17" a="1"/>
  <c r="O696" i="17" s="1" a="1"/>
  <c r="J697" i="17" a="1"/>
  <c r="O697" i="17" s="1" a="1"/>
  <c r="J698" i="17" a="1"/>
  <c r="O698" i="17" s="1" a="1"/>
  <c r="J699" i="17" a="1"/>
  <c r="O699" i="17" s="1" a="1"/>
  <c r="J700" i="17" a="1"/>
  <c r="O700" i="17" s="1" a="1"/>
  <c r="J701" i="17" a="1"/>
  <c r="O701" i="17" s="1" a="1"/>
  <c r="J702" i="17" a="1"/>
  <c r="O702" i="17" s="1" a="1"/>
  <c r="J703" i="17" a="1"/>
  <c r="O703" i="17" s="1" a="1"/>
  <c r="J704" i="17" a="1"/>
  <c r="O704" i="17" s="1" a="1"/>
  <c r="J705" i="17" a="1"/>
  <c r="O705" i="17" s="1" a="1"/>
  <c r="J706" i="17" a="1"/>
  <c r="O706" i="17" s="1" a="1"/>
  <c r="J707" i="17" a="1"/>
  <c r="O707" i="17" s="1" a="1"/>
  <c r="J708" i="17" a="1"/>
  <c r="O708" i="17" s="1" a="1"/>
  <c r="J709" i="17" a="1"/>
  <c r="O709" i="17" s="1" a="1"/>
  <c r="J710" i="17" a="1"/>
  <c r="O710" i="17" s="1" a="1"/>
  <c r="J711" i="17" a="1"/>
  <c r="O711" i="17" s="1" a="1"/>
  <c r="J712" i="17" a="1"/>
  <c r="O712" i="17" s="1" a="1"/>
  <c r="J713" i="17" a="1"/>
  <c r="O713" i="17" s="1" a="1"/>
  <c r="J714" i="17" a="1"/>
  <c r="O714" i="17" s="1" a="1"/>
  <c r="J715" i="17" a="1"/>
  <c r="O715" i="17" s="1" a="1"/>
  <c r="J716" i="17" a="1"/>
  <c r="O716" i="17" s="1" a="1"/>
  <c r="J717" i="17" a="1"/>
  <c r="O717" i="17" s="1" a="1"/>
  <c r="J718" i="17" a="1"/>
  <c r="O718" i="17" s="1" a="1"/>
  <c r="J719" i="17" a="1"/>
  <c r="O719" i="17" s="1" a="1"/>
  <c r="J720" i="17" a="1"/>
  <c r="O720" i="17" s="1" a="1"/>
  <c r="J721" i="17" a="1"/>
  <c r="O721" i="17" s="1" a="1"/>
  <c r="J722" i="17" a="1"/>
  <c r="O722" i="17" s="1" a="1"/>
  <c r="J723" i="17" a="1"/>
  <c r="O723" i="17" s="1" a="1"/>
  <c r="J724" i="17" a="1"/>
  <c r="O724" i="17" s="1" a="1"/>
  <c r="J725" i="17" a="1"/>
  <c r="O725" i="17" s="1" a="1"/>
  <c r="J726" i="17" a="1"/>
  <c r="O726" i="17" s="1" a="1"/>
  <c r="J727" i="17" a="1"/>
  <c r="O727" i="17" s="1" a="1"/>
  <c r="J728" i="17" a="1"/>
  <c r="O728" i="17" s="1" a="1"/>
  <c r="J729" i="17" a="1"/>
  <c r="O729" i="17" s="1" a="1"/>
  <c r="J730" i="17" a="1"/>
  <c r="O730" i="17" s="1" a="1"/>
  <c r="J731" i="17" a="1"/>
  <c r="O731" i="17" s="1" a="1"/>
  <c r="J732" i="17" a="1"/>
  <c r="O732" i="17" s="1" a="1"/>
  <c r="J733" i="17" a="1"/>
  <c r="O733" i="17" s="1" a="1"/>
  <c r="J734" i="17" a="1"/>
  <c r="O734" i="17" s="1" a="1"/>
  <c r="J735" i="17" a="1"/>
  <c r="O735" i="17" s="1" a="1"/>
  <c r="J736" i="17" a="1"/>
  <c r="O736" i="17" s="1" a="1"/>
  <c r="J737" i="17" a="1"/>
  <c r="O737" i="17" s="1" a="1"/>
  <c r="J738" i="17" a="1"/>
  <c r="O738" i="17" s="1" a="1"/>
  <c r="J739" i="17" a="1"/>
  <c r="O739" i="17" s="1" a="1"/>
  <c r="J740" i="17" a="1"/>
  <c r="O740" i="17" s="1" a="1"/>
  <c r="J741" i="17" a="1"/>
  <c r="O741" i="17" s="1" a="1"/>
  <c r="J742" i="17" a="1"/>
  <c r="O742" i="17" s="1" a="1"/>
  <c r="J743" i="17" a="1"/>
  <c r="O743" i="17" s="1" a="1"/>
  <c r="J744" i="17" a="1"/>
  <c r="O744" i="17" s="1" a="1"/>
  <c r="J745" i="17" a="1"/>
  <c r="O745" i="17" s="1" a="1"/>
  <c r="J746" i="17" a="1"/>
  <c r="O746" i="17" s="1" a="1"/>
  <c r="J747" i="17" a="1"/>
  <c r="O747" i="17" s="1" a="1"/>
  <c r="J748" i="17" a="1"/>
  <c r="O748" i="17" s="1" a="1"/>
  <c r="J749" i="17" a="1"/>
  <c r="O749" i="17" s="1" a="1"/>
  <c r="J750" i="17" a="1"/>
  <c r="O750" i="17" s="1" a="1"/>
  <c r="J751" i="17" a="1"/>
  <c r="O751" i="17" s="1" a="1"/>
  <c r="J752" i="17" a="1"/>
  <c r="O752" i="17" s="1" a="1"/>
  <c r="J753" i="17" a="1"/>
  <c r="O753" i="17" s="1" a="1"/>
  <c r="J754" i="17" a="1"/>
  <c r="O754" i="17" s="1" a="1"/>
  <c r="J755" i="17" a="1"/>
  <c r="O755" i="17" s="1" a="1"/>
  <c r="J756" i="17" a="1"/>
  <c r="O756" i="17" s="1" a="1"/>
  <c r="J757" i="17" a="1"/>
  <c r="O757" i="17" s="1" a="1"/>
  <c r="J758" i="17" a="1"/>
  <c r="O758" i="17" s="1" a="1"/>
  <c r="J759" i="17" a="1"/>
  <c r="O759" i="17" s="1" a="1"/>
  <c r="J760" i="17" a="1"/>
  <c r="O760" i="17" s="1" a="1"/>
  <c r="J761" i="17" a="1"/>
  <c r="O761" i="17" s="1" a="1"/>
  <c r="J762" i="17" a="1"/>
  <c r="O762" i="17" s="1" a="1"/>
  <c r="J763" i="17" a="1"/>
  <c r="O763" i="17" s="1" a="1"/>
  <c r="J764" i="17" a="1"/>
  <c r="O764" i="17" s="1" a="1"/>
  <c r="J765" i="17" a="1"/>
  <c r="O765" i="17" s="1" a="1"/>
  <c r="J766" i="17" a="1"/>
  <c r="O766" i="17" s="1" a="1"/>
  <c r="J767" i="17" a="1"/>
  <c r="O767" i="17" s="1" a="1"/>
  <c r="J768" i="17" a="1"/>
  <c r="O768" i="17" s="1" a="1"/>
  <c r="J769" i="17" a="1"/>
  <c r="O769" i="17" s="1" a="1"/>
  <c r="J770" i="17" a="1"/>
  <c r="O770" i="17" s="1" a="1"/>
  <c r="J771" i="17" a="1"/>
  <c r="O771" i="17" s="1" a="1"/>
  <c r="J772" i="17" a="1"/>
  <c r="O772" i="17" s="1" a="1"/>
  <c r="J773" i="17" a="1"/>
  <c r="O773" i="17" s="1" a="1"/>
  <c r="J774" i="17" a="1"/>
  <c r="O774" i="17" s="1" a="1"/>
  <c r="J775" i="17" a="1"/>
  <c r="O775" i="17" s="1" a="1"/>
  <c r="J776" i="17" a="1"/>
  <c r="O776" i="17" s="1" a="1"/>
  <c r="J777" i="17" a="1"/>
  <c r="O777" i="17" s="1" a="1"/>
  <c r="J778" i="17" a="1"/>
  <c r="O778" i="17" s="1" a="1"/>
  <c r="J779" i="17" a="1"/>
  <c r="O779" i="17" s="1" a="1"/>
  <c r="J780" i="17" a="1"/>
  <c r="O780" i="17" s="1" a="1"/>
  <c r="J781" i="17" a="1"/>
  <c r="O781" i="17" s="1" a="1"/>
  <c r="J782" i="17" a="1"/>
  <c r="O782" i="17" s="1" a="1"/>
  <c r="J783" i="17" a="1"/>
  <c r="O783" i="17" s="1" a="1"/>
  <c r="J784" i="17" a="1"/>
  <c r="O784" i="17" s="1" a="1"/>
  <c r="J785" i="17" a="1"/>
  <c r="O785" i="17" s="1" a="1"/>
  <c r="J786" i="17" a="1"/>
  <c r="O786" i="17" s="1" a="1"/>
  <c r="J787" i="17" a="1"/>
  <c r="O787" i="17" s="1" a="1"/>
  <c r="J788" i="17" a="1"/>
  <c r="O788" i="17" s="1" a="1"/>
  <c r="J789" i="17" a="1"/>
  <c r="O789" i="17" s="1" a="1"/>
  <c r="J790" i="17" a="1"/>
  <c r="O790" i="17" s="1" a="1"/>
  <c r="J791" i="17" a="1"/>
  <c r="O791" i="17" s="1" a="1"/>
  <c r="J792" i="17" a="1"/>
  <c r="O792" i="17" s="1" a="1"/>
  <c r="J793" i="17" a="1"/>
  <c r="O793" i="17" s="1" a="1"/>
  <c r="J794" i="17" a="1"/>
  <c r="O794" i="17" s="1" a="1"/>
  <c r="J795" i="17" a="1"/>
  <c r="O795" i="17" s="1" a="1"/>
  <c r="J796" i="17" a="1"/>
  <c r="O796" i="17" s="1" a="1"/>
  <c r="J797" i="17" a="1"/>
  <c r="O797" i="17" s="1" a="1"/>
  <c r="J798" i="17" a="1"/>
  <c r="O798" i="17" s="1" a="1"/>
  <c r="J799" i="17" a="1"/>
  <c r="O799" i="17" s="1" a="1"/>
  <c r="J800" i="17" a="1"/>
  <c r="O800" i="17" s="1" a="1"/>
  <c r="J801" i="17" a="1"/>
  <c r="O801" i="17" s="1" a="1"/>
  <c r="J802" i="17" a="1"/>
  <c r="O802" i="17" s="1" a="1"/>
  <c r="J803" i="17" a="1"/>
  <c r="O803" i="17" s="1" a="1"/>
  <c r="J804" i="17" a="1"/>
  <c r="O804" i="17" s="1" a="1"/>
  <c r="J805" i="17" a="1"/>
  <c r="O805" i="17" s="1" a="1"/>
  <c r="J806" i="17" a="1"/>
  <c r="O806" i="17" s="1" a="1"/>
  <c r="J807" i="17" a="1"/>
  <c r="O807" i="17" s="1" a="1"/>
  <c r="J808" i="17" a="1"/>
  <c r="O808" i="17" s="1" a="1"/>
  <c r="J809" i="17" a="1"/>
  <c r="O809" i="17" s="1" a="1"/>
  <c r="J810" i="17" a="1"/>
  <c r="O810" i="17" s="1" a="1"/>
  <c r="J811" i="17" a="1"/>
  <c r="O811" i="17" s="1" a="1"/>
  <c r="J812" i="17" a="1"/>
  <c r="O812" i="17" s="1" a="1"/>
  <c r="J813" i="17" a="1"/>
  <c r="O813" i="17" s="1" a="1"/>
  <c r="J814" i="17" a="1"/>
  <c r="O814" i="17" s="1" a="1"/>
  <c r="J815" i="17" a="1"/>
  <c r="O815" i="17" s="1" a="1"/>
  <c r="J816" i="17" a="1"/>
  <c r="O816" i="17" s="1" a="1"/>
  <c r="J817" i="17" a="1"/>
  <c r="O817" i="17" s="1" a="1"/>
  <c r="J818" i="17" a="1"/>
  <c r="O818" i="17" s="1" a="1"/>
  <c r="J819" i="17" a="1"/>
  <c r="O819" i="17" s="1" a="1"/>
  <c r="J820" i="17" a="1"/>
  <c r="O820" i="17" s="1" a="1"/>
  <c r="J821" i="17" a="1"/>
  <c r="O821" i="17" s="1" a="1"/>
  <c r="J822" i="17" a="1"/>
  <c r="O822" i="17" s="1" a="1"/>
  <c r="J823" i="17" a="1"/>
  <c r="O823" i="17" s="1" a="1"/>
  <c r="J824" i="17" a="1"/>
  <c r="O824" i="17" s="1" a="1"/>
  <c r="J825" i="17" a="1"/>
  <c r="O825" i="17" s="1" a="1"/>
  <c r="J826" i="17" a="1"/>
  <c r="O826" i="17" s="1" a="1"/>
  <c r="J827" i="17" a="1"/>
  <c r="O827" i="17" s="1" a="1"/>
  <c r="J828" i="17" a="1"/>
  <c r="O828" i="17" s="1" a="1"/>
  <c r="J829" i="17" a="1"/>
  <c r="O829" i="17" s="1" a="1"/>
  <c r="J830" i="17" a="1"/>
  <c r="O830" i="17" s="1" a="1"/>
  <c r="J831" i="17" a="1"/>
  <c r="O831" i="17" s="1" a="1"/>
  <c r="J832" i="17" a="1"/>
  <c r="O832" i="17" s="1" a="1"/>
  <c r="J833" i="17" a="1"/>
  <c r="O833" i="17" s="1" a="1"/>
  <c r="J834" i="17" a="1"/>
  <c r="O834" i="17" s="1" a="1"/>
  <c r="J835" i="17" a="1"/>
  <c r="O835" i="17" s="1" a="1"/>
  <c r="J836" i="17" a="1"/>
  <c r="O836" i="17" s="1" a="1"/>
  <c r="J837" i="17" a="1"/>
  <c r="O837" i="17" s="1" a="1"/>
  <c r="J838" i="17" a="1"/>
  <c r="O838" i="17" s="1" a="1"/>
  <c r="J839" i="17" a="1"/>
  <c r="O839" i="17" s="1" a="1"/>
  <c r="J840" i="17" a="1"/>
  <c r="O840" i="17" s="1" a="1"/>
  <c r="J841" i="17" a="1"/>
  <c r="O841" i="17" s="1" a="1"/>
  <c r="J842" i="17" a="1"/>
  <c r="O842" i="17" s="1" a="1"/>
  <c r="J843" i="17" a="1"/>
  <c r="O843" i="17" s="1" a="1"/>
  <c r="J844" i="17" a="1"/>
  <c r="O844" i="17" s="1" a="1"/>
  <c r="J845" i="17" a="1"/>
  <c r="O845" i="17" s="1" a="1"/>
  <c r="J846" i="17" a="1"/>
  <c r="O846" i="17" s="1" a="1"/>
  <c r="J847" i="17" a="1"/>
  <c r="O847" i="17" s="1" a="1"/>
  <c r="J848" i="17" a="1"/>
  <c r="O848" i="17" s="1" a="1"/>
  <c r="J849" i="17" a="1"/>
  <c r="O849" i="17" s="1" a="1"/>
  <c r="J850" i="17" a="1"/>
  <c r="O850" i="17" s="1" a="1"/>
  <c r="J851" i="17" a="1"/>
  <c r="O851" i="17" s="1" a="1"/>
  <c r="J852" i="17" a="1"/>
  <c r="O852" i="17" s="1" a="1"/>
  <c r="J853" i="17" a="1"/>
  <c r="O853" i="17" s="1" a="1"/>
  <c r="J854" i="17" a="1"/>
  <c r="O854" i="17" s="1" a="1"/>
  <c r="J855" i="17" a="1"/>
  <c r="O855" i="17" s="1" a="1"/>
  <c r="J856" i="17" a="1"/>
  <c r="O856" i="17" s="1" a="1"/>
  <c r="J857" i="17" a="1"/>
  <c r="O857" i="17" s="1" a="1"/>
  <c r="J858" i="17" a="1"/>
  <c r="O858" i="17" s="1" a="1"/>
  <c r="J859" i="17" a="1"/>
  <c r="O859" i="17" s="1" a="1"/>
  <c r="J860" i="17" a="1"/>
  <c r="O860" i="17" s="1" a="1"/>
  <c r="J861" i="17" a="1"/>
  <c r="O861" i="17" s="1" a="1"/>
  <c r="J862" i="17" a="1"/>
  <c r="O862" i="17" s="1" a="1"/>
  <c r="J863" i="17" a="1"/>
  <c r="O863" i="17" s="1" a="1"/>
  <c r="J864" i="17" a="1"/>
  <c r="O864" i="17" s="1" a="1"/>
  <c r="J865" i="17" a="1"/>
  <c r="O865" i="17" s="1" a="1"/>
  <c r="J866" i="17" a="1"/>
  <c r="O866" i="17" s="1" a="1"/>
  <c r="J867" i="17" a="1"/>
  <c r="O867" i="17" s="1" a="1"/>
  <c r="J868" i="17" a="1"/>
  <c r="O868" i="17" s="1" a="1"/>
  <c r="J869" i="17" a="1"/>
  <c r="O869" i="17" s="1" a="1"/>
  <c r="J870" i="17" a="1"/>
  <c r="O870" i="17" s="1" a="1"/>
  <c r="J871" i="17" a="1"/>
  <c r="O871" i="17" s="1" a="1"/>
  <c r="J872" i="17" a="1"/>
  <c r="O872" i="17" s="1" a="1"/>
  <c r="J873" i="17" a="1"/>
  <c r="O873" i="17" s="1" a="1"/>
  <c r="J874" i="17" a="1"/>
  <c r="O874" i="17" s="1" a="1"/>
  <c r="J875" i="17" a="1"/>
  <c r="O875" i="17" s="1" a="1"/>
  <c r="J876" i="17" a="1"/>
  <c r="O876" i="17" s="1" a="1"/>
  <c r="J877" i="17" a="1"/>
  <c r="O877" i="17" s="1" a="1"/>
  <c r="J878" i="17" a="1"/>
  <c r="O878" i="17" s="1" a="1"/>
  <c r="J879" i="17" a="1"/>
  <c r="O879" i="17" s="1" a="1"/>
  <c r="J880" i="17" a="1"/>
  <c r="O880" i="17" s="1" a="1"/>
  <c r="J881" i="17" a="1"/>
  <c r="O881" i="17" s="1" a="1"/>
  <c r="J882" i="17" a="1"/>
  <c r="O882" i="17" s="1" a="1"/>
  <c r="J883" i="17" a="1"/>
  <c r="O883" i="17" s="1" a="1"/>
  <c r="J884" i="17" a="1"/>
  <c r="O884" i="17" s="1" a="1"/>
  <c r="J885" i="17" a="1"/>
  <c r="O885" i="17" s="1" a="1"/>
  <c r="J886" i="17" a="1"/>
  <c r="O886" i="17" s="1" a="1"/>
  <c r="J887" i="17" a="1"/>
  <c r="O887" i="17" s="1" a="1"/>
  <c r="J888" i="17" a="1"/>
  <c r="O888" i="17" s="1" a="1"/>
  <c r="J889" i="17" a="1"/>
  <c r="O889" i="17" s="1" a="1"/>
  <c r="J890" i="17" a="1"/>
  <c r="O890" i="17" s="1" a="1"/>
  <c r="J891" i="17" a="1"/>
  <c r="O891" i="17" s="1" a="1"/>
  <c r="J892" i="17" a="1"/>
  <c r="O892" i="17" s="1" a="1"/>
  <c r="J893" i="17" a="1"/>
  <c r="O893" i="17" s="1" a="1"/>
  <c r="J894" i="17" a="1"/>
  <c r="O894" i="17" s="1" a="1"/>
  <c r="J895" i="17" a="1"/>
  <c r="O895" i="17" s="1" a="1"/>
  <c r="J896" i="17" a="1"/>
  <c r="O896" i="17" s="1" a="1"/>
  <c r="J897" i="17" a="1"/>
  <c r="O897" i="17" s="1" a="1"/>
  <c r="J898" i="17" a="1"/>
  <c r="O898" i="17" s="1" a="1"/>
  <c r="J899" i="17" a="1"/>
  <c r="O899" i="17" s="1" a="1"/>
  <c r="J900" i="17" a="1"/>
  <c r="O900" i="17" s="1" a="1"/>
  <c r="J901" i="17" a="1"/>
  <c r="O901" i="17" s="1" a="1"/>
  <c r="J902" i="17" a="1"/>
  <c r="O902" i="17" s="1" a="1"/>
  <c r="J903" i="17" a="1"/>
  <c r="O903" i="17" s="1" a="1"/>
  <c r="J904" i="17" a="1"/>
  <c r="O904" i="17" s="1" a="1"/>
  <c r="J905" i="17" a="1"/>
  <c r="O905" i="17" s="1" a="1"/>
  <c r="J906" i="17" a="1"/>
  <c r="O906" i="17" s="1" a="1"/>
  <c r="J907" i="17" a="1"/>
  <c r="O907" i="17" s="1" a="1"/>
  <c r="J908" i="17" a="1"/>
  <c r="O908" i="17" s="1" a="1"/>
  <c r="J909" i="17" a="1"/>
  <c r="O909" i="17" s="1" a="1"/>
  <c r="J910" i="17" a="1"/>
  <c r="O910" i="17" s="1" a="1"/>
  <c r="J911" i="17" a="1"/>
  <c r="O911" i="17" s="1" a="1"/>
  <c r="J912" i="17" a="1"/>
  <c r="O912" i="17" s="1" a="1"/>
  <c r="J913" i="17" a="1"/>
  <c r="O913" i="17" s="1" a="1"/>
  <c r="J914" i="17" a="1"/>
  <c r="O914" i="17" s="1" a="1"/>
  <c r="J915" i="17" a="1"/>
  <c r="O915" i="17" s="1" a="1"/>
  <c r="J916" i="17" a="1"/>
  <c r="O916" i="17" s="1" a="1"/>
  <c r="J917" i="17" a="1"/>
  <c r="O917" i="17" s="1" a="1"/>
  <c r="J918" i="17" a="1"/>
  <c r="O918" i="17" s="1" a="1"/>
  <c r="J919" i="17" a="1"/>
  <c r="O919" i="17" s="1" a="1"/>
  <c r="J920" i="17" a="1"/>
  <c r="O920" i="17" s="1" a="1"/>
  <c r="J921" i="17" a="1"/>
  <c r="O921" i="17" s="1" a="1"/>
  <c r="J922" i="17" a="1"/>
  <c r="O922" i="17" s="1" a="1"/>
  <c r="J923" i="17" a="1"/>
  <c r="O923" i="17" s="1" a="1"/>
  <c r="J924" i="17" a="1"/>
  <c r="O924" i="17" s="1" a="1"/>
  <c r="J925" i="17" a="1"/>
  <c r="O925" i="17" s="1" a="1"/>
  <c r="J926" i="17" a="1"/>
  <c r="O926" i="17" s="1" a="1"/>
  <c r="J927" i="17" a="1"/>
  <c r="O927" i="17" s="1" a="1"/>
  <c r="J928" i="17" a="1"/>
  <c r="O928" i="17" s="1" a="1"/>
  <c r="J929" i="17" a="1"/>
  <c r="O929" i="17" s="1" a="1"/>
  <c r="J930" i="17" a="1"/>
  <c r="O930" i="17" s="1" a="1"/>
  <c r="J931" i="17" a="1"/>
  <c r="O931" i="17" s="1" a="1"/>
  <c r="J932" i="17" a="1"/>
  <c r="O932" i="17" s="1" a="1"/>
  <c r="J933" i="17" a="1"/>
  <c r="O933" i="17" s="1" a="1"/>
  <c r="J934" i="17" a="1"/>
  <c r="O934" i="17" s="1" a="1"/>
  <c r="J935" i="17" a="1"/>
  <c r="O935" i="17" s="1" a="1"/>
  <c r="J936" i="17" a="1"/>
  <c r="O936" i="17" s="1" a="1"/>
  <c r="J937" i="17" a="1"/>
  <c r="O937" i="17" s="1" a="1"/>
  <c r="J938" i="17" a="1"/>
  <c r="O938" i="17" s="1" a="1"/>
  <c r="J939" i="17" a="1"/>
  <c r="O939" i="17" s="1" a="1"/>
  <c r="J940" i="17" a="1"/>
  <c r="O940" i="17" s="1" a="1"/>
  <c r="J941" i="17" a="1"/>
  <c r="O941" i="17" s="1" a="1"/>
  <c r="J942" i="17" a="1"/>
  <c r="O942" i="17" s="1" a="1"/>
  <c r="J943" i="17" a="1"/>
  <c r="O943" i="17" s="1" a="1"/>
  <c r="J944" i="17" a="1"/>
  <c r="O944" i="17" s="1" a="1"/>
  <c r="J945" i="17" a="1"/>
  <c r="O945" i="17" s="1" a="1"/>
  <c r="J946" i="17" a="1"/>
  <c r="O946" i="17" s="1" a="1"/>
  <c r="J947" i="17" a="1"/>
  <c r="O947" i="17" s="1" a="1"/>
  <c r="J948" i="17" a="1"/>
  <c r="O948" i="17" s="1" a="1"/>
  <c r="J949" i="17" a="1"/>
  <c r="O949" i="17" s="1" a="1"/>
  <c r="J950" i="17" a="1"/>
  <c r="O950" i="17" s="1" a="1"/>
  <c r="J951" i="17" a="1"/>
  <c r="O951" i="17" s="1" a="1"/>
  <c r="J952" i="17" a="1"/>
  <c r="O952" i="17" s="1" a="1"/>
  <c r="J953" i="17" a="1"/>
  <c r="O953" i="17" s="1" a="1"/>
  <c r="J954" i="17" a="1"/>
  <c r="O954" i="17" s="1" a="1"/>
  <c r="J955" i="17" a="1"/>
  <c r="O955" i="17" s="1" a="1"/>
  <c r="J956" i="17" a="1"/>
  <c r="O956" i="17" s="1" a="1"/>
  <c r="J957" i="17" a="1"/>
  <c r="O957" i="17" s="1" a="1"/>
  <c r="J958" i="17" a="1"/>
  <c r="O958" i="17" s="1" a="1"/>
  <c r="J959" i="17" a="1"/>
  <c r="O959" i="17" s="1" a="1"/>
  <c r="J960" i="17" a="1"/>
  <c r="O960" i="17" s="1" a="1"/>
  <c r="J961" i="17" a="1"/>
  <c r="O961" i="17" s="1" a="1"/>
  <c r="J962" i="17" a="1"/>
  <c r="O962" i="17" s="1" a="1"/>
  <c r="J963" i="17" a="1"/>
  <c r="O963" i="17" s="1" a="1"/>
  <c r="J964" i="17" a="1"/>
  <c r="O964" i="17" s="1" a="1"/>
  <c r="J965" i="17" a="1"/>
  <c r="O965" i="17" s="1" a="1"/>
  <c r="J966" i="17" a="1"/>
  <c r="O966" i="17" s="1" a="1"/>
  <c r="J967" i="17" a="1"/>
  <c r="O967" i="17" s="1" a="1"/>
  <c r="J968" i="17" a="1"/>
  <c r="O968" i="17" s="1" a="1"/>
  <c r="J969" i="17" a="1"/>
  <c r="O969" i="17" s="1" a="1"/>
  <c r="J970" i="17" a="1"/>
  <c r="O970" i="17" s="1" a="1"/>
  <c r="J971" i="17" a="1"/>
  <c r="O971" i="17" s="1" a="1"/>
  <c r="J972" i="17" a="1"/>
  <c r="O972" i="17" s="1" a="1"/>
  <c r="J973" i="17" a="1"/>
  <c r="O973" i="17" s="1" a="1"/>
  <c r="J974" i="17" a="1"/>
  <c r="O974" i="17" s="1" a="1"/>
  <c r="J975" i="17" a="1"/>
  <c r="O975" i="17" s="1" a="1"/>
  <c r="J976" i="17" a="1"/>
  <c r="O976" i="17" s="1" a="1"/>
  <c r="J977" i="17" a="1"/>
  <c r="O977" i="17" s="1" a="1"/>
  <c r="J978" i="17" a="1"/>
  <c r="O978" i="17" s="1" a="1"/>
  <c r="J979" i="17" a="1"/>
  <c r="O979" i="17" s="1" a="1"/>
  <c r="J980" i="17" a="1"/>
  <c r="O980" i="17" s="1" a="1"/>
  <c r="J981" i="17" a="1"/>
  <c r="O981" i="17" s="1" a="1"/>
  <c r="J982" i="17" a="1"/>
  <c r="O982" i="17" s="1" a="1"/>
  <c r="J983" i="17" a="1"/>
  <c r="O983" i="17" s="1" a="1"/>
  <c r="J984" i="17" a="1"/>
  <c r="O984" i="17" s="1" a="1"/>
  <c r="J985" i="17" a="1"/>
  <c r="O985" i="17" s="1" a="1"/>
  <c r="J986" i="17" a="1"/>
  <c r="O986" i="17" s="1" a="1"/>
  <c r="J987" i="17" a="1"/>
  <c r="O987" i="17" s="1" a="1"/>
  <c r="J988" i="17" a="1"/>
  <c r="O988" i="17" s="1" a="1"/>
  <c r="J989" i="17" a="1"/>
  <c r="O989" i="17" s="1" a="1"/>
  <c r="J990" i="17" a="1"/>
  <c r="O990" i="17" s="1" a="1"/>
  <c r="J991" i="17" a="1"/>
  <c r="O991" i="17" s="1" a="1"/>
  <c r="J992" i="17" a="1"/>
  <c r="O992" i="17" s="1" a="1"/>
  <c r="J993" i="17" a="1"/>
  <c r="O993" i="17" s="1" a="1"/>
  <c r="J994" i="17" a="1"/>
  <c r="O994" i="17" s="1" a="1"/>
  <c r="J995" i="17" a="1"/>
  <c r="O995" i="17" s="1" a="1"/>
  <c r="J996" i="17" a="1"/>
  <c r="O996" i="17" s="1" a="1"/>
  <c r="J997" i="17" a="1"/>
  <c r="O997" i="17" s="1" a="1"/>
  <c r="J998" i="17" a="1"/>
  <c r="O998" i="17" s="1" a="1"/>
  <c r="J999" i="17" a="1"/>
  <c r="O999" i="17" s="1" a="1"/>
  <c r="J1000" i="17" a="1"/>
  <c r="O1000" i="17" s="1" a="1"/>
  <c r="J1001" i="17" a="1"/>
  <c r="O1001" i="17" s="1" a="1"/>
  <c r="J2" i="17" a="1"/>
  <c r="O2" i="17" s="1" a="1"/>
  <c r="I3" i="17" a="1"/>
  <c r="N3" i="17" s="1"/>
  <c r="I4" i="17" a="1"/>
  <c r="N4" i="17" s="1"/>
  <c r="I5" i="17" a="1"/>
  <c r="N5" i="17" s="1"/>
  <c r="I6" i="17" a="1"/>
  <c r="N6" i="17" s="1"/>
  <c r="I7" i="17" a="1"/>
  <c r="N7" i="17" s="1"/>
  <c r="I8" i="17" a="1"/>
  <c r="N8" i="17" s="1"/>
  <c r="I9" i="17" a="1"/>
  <c r="N9" i="17" s="1"/>
  <c r="I10" i="17" a="1"/>
  <c r="N10" i="17" s="1"/>
  <c r="I11" i="17" a="1"/>
  <c r="N11" i="17" s="1"/>
  <c r="I12" i="17" a="1"/>
  <c r="N12" i="17" s="1"/>
  <c r="I13" i="17" a="1"/>
  <c r="N13" i="17" s="1"/>
  <c r="I14" i="17" a="1"/>
  <c r="N14" i="17" s="1"/>
  <c r="I15" i="17" a="1"/>
  <c r="N15" i="17" s="1"/>
  <c r="I16" i="17" a="1"/>
  <c r="N16" i="17" s="1"/>
  <c r="I17" i="17" a="1"/>
  <c r="N17" i="17" s="1"/>
  <c r="I18" i="17" a="1"/>
  <c r="N18" i="17" s="1"/>
  <c r="I19" i="17" a="1"/>
  <c r="N19" i="17" s="1"/>
  <c r="I20" i="17" a="1"/>
  <c r="N20" i="17" s="1"/>
  <c r="I21" i="17" a="1"/>
  <c r="N21" i="17" s="1"/>
  <c r="I22" i="17" a="1"/>
  <c r="N22" i="17" s="1"/>
  <c r="I23" i="17" a="1"/>
  <c r="N23" i="17" s="1"/>
  <c r="I24" i="17" a="1"/>
  <c r="N24" i="17" s="1"/>
  <c r="I25" i="17" a="1"/>
  <c r="N25" i="17" s="1"/>
  <c r="I26" i="17" a="1"/>
  <c r="N26" i="17" s="1"/>
  <c r="I27" i="17" a="1"/>
  <c r="N27" i="17" s="1"/>
  <c r="I28" i="17" a="1"/>
  <c r="N28" i="17" s="1"/>
  <c r="I29" i="17" a="1"/>
  <c r="N29" i="17" s="1"/>
  <c r="I30" i="17" a="1"/>
  <c r="N30" i="17" s="1"/>
  <c r="I31" i="17" a="1"/>
  <c r="N31" i="17" s="1"/>
  <c r="I32" i="17" a="1"/>
  <c r="N32" i="17" s="1"/>
  <c r="I33" i="17" a="1"/>
  <c r="N33" i="17" s="1"/>
  <c r="I34" i="17" a="1"/>
  <c r="N34" i="17" s="1"/>
  <c r="I35" i="17" a="1"/>
  <c r="N35" i="17" s="1"/>
  <c r="I36" i="17" a="1"/>
  <c r="N36" i="17" s="1"/>
  <c r="I37" i="17" a="1"/>
  <c r="N37" i="17" s="1"/>
  <c r="I38" i="17" a="1"/>
  <c r="N38" i="17" s="1"/>
  <c r="I39" i="17" a="1"/>
  <c r="N39" i="17" s="1"/>
  <c r="I40" i="17" a="1"/>
  <c r="N40" i="17" s="1"/>
  <c r="I41" i="17" a="1"/>
  <c r="N41" i="17" s="1"/>
  <c r="I42" i="17" a="1"/>
  <c r="N42" i="17" s="1"/>
  <c r="I43" i="17" a="1"/>
  <c r="N43" i="17" s="1"/>
  <c r="I44" i="17" a="1"/>
  <c r="N44" i="17" s="1"/>
  <c r="I45" i="17" a="1"/>
  <c r="N45" i="17" s="1"/>
  <c r="I46" i="17" a="1"/>
  <c r="N46" i="17" s="1"/>
  <c r="I47" i="17" a="1"/>
  <c r="N47" i="17" s="1"/>
  <c r="I48" i="17" a="1"/>
  <c r="N48" i="17" s="1"/>
  <c r="I49" i="17" a="1"/>
  <c r="N49" i="17" s="1"/>
  <c r="I50" i="17" a="1"/>
  <c r="N50" i="17" s="1"/>
  <c r="I51" i="17" a="1"/>
  <c r="N51" i="17" s="1"/>
  <c r="I52" i="17" a="1"/>
  <c r="N52" i="17" s="1"/>
  <c r="I53" i="17" a="1"/>
  <c r="N53" i="17" s="1"/>
  <c r="I54" i="17" a="1"/>
  <c r="N54" i="17" s="1"/>
  <c r="I55" i="17" a="1"/>
  <c r="N55" i="17" s="1"/>
  <c r="I56" i="17" a="1"/>
  <c r="N56" i="17" s="1"/>
  <c r="I57" i="17" a="1"/>
  <c r="N57" i="17" s="1"/>
  <c r="I58" i="17" a="1"/>
  <c r="N58" i="17" s="1"/>
  <c r="I59" i="17" a="1"/>
  <c r="N59" i="17" s="1"/>
  <c r="I60" i="17" a="1"/>
  <c r="N60" i="17" s="1"/>
  <c r="I61" i="17" a="1"/>
  <c r="N61" i="17" s="1"/>
  <c r="I62" i="17" a="1"/>
  <c r="N62" i="17" s="1"/>
  <c r="I63" i="17" a="1"/>
  <c r="N63" i="17" s="1"/>
  <c r="I64" i="17" a="1"/>
  <c r="N64" i="17" s="1"/>
  <c r="I65" i="17" a="1"/>
  <c r="N65" i="17" s="1"/>
  <c r="I66" i="17" a="1"/>
  <c r="N66" i="17" s="1"/>
  <c r="I67" i="17" a="1"/>
  <c r="N67" i="17" s="1"/>
  <c r="I68" i="17" a="1"/>
  <c r="N68" i="17" s="1"/>
  <c r="I69" i="17" a="1"/>
  <c r="N69" i="17" s="1"/>
  <c r="I70" i="17" a="1"/>
  <c r="N70" i="17" s="1"/>
  <c r="I71" i="17" a="1"/>
  <c r="N71" i="17" s="1"/>
  <c r="I72" i="17" a="1"/>
  <c r="N72" i="17" s="1"/>
  <c r="I73" i="17" a="1"/>
  <c r="N73" i="17" s="1"/>
  <c r="I74" i="17" a="1"/>
  <c r="N74" i="17" s="1"/>
  <c r="I75" i="17" a="1"/>
  <c r="N75" i="17" s="1"/>
  <c r="I76" i="17" a="1"/>
  <c r="N76" i="17" s="1"/>
  <c r="I77" i="17" a="1"/>
  <c r="N77" i="17" s="1"/>
  <c r="I78" i="17" a="1"/>
  <c r="N78" i="17" s="1"/>
  <c r="I79" i="17" a="1"/>
  <c r="N79" i="17" s="1"/>
  <c r="I80" i="17" a="1"/>
  <c r="N80" i="17" s="1"/>
  <c r="I81" i="17" a="1"/>
  <c r="N81" i="17" s="1"/>
  <c r="I82" i="17" a="1"/>
  <c r="N82" i="17" s="1"/>
  <c r="I83" i="17" a="1"/>
  <c r="N83" i="17" s="1"/>
  <c r="I84" i="17" a="1"/>
  <c r="N84" i="17" s="1"/>
  <c r="I85" i="17" a="1"/>
  <c r="N85" i="17" s="1"/>
  <c r="I86" i="17" a="1"/>
  <c r="N86" i="17" s="1"/>
  <c r="I87" i="17" a="1"/>
  <c r="N87" i="17" s="1"/>
  <c r="I88" i="17" a="1"/>
  <c r="N88" i="17" s="1"/>
  <c r="I89" i="17" a="1"/>
  <c r="N89" i="17" s="1"/>
  <c r="I90" i="17" a="1"/>
  <c r="N90" i="17" s="1"/>
  <c r="I91" i="17" a="1"/>
  <c r="N91" i="17" s="1"/>
  <c r="I92" i="17" a="1"/>
  <c r="N92" i="17" s="1"/>
  <c r="I93" i="17" a="1"/>
  <c r="N93" i="17" s="1"/>
  <c r="I94" i="17" a="1"/>
  <c r="N94" i="17" s="1"/>
  <c r="I95" i="17" a="1"/>
  <c r="N95" i="17" s="1"/>
  <c r="I96" i="17" a="1"/>
  <c r="N96" i="17" s="1"/>
  <c r="I97" i="17" a="1"/>
  <c r="N97" i="17" s="1"/>
  <c r="I98" i="17" a="1"/>
  <c r="N98" i="17" s="1"/>
  <c r="I99" i="17" a="1"/>
  <c r="N99" i="17" s="1"/>
  <c r="I100" i="17" a="1"/>
  <c r="N100" i="17" s="1"/>
  <c r="I101" i="17" a="1"/>
  <c r="N101" i="17" s="1"/>
  <c r="I102" i="17" a="1"/>
  <c r="N102" i="17" s="1"/>
  <c r="I103" i="17" a="1"/>
  <c r="N103" i="17" s="1"/>
  <c r="I104" i="17" a="1"/>
  <c r="N104" i="17" s="1"/>
  <c r="I105" i="17" a="1"/>
  <c r="N105" i="17" s="1"/>
  <c r="I106" i="17" a="1"/>
  <c r="N106" i="17" s="1"/>
  <c r="I107" i="17" a="1"/>
  <c r="N107" i="17" s="1"/>
  <c r="I108" i="17" a="1"/>
  <c r="N108" i="17" s="1"/>
  <c r="I109" i="17" a="1"/>
  <c r="N109" i="17" s="1"/>
  <c r="I110" i="17" a="1"/>
  <c r="N110" i="17" s="1"/>
  <c r="I111" i="17" a="1"/>
  <c r="N111" i="17" s="1"/>
  <c r="I112" i="17" a="1"/>
  <c r="N112" i="17" s="1"/>
  <c r="I113" i="17" a="1"/>
  <c r="N113" i="17" s="1"/>
  <c r="I114" i="17" a="1"/>
  <c r="N114" i="17" s="1"/>
  <c r="I115" i="17" a="1"/>
  <c r="N115" i="17" s="1"/>
  <c r="I116" i="17" a="1"/>
  <c r="N116" i="17" s="1"/>
  <c r="I117" i="17" a="1"/>
  <c r="N117" i="17" s="1"/>
  <c r="I118" i="17" a="1"/>
  <c r="N118" i="17" s="1"/>
  <c r="I119" i="17" a="1"/>
  <c r="N119" i="17" s="1"/>
  <c r="I120" i="17" a="1"/>
  <c r="N120" i="17" s="1"/>
  <c r="I121" i="17" a="1"/>
  <c r="N121" i="17" s="1"/>
  <c r="I122" i="17" a="1"/>
  <c r="N122" i="17" s="1"/>
  <c r="I123" i="17" a="1"/>
  <c r="N123" i="17" s="1"/>
  <c r="I124" i="17" a="1"/>
  <c r="N124" i="17" s="1"/>
  <c r="I125" i="17" a="1"/>
  <c r="N125" i="17" s="1"/>
  <c r="I126" i="17" a="1"/>
  <c r="N126" i="17" s="1"/>
  <c r="I127" i="17" a="1"/>
  <c r="N127" i="17" s="1"/>
  <c r="I128" i="17" a="1"/>
  <c r="N128" i="17" s="1"/>
  <c r="I129" i="17" a="1"/>
  <c r="N129" i="17" s="1"/>
  <c r="I130" i="17" a="1"/>
  <c r="N130" i="17" s="1"/>
  <c r="I131" i="17" a="1"/>
  <c r="N131" i="17" s="1"/>
  <c r="I132" i="17" a="1"/>
  <c r="N132" i="17" s="1"/>
  <c r="I133" i="17" a="1"/>
  <c r="N133" i="17" s="1"/>
  <c r="I134" i="17" a="1"/>
  <c r="N134" i="17" s="1"/>
  <c r="I135" i="17" a="1"/>
  <c r="N135" i="17" s="1"/>
  <c r="I136" i="17" a="1"/>
  <c r="N136" i="17" s="1"/>
  <c r="I137" i="17" a="1"/>
  <c r="N137" i="17" s="1"/>
  <c r="I138" i="17" a="1"/>
  <c r="N138" i="17" s="1"/>
  <c r="I139" i="17" a="1"/>
  <c r="N139" i="17" s="1"/>
  <c r="I140" i="17" a="1"/>
  <c r="N140" i="17" s="1"/>
  <c r="I141" i="17" a="1"/>
  <c r="N141" i="17" s="1"/>
  <c r="I142" i="17" a="1"/>
  <c r="N142" i="17" s="1"/>
  <c r="I143" i="17" a="1"/>
  <c r="N143" i="17" s="1"/>
  <c r="I144" i="17" a="1"/>
  <c r="N144" i="17" s="1"/>
  <c r="I145" i="17" a="1"/>
  <c r="N145" i="17" s="1"/>
  <c r="I146" i="17" a="1"/>
  <c r="N146" i="17" s="1"/>
  <c r="I147" i="17" a="1"/>
  <c r="N147" i="17" s="1"/>
  <c r="I148" i="17" a="1"/>
  <c r="N148" i="17" s="1"/>
  <c r="I149" i="17" a="1"/>
  <c r="N149" i="17" s="1"/>
  <c r="I150" i="17" a="1"/>
  <c r="N150" i="17" s="1"/>
  <c r="I151" i="17" a="1"/>
  <c r="N151" i="17" s="1"/>
  <c r="I152" i="17" a="1"/>
  <c r="N152" i="17" s="1"/>
  <c r="I153" i="17" a="1"/>
  <c r="N153" i="17" s="1"/>
  <c r="I154" i="17" a="1"/>
  <c r="N154" i="17" s="1"/>
  <c r="I155" i="17" a="1"/>
  <c r="N155" i="17" s="1"/>
  <c r="I156" i="17" a="1"/>
  <c r="N156" i="17" s="1"/>
  <c r="I157" i="17" a="1"/>
  <c r="N157" i="17" s="1"/>
  <c r="I158" i="17" a="1"/>
  <c r="N158" i="17" s="1"/>
  <c r="I159" i="17" a="1"/>
  <c r="N159" i="17" s="1"/>
  <c r="I160" i="17" a="1"/>
  <c r="N160" i="17" s="1"/>
  <c r="I161" i="17" a="1"/>
  <c r="N161" i="17" s="1"/>
  <c r="I162" i="17" a="1"/>
  <c r="N162" i="17" s="1"/>
  <c r="I163" i="17" a="1"/>
  <c r="N163" i="17" s="1"/>
  <c r="I164" i="17" a="1"/>
  <c r="N164" i="17" s="1"/>
  <c r="I165" i="17" a="1"/>
  <c r="N165" i="17" s="1"/>
  <c r="I166" i="17" a="1"/>
  <c r="N166" i="17" s="1"/>
  <c r="I167" i="17" a="1"/>
  <c r="N167" i="17" s="1"/>
  <c r="I168" i="17" a="1"/>
  <c r="N168" i="17" s="1"/>
  <c r="I169" i="17" a="1"/>
  <c r="N169" i="17" s="1"/>
  <c r="I170" i="17" a="1"/>
  <c r="N170" i="17" s="1"/>
  <c r="I171" i="17" a="1"/>
  <c r="N171" i="17" s="1"/>
  <c r="I172" i="17" a="1"/>
  <c r="N172" i="17" s="1"/>
  <c r="I173" i="17" a="1"/>
  <c r="N173" i="17" s="1"/>
  <c r="I174" i="17" a="1"/>
  <c r="N174" i="17" s="1"/>
  <c r="I175" i="17" a="1"/>
  <c r="N175" i="17" s="1"/>
  <c r="I176" i="17" a="1"/>
  <c r="N176" i="17" s="1"/>
  <c r="I177" i="17" a="1"/>
  <c r="N177" i="17" s="1"/>
  <c r="I178" i="17" a="1"/>
  <c r="N178" i="17" s="1"/>
  <c r="I179" i="17" a="1"/>
  <c r="N179" i="17" s="1"/>
  <c r="I180" i="17" a="1"/>
  <c r="N180" i="17" s="1"/>
  <c r="I181" i="17" a="1"/>
  <c r="N181" i="17" s="1"/>
  <c r="I182" i="17" a="1"/>
  <c r="N182" i="17" s="1"/>
  <c r="I183" i="17" a="1"/>
  <c r="N183" i="17" s="1"/>
  <c r="I184" i="17" a="1"/>
  <c r="N184" i="17" s="1"/>
  <c r="I185" i="17" a="1"/>
  <c r="N185" i="17" s="1"/>
  <c r="I186" i="17" a="1"/>
  <c r="N186" i="17" s="1"/>
  <c r="I187" i="17" a="1"/>
  <c r="N187" i="17" s="1"/>
  <c r="I188" i="17" a="1"/>
  <c r="N188" i="17" s="1"/>
  <c r="I189" i="17" a="1"/>
  <c r="N189" i="17" s="1"/>
  <c r="I190" i="17" a="1"/>
  <c r="N190" i="17" s="1"/>
  <c r="I191" i="17" a="1"/>
  <c r="N191" i="17" s="1"/>
  <c r="I192" i="17" a="1"/>
  <c r="N192" i="17" s="1"/>
  <c r="I193" i="17" a="1"/>
  <c r="N193" i="17" s="1"/>
  <c r="I194" i="17" a="1"/>
  <c r="N194" i="17" s="1"/>
  <c r="I195" i="17" a="1"/>
  <c r="N195" i="17" s="1"/>
  <c r="I196" i="17" a="1"/>
  <c r="N196" i="17" s="1"/>
  <c r="I197" i="17" a="1"/>
  <c r="N197" i="17" s="1"/>
  <c r="I198" i="17" a="1"/>
  <c r="N198" i="17" s="1"/>
  <c r="I199" i="17" a="1"/>
  <c r="N199" i="17" s="1"/>
  <c r="I200" i="17" a="1"/>
  <c r="N200" i="17" s="1"/>
  <c r="I201" i="17" a="1"/>
  <c r="N201" i="17" s="1"/>
  <c r="I202" i="17" a="1"/>
  <c r="N202" i="17" s="1"/>
  <c r="I203" i="17" a="1"/>
  <c r="N203" i="17" s="1"/>
  <c r="I204" i="17" a="1"/>
  <c r="N204" i="17" s="1"/>
  <c r="I205" i="17" a="1"/>
  <c r="N205" i="17" s="1"/>
  <c r="I206" i="17" a="1"/>
  <c r="N206" i="17" s="1"/>
  <c r="I207" i="17" a="1"/>
  <c r="N207" i="17" s="1"/>
  <c r="I208" i="17" a="1"/>
  <c r="N208" i="17" s="1"/>
  <c r="I209" i="17" a="1"/>
  <c r="N209" i="17" s="1"/>
  <c r="I210" i="17" a="1"/>
  <c r="N210" i="17" s="1"/>
  <c r="I211" i="17" a="1"/>
  <c r="N211" i="17" s="1"/>
  <c r="I212" i="17" a="1"/>
  <c r="N212" i="17" s="1"/>
  <c r="I213" i="17" a="1"/>
  <c r="N213" i="17" s="1"/>
  <c r="I214" i="17" a="1"/>
  <c r="N214" i="17" s="1"/>
  <c r="I215" i="17" a="1"/>
  <c r="N215" i="17" s="1"/>
  <c r="I216" i="17" a="1"/>
  <c r="N216" i="17" s="1"/>
  <c r="I217" i="17" a="1"/>
  <c r="N217" i="17" s="1"/>
  <c r="I218" i="17" a="1"/>
  <c r="N218" i="17" s="1"/>
  <c r="I219" i="17" a="1"/>
  <c r="N219" i="17" s="1"/>
  <c r="I220" i="17" a="1"/>
  <c r="N220" i="17" s="1"/>
  <c r="I221" i="17" a="1"/>
  <c r="N221" i="17" s="1"/>
  <c r="I222" i="17" a="1"/>
  <c r="N222" i="17" s="1"/>
  <c r="I223" i="17" a="1"/>
  <c r="N223" i="17" s="1"/>
  <c r="I224" i="17" a="1"/>
  <c r="N224" i="17" s="1"/>
  <c r="I225" i="17" a="1"/>
  <c r="N225" i="17" s="1"/>
  <c r="I226" i="17" a="1"/>
  <c r="N226" i="17" s="1"/>
  <c r="I227" i="17" a="1"/>
  <c r="N227" i="17" s="1"/>
  <c r="I228" i="17" a="1"/>
  <c r="N228" i="17" s="1"/>
  <c r="I229" i="17" a="1"/>
  <c r="N229" i="17" s="1"/>
  <c r="I230" i="17" a="1"/>
  <c r="N230" i="17" s="1"/>
  <c r="I231" i="17" a="1"/>
  <c r="N231" i="17" s="1"/>
  <c r="I232" i="17" a="1"/>
  <c r="N232" i="17" s="1"/>
  <c r="I233" i="17" a="1"/>
  <c r="N233" i="17" s="1"/>
  <c r="I234" i="17" a="1"/>
  <c r="N234" i="17" s="1"/>
  <c r="I235" i="17" a="1"/>
  <c r="N235" i="17" s="1"/>
  <c r="I236" i="17" a="1"/>
  <c r="N236" i="17" s="1"/>
  <c r="I237" i="17" a="1"/>
  <c r="N237" i="17" s="1"/>
  <c r="I238" i="17" a="1"/>
  <c r="N238" i="17" s="1"/>
  <c r="I239" i="17" a="1"/>
  <c r="N239" i="17" s="1"/>
  <c r="I240" i="17" a="1"/>
  <c r="N240" i="17" s="1"/>
  <c r="I241" i="17" a="1"/>
  <c r="N241" i="17" s="1"/>
  <c r="I242" i="17" a="1"/>
  <c r="N242" i="17" s="1"/>
  <c r="I243" i="17" a="1"/>
  <c r="N243" i="17" s="1"/>
  <c r="I244" i="17" a="1"/>
  <c r="N244" i="17" s="1"/>
  <c r="I245" i="17" a="1"/>
  <c r="N245" i="17" s="1"/>
  <c r="I246" i="17" a="1"/>
  <c r="N246" i="17" s="1"/>
  <c r="I247" i="17" a="1"/>
  <c r="N247" i="17" s="1"/>
  <c r="I248" i="17" a="1"/>
  <c r="N248" i="17" s="1"/>
  <c r="I249" i="17" a="1"/>
  <c r="N249" i="17" s="1"/>
  <c r="I250" i="17" a="1"/>
  <c r="N250" i="17" s="1"/>
  <c r="I251" i="17" a="1"/>
  <c r="N251" i="17" s="1"/>
  <c r="I252" i="17" a="1"/>
  <c r="N252" i="17" s="1"/>
  <c r="I253" i="17" a="1"/>
  <c r="I254" i="17" a="1"/>
  <c r="I255" i="17" a="1"/>
  <c r="I256" i="17" a="1"/>
  <c r="I257" i="17" a="1"/>
  <c r="I258" i="17" a="1"/>
  <c r="N258" i="17" s="1"/>
  <c r="I259" i="17" a="1"/>
  <c r="N259" i="17" s="1"/>
  <c r="I260" i="17" a="1"/>
  <c r="N260" i="17" s="1"/>
  <c r="I261" i="17" a="1"/>
  <c r="N261" i="17" s="1"/>
  <c r="I262" i="17" a="1"/>
  <c r="N262" i="17" s="1"/>
  <c r="I263" i="17" a="1"/>
  <c r="N263" i="17" s="1"/>
  <c r="I264" i="17" a="1"/>
  <c r="N264" i="17" s="1"/>
  <c r="I265" i="17" a="1"/>
  <c r="N265" i="17" s="1"/>
  <c r="I266" i="17" a="1"/>
  <c r="N266" i="17" s="1"/>
  <c r="I267" i="17" a="1"/>
  <c r="N267" i="17" s="1"/>
  <c r="I268" i="17" a="1"/>
  <c r="N268" i="17" s="1"/>
  <c r="I269" i="17" a="1"/>
  <c r="N269" i="17" s="1"/>
  <c r="I270" i="17" a="1"/>
  <c r="N270" i="17" s="1"/>
  <c r="I271" i="17" a="1"/>
  <c r="N271" i="17" s="1"/>
  <c r="I272" i="17" a="1"/>
  <c r="N272" i="17" s="1"/>
  <c r="I273" i="17" a="1"/>
  <c r="N273" i="17" s="1"/>
  <c r="I274" i="17" a="1"/>
  <c r="N274" i="17" s="1"/>
  <c r="I275" i="17" a="1"/>
  <c r="N275" i="17" s="1"/>
  <c r="I276" i="17" a="1"/>
  <c r="N276" i="17" s="1"/>
  <c r="I277" i="17" a="1"/>
  <c r="N277" i="17" s="1"/>
  <c r="I278" i="17" a="1"/>
  <c r="N278" i="17" s="1"/>
  <c r="I279" i="17" a="1"/>
  <c r="N279" i="17" s="1"/>
  <c r="I280" i="17" a="1"/>
  <c r="N280" i="17" s="1"/>
  <c r="I281" i="17" a="1"/>
  <c r="N281" i="17" s="1"/>
  <c r="I282" i="17" a="1"/>
  <c r="N282" i="17" s="1"/>
  <c r="I283" i="17" a="1"/>
  <c r="N283" i="17" s="1"/>
  <c r="I284" i="17" a="1"/>
  <c r="N284" i="17" s="1"/>
  <c r="I285" i="17" a="1"/>
  <c r="N285" i="17" s="1"/>
  <c r="I286" i="17" a="1"/>
  <c r="N286" i="17" s="1"/>
  <c r="I287" i="17" a="1"/>
  <c r="N287" i="17" s="1"/>
  <c r="I288" i="17" a="1"/>
  <c r="N288" i="17" s="1"/>
  <c r="I289" i="17" a="1"/>
  <c r="N289" i="17" s="1"/>
  <c r="I290" i="17" a="1"/>
  <c r="N290" i="17" s="1"/>
  <c r="I291" i="17" a="1"/>
  <c r="N291" i="17" s="1"/>
  <c r="I292" i="17" a="1"/>
  <c r="N292" i="17" s="1"/>
  <c r="I293" i="17" a="1"/>
  <c r="N293" i="17" s="1"/>
  <c r="I294" i="17" a="1"/>
  <c r="N294" i="17" s="1"/>
  <c r="I295" i="17" a="1"/>
  <c r="N295" i="17" s="1"/>
  <c r="I296" i="17" a="1"/>
  <c r="N296" i="17" s="1"/>
  <c r="I297" i="17" a="1"/>
  <c r="N297" i="17" s="1"/>
  <c r="I298" i="17" a="1"/>
  <c r="N298" i="17" s="1"/>
  <c r="I299" i="17" a="1"/>
  <c r="N299" i="17" s="1"/>
  <c r="I300" i="17" a="1"/>
  <c r="N300" i="17" s="1"/>
  <c r="I301" i="17" a="1"/>
  <c r="N301" i="17" s="1"/>
  <c r="I302" i="17" a="1"/>
  <c r="N302" i="17" s="1"/>
  <c r="I303" i="17" a="1"/>
  <c r="N303" i="17" s="1"/>
  <c r="I304" i="17" a="1"/>
  <c r="N304" i="17" s="1"/>
  <c r="I305" i="17" a="1"/>
  <c r="N305" i="17" s="1"/>
  <c r="I306" i="17" a="1"/>
  <c r="N306" i="17" s="1"/>
  <c r="I307" i="17" a="1"/>
  <c r="N307" i="17" s="1"/>
  <c r="I308" i="17" a="1"/>
  <c r="N308" i="17" s="1"/>
  <c r="I309" i="17" a="1"/>
  <c r="N309" i="17" s="1"/>
  <c r="I310" i="17" a="1"/>
  <c r="N310" i="17" s="1"/>
  <c r="I311" i="17" a="1"/>
  <c r="N311" i="17" s="1"/>
  <c r="I312" i="17" a="1"/>
  <c r="N312" i="17" s="1"/>
  <c r="I313" i="17" a="1"/>
  <c r="N313" i="17" s="1"/>
  <c r="I314" i="17" a="1"/>
  <c r="N314" i="17" s="1"/>
  <c r="I315" i="17" a="1"/>
  <c r="N315" i="17" s="1"/>
  <c r="I316" i="17" a="1"/>
  <c r="N316" i="17" s="1"/>
  <c r="I317" i="17" a="1"/>
  <c r="N317" i="17" s="1"/>
  <c r="I318" i="17" a="1"/>
  <c r="N318" i="17" s="1"/>
  <c r="I319" i="17" a="1"/>
  <c r="N319" i="17" s="1"/>
  <c r="I320" i="17" a="1"/>
  <c r="N320" i="17" s="1"/>
  <c r="I321" i="17" a="1"/>
  <c r="N321" i="17" s="1"/>
  <c r="I322" i="17" a="1"/>
  <c r="N322" i="17" s="1"/>
  <c r="I323" i="17" a="1"/>
  <c r="N323" i="17" s="1"/>
  <c r="I324" i="17" a="1"/>
  <c r="N324" i="17" s="1"/>
  <c r="I325" i="17" a="1"/>
  <c r="N325" i="17" s="1"/>
  <c r="I326" i="17" a="1"/>
  <c r="N326" i="17" s="1"/>
  <c r="I327" i="17" a="1"/>
  <c r="N327" i="17" s="1"/>
  <c r="I328" i="17" a="1"/>
  <c r="N328" i="17" s="1"/>
  <c r="I329" i="17" a="1"/>
  <c r="N329" i="17" s="1"/>
  <c r="I330" i="17" a="1"/>
  <c r="N330" i="17" s="1"/>
  <c r="I331" i="17" a="1"/>
  <c r="N331" i="17" s="1"/>
  <c r="I332" i="17" a="1"/>
  <c r="N332" i="17" s="1"/>
  <c r="I333" i="17" a="1"/>
  <c r="N333" i="17" s="1"/>
  <c r="I334" i="17" a="1"/>
  <c r="N334" i="17" s="1"/>
  <c r="I335" i="17" a="1"/>
  <c r="N335" i="17" s="1"/>
  <c r="I336" i="17" a="1"/>
  <c r="N336" i="17" s="1"/>
  <c r="I337" i="17" a="1"/>
  <c r="N337" i="17" s="1"/>
  <c r="I338" i="17" a="1"/>
  <c r="N338" i="17" s="1"/>
  <c r="I339" i="17" a="1"/>
  <c r="N339" i="17" s="1"/>
  <c r="I340" i="17" a="1"/>
  <c r="N340" i="17" s="1"/>
  <c r="I341" i="17" a="1"/>
  <c r="N341" i="17" s="1"/>
  <c r="I342" i="17" a="1"/>
  <c r="N342" i="17" s="1"/>
  <c r="I343" i="17" a="1"/>
  <c r="N343" i="17" s="1"/>
  <c r="I344" i="17" a="1"/>
  <c r="N344" i="17" s="1"/>
  <c r="I345" i="17" a="1"/>
  <c r="N345" i="17" s="1"/>
  <c r="I346" i="17" a="1"/>
  <c r="N346" i="17" s="1"/>
  <c r="I347" i="17" a="1"/>
  <c r="N347" i="17" s="1"/>
  <c r="I348" i="17" a="1"/>
  <c r="N348" i="17" s="1"/>
  <c r="I349" i="17" a="1"/>
  <c r="N349" i="17" s="1"/>
  <c r="I350" i="17" a="1"/>
  <c r="N350" i="17" s="1"/>
  <c r="I351" i="17" a="1"/>
  <c r="N351" i="17" s="1"/>
  <c r="I352" i="17" a="1"/>
  <c r="N352" i="17" s="1"/>
  <c r="I353" i="17" a="1"/>
  <c r="N353" i="17" s="1"/>
  <c r="I354" i="17" a="1"/>
  <c r="N354" i="17" s="1"/>
  <c r="I355" i="17" a="1"/>
  <c r="N355" i="17" s="1"/>
  <c r="I356" i="17" a="1"/>
  <c r="N356" i="17" s="1"/>
  <c r="I357" i="17" a="1"/>
  <c r="N357" i="17" s="1"/>
  <c r="I358" i="17" a="1"/>
  <c r="N358" i="17" s="1"/>
  <c r="I359" i="17" a="1"/>
  <c r="N359" i="17" s="1"/>
  <c r="I360" i="17" a="1"/>
  <c r="N360" i="17" s="1"/>
  <c r="I361" i="17" a="1"/>
  <c r="N361" i="17" s="1"/>
  <c r="I362" i="17" a="1"/>
  <c r="N362" i="17" s="1"/>
  <c r="I363" i="17" a="1"/>
  <c r="N363" i="17" s="1"/>
  <c r="I364" i="17" a="1"/>
  <c r="N364" i="17" s="1"/>
  <c r="I365" i="17" a="1"/>
  <c r="N365" i="17" s="1"/>
  <c r="I366" i="17" a="1"/>
  <c r="N366" i="17" s="1"/>
  <c r="I367" i="17" a="1"/>
  <c r="N367" i="17" s="1"/>
  <c r="I368" i="17" a="1"/>
  <c r="N368" i="17" s="1"/>
  <c r="I369" i="17" a="1"/>
  <c r="N369" i="17" s="1"/>
  <c r="I370" i="17" a="1"/>
  <c r="N370" i="17" s="1"/>
  <c r="I371" i="17" a="1"/>
  <c r="N371" i="17" s="1"/>
  <c r="I372" i="17" a="1"/>
  <c r="N372" i="17" s="1"/>
  <c r="I373" i="17" a="1"/>
  <c r="N373" i="17" s="1"/>
  <c r="I374" i="17" a="1"/>
  <c r="N374" i="17" s="1"/>
  <c r="I375" i="17" a="1"/>
  <c r="N375" i="17" s="1"/>
  <c r="I376" i="17" a="1"/>
  <c r="N376" i="17" s="1"/>
  <c r="I377" i="17" a="1"/>
  <c r="N377" i="17" s="1"/>
  <c r="I378" i="17" a="1"/>
  <c r="N378" i="17" s="1"/>
  <c r="I379" i="17" a="1"/>
  <c r="N379" i="17" s="1"/>
  <c r="I380" i="17" a="1"/>
  <c r="N380" i="17" s="1"/>
  <c r="I381" i="17" a="1"/>
  <c r="N381" i="17" s="1"/>
  <c r="I382" i="17" a="1"/>
  <c r="N382" i="17" s="1"/>
  <c r="I383" i="17" a="1"/>
  <c r="N383" i="17" s="1"/>
  <c r="I384" i="17" a="1"/>
  <c r="N384" i="17" s="1"/>
  <c r="I385" i="17" a="1"/>
  <c r="N385" i="17" s="1"/>
  <c r="I386" i="17" a="1"/>
  <c r="N386" i="17" s="1"/>
  <c r="I387" i="17" a="1"/>
  <c r="N387" i="17" s="1"/>
  <c r="I388" i="17" a="1"/>
  <c r="N388" i="17" s="1"/>
  <c r="I389" i="17" a="1"/>
  <c r="N389" i="17" s="1"/>
  <c r="I390" i="17" a="1"/>
  <c r="N390" i="17" s="1"/>
  <c r="I391" i="17" a="1"/>
  <c r="N391" i="17" s="1"/>
  <c r="I392" i="17" a="1"/>
  <c r="N392" i="17" s="1"/>
  <c r="I393" i="17" a="1"/>
  <c r="N393" i="17" s="1"/>
  <c r="I394" i="17" a="1"/>
  <c r="N394" i="17" s="1"/>
  <c r="I395" i="17" a="1"/>
  <c r="N395" i="17" s="1"/>
  <c r="I396" i="17" a="1"/>
  <c r="N396" i="17" s="1"/>
  <c r="I397" i="17" a="1"/>
  <c r="N397" i="17" s="1"/>
  <c r="I398" i="17" a="1"/>
  <c r="N398" i="17" s="1"/>
  <c r="I399" i="17" a="1"/>
  <c r="N399" i="17" s="1"/>
  <c r="I400" i="17" a="1"/>
  <c r="N400" i="17" s="1"/>
  <c r="I401" i="17" a="1"/>
  <c r="N401" i="17" s="1"/>
  <c r="I402" i="17" a="1"/>
  <c r="N402" i="17" s="1"/>
  <c r="I403" i="17" a="1"/>
  <c r="N403" i="17" s="1"/>
  <c r="I404" i="17" a="1"/>
  <c r="N404" i="17" s="1"/>
  <c r="I405" i="17" a="1"/>
  <c r="N405" i="17" s="1"/>
  <c r="I406" i="17" a="1"/>
  <c r="N406" i="17" s="1"/>
  <c r="I407" i="17" a="1"/>
  <c r="N407" i="17" s="1"/>
  <c r="I408" i="17" a="1"/>
  <c r="N408" i="17" s="1"/>
  <c r="I409" i="17" a="1"/>
  <c r="N409" i="17" s="1"/>
  <c r="I410" i="17" a="1"/>
  <c r="N410" i="17" s="1"/>
  <c r="I411" i="17" a="1"/>
  <c r="N411" i="17" s="1"/>
  <c r="I412" i="17" a="1"/>
  <c r="N412" i="17" s="1"/>
  <c r="I413" i="17" a="1"/>
  <c r="N413" i="17" s="1"/>
  <c r="I414" i="17" a="1"/>
  <c r="N414" i="17" s="1"/>
  <c r="I415" i="17" a="1"/>
  <c r="N415" i="17" s="1"/>
  <c r="I416" i="17" a="1"/>
  <c r="N416" i="17" s="1"/>
  <c r="I417" i="17" a="1"/>
  <c r="N417" i="17" s="1"/>
  <c r="I418" i="17" a="1"/>
  <c r="N418" i="17" s="1"/>
  <c r="I419" i="17" a="1"/>
  <c r="N419" i="17" s="1"/>
  <c r="I420" i="17" a="1"/>
  <c r="N420" i="17" s="1"/>
  <c r="I421" i="17" a="1"/>
  <c r="N421" i="17" s="1"/>
  <c r="I422" i="17" a="1"/>
  <c r="N422" i="17" s="1"/>
  <c r="I423" i="17" a="1"/>
  <c r="N423" i="17" s="1"/>
  <c r="I424" i="17" a="1"/>
  <c r="N424" i="17" s="1"/>
  <c r="I425" i="17" a="1"/>
  <c r="N425" i="17" s="1"/>
  <c r="I426" i="17" a="1"/>
  <c r="N426" i="17" s="1"/>
  <c r="I427" i="17" a="1"/>
  <c r="N427" i="17" s="1"/>
  <c r="I428" i="17" a="1"/>
  <c r="N428" i="17" s="1"/>
  <c r="I429" i="17" a="1"/>
  <c r="N429" i="17" s="1"/>
  <c r="I430" i="17" a="1"/>
  <c r="N430" i="17" s="1"/>
  <c r="I431" i="17" a="1"/>
  <c r="N431" i="17" s="1"/>
  <c r="I432" i="17" a="1"/>
  <c r="N432" i="17" s="1"/>
  <c r="I433" i="17" a="1"/>
  <c r="N433" i="17" s="1"/>
  <c r="I434" i="17" a="1"/>
  <c r="N434" i="17" s="1"/>
  <c r="I435" i="17" a="1"/>
  <c r="N435" i="17" s="1"/>
  <c r="I436" i="17" a="1"/>
  <c r="N436" i="17" s="1"/>
  <c r="I437" i="17" a="1"/>
  <c r="N437" i="17" s="1"/>
  <c r="I438" i="17" a="1"/>
  <c r="N438" i="17" s="1"/>
  <c r="I439" i="17" a="1"/>
  <c r="N439" i="17" s="1"/>
  <c r="I440" i="17" a="1"/>
  <c r="N440" i="17" s="1"/>
  <c r="I441" i="17" a="1"/>
  <c r="N441" i="17" s="1"/>
  <c r="I442" i="17" a="1"/>
  <c r="N442" i="17" s="1"/>
  <c r="I443" i="17" a="1"/>
  <c r="N443" i="17" s="1"/>
  <c r="I444" i="17" a="1"/>
  <c r="N444" i="17" s="1"/>
  <c r="I445" i="17" a="1"/>
  <c r="N445" i="17" s="1"/>
  <c r="I446" i="17" a="1"/>
  <c r="N446" i="17" s="1"/>
  <c r="I447" i="17" a="1"/>
  <c r="N447" i="17" s="1"/>
  <c r="I448" i="17" a="1"/>
  <c r="N448" i="17" s="1"/>
  <c r="I449" i="17" a="1"/>
  <c r="N449" i="17" s="1"/>
  <c r="I450" i="17" a="1"/>
  <c r="N450" i="17" s="1"/>
  <c r="I451" i="17" a="1"/>
  <c r="N451" i="17" s="1"/>
  <c r="I452" i="17" a="1"/>
  <c r="N452" i="17" s="1"/>
  <c r="I453" i="17" a="1"/>
  <c r="N453" i="17" s="1"/>
  <c r="I454" i="17" a="1"/>
  <c r="N454" i="17" s="1"/>
  <c r="I455" i="17" a="1"/>
  <c r="N455" i="17" s="1"/>
  <c r="I456" i="17" a="1"/>
  <c r="N456" i="17" s="1"/>
  <c r="I457" i="17" a="1"/>
  <c r="N457" i="17" s="1"/>
  <c r="I458" i="17" a="1"/>
  <c r="N458" i="17" s="1"/>
  <c r="I459" i="17" a="1"/>
  <c r="N459" i="17" s="1"/>
  <c r="I460" i="17" a="1"/>
  <c r="N460" i="17" s="1"/>
  <c r="I461" i="17" a="1"/>
  <c r="N461" i="17" s="1"/>
  <c r="I462" i="17" a="1"/>
  <c r="N462" i="17" s="1"/>
  <c r="I463" i="17" a="1"/>
  <c r="N463" i="17" s="1"/>
  <c r="I464" i="17" a="1"/>
  <c r="N464" i="17" s="1"/>
  <c r="I465" i="17" a="1"/>
  <c r="N465" i="17" s="1"/>
  <c r="I466" i="17" a="1"/>
  <c r="N466" i="17" s="1"/>
  <c r="I467" i="17" a="1"/>
  <c r="N467" i="17" s="1"/>
  <c r="I468" i="17" a="1"/>
  <c r="N468" i="17" s="1"/>
  <c r="I469" i="17" a="1"/>
  <c r="N469" i="17" s="1"/>
  <c r="I470" i="17" a="1"/>
  <c r="N470" i="17" s="1"/>
  <c r="I471" i="17" a="1"/>
  <c r="N471" i="17" s="1"/>
  <c r="I472" i="17" a="1"/>
  <c r="N472" i="17" s="1"/>
  <c r="I473" i="17" a="1"/>
  <c r="N473" i="17" s="1"/>
  <c r="I474" i="17" a="1"/>
  <c r="N474" i="17" s="1"/>
  <c r="I475" i="17" a="1"/>
  <c r="N475" i="17" s="1"/>
  <c r="I476" i="17" a="1"/>
  <c r="N476" i="17" s="1"/>
  <c r="I477" i="17" a="1"/>
  <c r="N477" i="17" s="1"/>
  <c r="I478" i="17" a="1"/>
  <c r="N478" i="17" s="1"/>
  <c r="I479" i="17" a="1"/>
  <c r="N479" i="17" s="1"/>
  <c r="I480" i="17" a="1"/>
  <c r="N480" i="17" s="1"/>
  <c r="I481" i="17" a="1"/>
  <c r="N481" i="17" s="1"/>
  <c r="I482" i="17" a="1"/>
  <c r="N482" i="17" s="1"/>
  <c r="I483" i="17" a="1"/>
  <c r="N483" i="17" s="1"/>
  <c r="I484" i="17" a="1"/>
  <c r="N484" i="17" s="1"/>
  <c r="I485" i="17" a="1"/>
  <c r="N485" i="17" s="1"/>
  <c r="I486" i="17" a="1"/>
  <c r="N486" i="17" s="1"/>
  <c r="I487" i="17" a="1"/>
  <c r="N487" i="17" s="1"/>
  <c r="I488" i="17" a="1"/>
  <c r="N488" i="17" s="1"/>
  <c r="I489" i="17" a="1"/>
  <c r="N489" i="17" s="1"/>
  <c r="I490" i="17" a="1"/>
  <c r="N490" i="17" s="1"/>
  <c r="I491" i="17" a="1"/>
  <c r="N491" i="17" s="1"/>
  <c r="I492" i="17" a="1"/>
  <c r="N492" i="17" s="1"/>
  <c r="I493" i="17" a="1"/>
  <c r="N493" i="17" s="1"/>
  <c r="I494" i="17" a="1"/>
  <c r="N494" i="17" s="1"/>
  <c r="I495" i="17" a="1"/>
  <c r="N495" i="17" s="1"/>
  <c r="I496" i="17" a="1"/>
  <c r="N496" i="17" s="1"/>
  <c r="I497" i="17" a="1"/>
  <c r="N497" i="17" s="1"/>
  <c r="I498" i="17" a="1"/>
  <c r="N498" i="17" s="1"/>
  <c r="I499" i="17" a="1"/>
  <c r="N499" i="17" s="1"/>
  <c r="I500" i="17" a="1"/>
  <c r="N500" i="17" s="1"/>
  <c r="I501" i="17" a="1"/>
  <c r="N501" i="17" s="1"/>
  <c r="I502" i="17" a="1"/>
  <c r="N502" i="17" s="1"/>
  <c r="I503" i="17" a="1"/>
  <c r="N503" i="17" s="1"/>
  <c r="I504" i="17" a="1"/>
  <c r="N504" i="17" s="1"/>
  <c r="I505" i="17" a="1"/>
  <c r="N505" i="17" s="1"/>
  <c r="I506" i="17" a="1"/>
  <c r="N506" i="17" s="1"/>
  <c r="I507" i="17" a="1"/>
  <c r="N507" i="17" s="1"/>
  <c r="I508" i="17" a="1"/>
  <c r="N508" i="17" s="1"/>
  <c r="I509" i="17" a="1"/>
  <c r="N509" i="17" s="1"/>
  <c r="I510" i="17" a="1"/>
  <c r="N510" i="17" s="1"/>
  <c r="I511" i="17" a="1"/>
  <c r="N511" i="17" s="1"/>
  <c r="I512" i="17" a="1"/>
  <c r="N512" i="17" s="1"/>
  <c r="I513" i="17" a="1"/>
  <c r="N513" i="17" s="1"/>
  <c r="I514" i="17" a="1"/>
  <c r="N514" i="17" s="1"/>
  <c r="I515" i="17" a="1"/>
  <c r="N515" i="17" s="1"/>
  <c r="I516" i="17" a="1"/>
  <c r="N516" i="17" s="1"/>
  <c r="I517" i="17" a="1"/>
  <c r="N517" i="17" s="1"/>
  <c r="I518" i="17" a="1"/>
  <c r="N518" i="17" s="1"/>
  <c r="I519" i="17" a="1"/>
  <c r="N519" i="17" s="1"/>
  <c r="I520" i="17" a="1"/>
  <c r="N520" i="17" s="1"/>
  <c r="I521" i="17" a="1"/>
  <c r="N521" i="17" s="1"/>
  <c r="I522" i="17" a="1"/>
  <c r="N522" i="17" s="1"/>
  <c r="I523" i="17" a="1"/>
  <c r="N523" i="17" s="1"/>
  <c r="I524" i="17" a="1"/>
  <c r="N524" i="17" s="1"/>
  <c r="I525" i="17" a="1"/>
  <c r="N525" i="17" s="1"/>
  <c r="I526" i="17" a="1"/>
  <c r="N526" i="17" s="1"/>
  <c r="I527" i="17" a="1"/>
  <c r="N527" i="17" s="1"/>
  <c r="I528" i="17" a="1"/>
  <c r="N528" i="17" s="1"/>
  <c r="I529" i="17" a="1"/>
  <c r="N529" i="17" s="1"/>
  <c r="I530" i="17" a="1"/>
  <c r="N530" i="17" s="1"/>
  <c r="I531" i="17" a="1"/>
  <c r="N531" i="17" s="1"/>
  <c r="I532" i="17" a="1"/>
  <c r="N532" i="17" s="1"/>
  <c r="I533" i="17" a="1"/>
  <c r="N533" i="17" s="1"/>
  <c r="I534" i="17" a="1"/>
  <c r="N534" i="17" s="1"/>
  <c r="I535" i="17" a="1"/>
  <c r="N535" i="17" s="1"/>
  <c r="I536" i="17" a="1"/>
  <c r="N536" i="17" s="1"/>
  <c r="I537" i="17" a="1"/>
  <c r="N537" i="17" s="1"/>
  <c r="I538" i="17" a="1"/>
  <c r="N538" i="17" s="1"/>
  <c r="I539" i="17" a="1"/>
  <c r="N539" i="17" s="1"/>
  <c r="I540" i="17" a="1"/>
  <c r="N540" i="17" s="1"/>
  <c r="I541" i="17" a="1"/>
  <c r="N541" i="17" s="1"/>
  <c r="I542" i="17" a="1"/>
  <c r="N542" i="17" s="1"/>
  <c r="I543" i="17" a="1"/>
  <c r="N543" i="17" s="1"/>
  <c r="I544" i="17" a="1"/>
  <c r="N544" i="17" s="1"/>
  <c r="I545" i="17" a="1"/>
  <c r="N545" i="17" s="1"/>
  <c r="I546" i="17" a="1"/>
  <c r="N546" i="17" s="1"/>
  <c r="I547" i="17" a="1"/>
  <c r="N547" i="17" s="1"/>
  <c r="I548" i="17" a="1"/>
  <c r="N548" i="17" s="1"/>
  <c r="I549" i="17" a="1"/>
  <c r="N549" i="17" s="1"/>
  <c r="I550" i="17" a="1"/>
  <c r="N550" i="17" s="1"/>
  <c r="I551" i="17" a="1"/>
  <c r="N551" i="17" s="1"/>
  <c r="I552" i="17" a="1"/>
  <c r="N552" i="17" s="1"/>
  <c r="I553" i="17" a="1"/>
  <c r="N553" i="17" s="1"/>
  <c r="I554" i="17" a="1"/>
  <c r="N554" i="17" s="1"/>
  <c r="I555" i="17" a="1"/>
  <c r="N555" i="17" s="1"/>
  <c r="I556" i="17" a="1"/>
  <c r="N556" i="17" s="1"/>
  <c r="I557" i="17" a="1"/>
  <c r="N557" i="17" s="1"/>
  <c r="I558" i="17" a="1"/>
  <c r="N558" i="17" s="1"/>
  <c r="I559" i="17" a="1"/>
  <c r="N559" i="17" s="1"/>
  <c r="I560" i="17" a="1"/>
  <c r="N560" i="17" s="1"/>
  <c r="I561" i="17" a="1"/>
  <c r="N561" i="17" s="1"/>
  <c r="I562" i="17" a="1"/>
  <c r="N562" i="17" s="1"/>
  <c r="I563" i="17" a="1"/>
  <c r="N563" i="17" s="1"/>
  <c r="I564" i="17" a="1"/>
  <c r="N564" i="17" s="1"/>
  <c r="I565" i="17" a="1"/>
  <c r="N565" i="17" s="1"/>
  <c r="I566" i="17" a="1"/>
  <c r="N566" i="17" s="1"/>
  <c r="I567" i="17" a="1"/>
  <c r="N567" i="17" s="1"/>
  <c r="I568" i="17" a="1"/>
  <c r="N568" i="17" s="1"/>
  <c r="I569" i="17" a="1"/>
  <c r="N569" i="17" s="1"/>
  <c r="I570" i="17" a="1"/>
  <c r="N570" i="17" s="1"/>
  <c r="I571" i="17" a="1"/>
  <c r="N571" i="17" s="1"/>
  <c r="I572" i="17" a="1"/>
  <c r="N572" i="17" s="1"/>
  <c r="I573" i="17" a="1"/>
  <c r="N573" i="17" s="1"/>
  <c r="I574" i="17" a="1"/>
  <c r="N574" i="17" s="1"/>
  <c r="I575" i="17" a="1"/>
  <c r="N575" i="17" s="1"/>
  <c r="I576" i="17" a="1"/>
  <c r="N576" i="17" s="1"/>
  <c r="I577" i="17" a="1"/>
  <c r="N577" i="17" s="1"/>
  <c r="I578" i="17" a="1"/>
  <c r="N578" i="17" s="1"/>
  <c r="I579" i="17" a="1"/>
  <c r="N579" i="17" s="1"/>
  <c r="I580" i="17" a="1"/>
  <c r="N580" i="17" s="1"/>
  <c r="I581" i="17" a="1"/>
  <c r="N581" i="17" s="1"/>
  <c r="I582" i="17" a="1"/>
  <c r="N582" i="17" s="1"/>
  <c r="I583" i="17" a="1"/>
  <c r="N583" i="17" s="1"/>
  <c r="I584" i="17" a="1"/>
  <c r="N584" i="17" s="1"/>
  <c r="I585" i="17" a="1"/>
  <c r="N585" i="17" s="1"/>
  <c r="I586" i="17" a="1"/>
  <c r="N586" i="17" s="1"/>
  <c r="I587" i="17" a="1"/>
  <c r="N587" i="17" s="1"/>
  <c r="I588" i="17" a="1"/>
  <c r="N588" i="17" s="1"/>
  <c r="I589" i="17" a="1"/>
  <c r="N589" i="17" s="1"/>
  <c r="I590" i="17" a="1"/>
  <c r="N590" i="17" s="1"/>
  <c r="I591" i="17" a="1"/>
  <c r="N591" i="17" s="1"/>
  <c r="I592" i="17" a="1"/>
  <c r="N592" i="17" s="1"/>
  <c r="I593" i="17" a="1"/>
  <c r="N593" i="17" s="1"/>
  <c r="I594" i="17" a="1"/>
  <c r="N594" i="17" s="1"/>
  <c r="I595" i="17" a="1"/>
  <c r="N595" i="17" s="1"/>
  <c r="I596" i="17" a="1"/>
  <c r="N596" i="17" s="1"/>
  <c r="I597" i="17" a="1"/>
  <c r="N597" i="17" s="1"/>
  <c r="I598" i="17" a="1"/>
  <c r="N598" i="17" s="1"/>
  <c r="I599" i="17" a="1"/>
  <c r="N599" i="17" s="1"/>
  <c r="I600" i="17" a="1"/>
  <c r="N600" i="17" s="1"/>
  <c r="I601" i="17" a="1"/>
  <c r="N601" i="17" s="1"/>
  <c r="I602" i="17" a="1"/>
  <c r="N602" i="17" s="1"/>
  <c r="I603" i="17" a="1"/>
  <c r="N603" i="17" s="1"/>
  <c r="I604" i="17" a="1"/>
  <c r="N604" i="17" s="1"/>
  <c r="I605" i="17" a="1"/>
  <c r="N605" i="17" s="1"/>
  <c r="I606" i="17" a="1"/>
  <c r="N606" i="17" s="1"/>
  <c r="I607" i="17" a="1"/>
  <c r="N607" i="17" s="1"/>
  <c r="I608" i="17" a="1"/>
  <c r="N608" i="17" s="1"/>
  <c r="I609" i="17" a="1"/>
  <c r="N609" i="17" s="1"/>
  <c r="I610" i="17" a="1"/>
  <c r="N610" i="17" s="1"/>
  <c r="I611" i="17" a="1"/>
  <c r="N611" i="17" s="1"/>
  <c r="I612" i="17" a="1"/>
  <c r="N612" i="17" s="1"/>
  <c r="I613" i="17" a="1"/>
  <c r="N613" i="17" s="1"/>
  <c r="I614" i="17" a="1"/>
  <c r="N614" i="17" s="1"/>
  <c r="I615" i="17" a="1"/>
  <c r="N615" i="17" s="1"/>
  <c r="I616" i="17" a="1"/>
  <c r="N616" i="17" s="1"/>
  <c r="I617" i="17" a="1"/>
  <c r="N617" i="17" s="1"/>
  <c r="I618" i="17" a="1"/>
  <c r="N618" i="17" s="1"/>
  <c r="I619" i="17" a="1"/>
  <c r="N619" i="17" s="1"/>
  <c r="I620" i="17" a="1"/>
  <c r="N620" i="17" s="1"/>
  <c r="I621" i="17" a="1"/>
  <c r="N621" i="17" s="1"/>
  <c r="I622" i="17" a="1"/>
  <c r="N622" i="17" s="1"/>
  <c r="I623" i="17" a="1"/>
  <c r="N623" i="17" s="1"/>
  <c r="I624" i="17" a="1"/>
  <c r="N624" i="17" s="1"/>
  <c r="I625" i="17" a="1"/>
  <c r="N625" i="17" s="1"/>
  <c r="I626" i="17" a="1"/>
  <c r="N626" i="17" s="1"/>
  <c r="I627" i="17" a="1"/>
  <c r="N627" i="17" s="1"/>
  <c r="I628" i="17" a="1"/>
  <c r="N628" i="17" s="1"/>
  <c r="I629" i="17" a="1"/>
  <c r="N629" i="17" s="1"/>
  <c r="I630" i="17" a="1"/>
  <c r="N630" i="17" s="1"/>
  <c r="I631" i="17" a="1"/>
  <c r="N631" i="17" s="1"/>
  <c r="I632" i="17" a="1"/>
  <c r="N632" i="17" s="1"/>
  <c r="I633" i="17" a="1"/>
  <c r="N633" i="17" s="1"/>
  <c r="I634" i="17" a="1"/>
  <c r="N634" i="17" s="1"/>
  <c r="I635" i="17" a="1"/>
  <c r="N635" i="17" s="1"/>
  <c r="I636" i="17" a="1"/>
  <c r="N636" i="17" s="1"/>
  <c r="I637" i="17" a="1"/>
  <c r="N637" i="17" s="1"/>
  <c r="I638" i="17" a="1"/>
  <c r="N638" i="17" s="1"/>
  <c r="I639" i="17" a="1"/>
  <c r="N639" i="17" s="1"/>
  <c r="I640" i="17" a="1"/>
  <c r="N640" i="17" s="1"/>
  <c r="I641" i="17" a="1"/>
  <c r="N641" i="17" s="1"/>
  <c r="I642" i="17" a="1"/>
  <c r="N642" i="17" s="1"/>
  <c r="I643" i="17" a="1"/>
  <c r="N643" i="17" s="1"/>
  <c r="I644" i="17" a="1"/>
  <c r="N644" i="17" s="1"/>
  <c r="I645" i="17" a="1"/>
  <c r="N645" i="17" s="1"/>
  <c r="I646" i="17" a="1"/>
  <c r="N646" i="17" s="1"/>
  <c r="I647" i="17" a="1"/>
  <c r="N647" i="17" s="1"/>
  <c r="I648" i="17" a="1"/>
  <c r="N648" i="17" s="1"/>
  <c r="I649" i="17" a="1"/>
  <c r="N649" i="17" s="1"/>
  <c r="I650" i="17" a="1"/>
  <c r="N650" i="17" s="1"/>
  <c r="I651" i="17" a="1"/>
  <c r="N651" i="17" s="1"/>
  <c r="I652" i="17" a="1"/>
  <c r="N652" i="17" s="1"/>
  <c r="I653" i="17" a="1"/>
  <c r="N653" i="17" s="1"/>
  <c r="I654" i="17" a="1"/>
  <c r="N654" i="17" s="1"/>
  <c r="I655" i="17" a="1"/>
  <c r="N655" i="17" s="1"/>
  <c r="I656" i="17" a="1"/>
  <c r="N656" i="17" s="1"/>
  <c r="I657" i="17" a="1"/>
  <c r="N657" i="17" s="1"/>
  <c r="I658" i="17" a="1"/>
  <c r="N658" i="17" s="1"/>
  <c r="I659" i="17" a="1"/>
  <c r="N659" i="17" s="1"/>
  <c r="I660" i="17" a="1"/>
  <c r="N660" i="17" s="1"/>
  <c r="I661" i="17" a="1"/>
  <c r="N661" i="17" s="1"/>
  <c r="I662" i="17" a="1"/>
  <c r="N662" i="17" s="1"/>
  <c r="I663" i="17" a="1"/>
  <c r="N663" i="17" s="1"/>
  <c r="I664" i="17" a="1"/>
  <c r="N664" i="17" s="1"/>
  <c r="I665" i="17" a="1"/>
  <c r="N665" i="17" s="1"/>
  <c r="I666" i="17" a="1"/>
  <c r="N666" i="17" s="1"/>
  <c r="I667" i="17" a="1"/>
  <c r="N667" i="17" s="1"/>
  <c r="I668" i="17" a="1"/>
  <c r="N668" i="17" s="1"/>
  <c r="I669" i="17" a="1"/>
  <c r="N669" i="17" s="1"/>
  <c r="I670" i="17" a="1"/>
  <c r="N670" i="17" s="1"/>
  <c r="I671" i="17" a="1"/>
  <c r="N671" i="17" s="1"/>
  <c r="I672" i="17" a="1"/>
  <c r="N672" i="17" s="1"/>
  <c r="I673" i="17" a="1"/>
  <c r="N673" i="17" s="1"/>
  <c r="I674" i="17" a="1"/>
  <c r="N674" i="17" s="1"/>
  <c r="I675" i="17" a="1"/>
  <c r="N675" i="17" s="1"/>
  <c r="I676" i="17" a="1"/>
  <c r="N676" i="17" s="1"/>
  <c r="I677" i="17" a="1"/>
  <c r="N677" i="17" s="1"/>
  <c r="I678" i="17" a="1"/>
  <c r="N678" i="17" s="1"/>
  <c r="I679" i="17" a="1"/>
  <c r="N679" i="17" s="1"/>
  <c r="I680" i="17" a="1"/>
  <c r="N680" i="17" s="1"/>
  <c r="I681" i="17" a="1"/>
  <c r="N681" i="17" s="1"/>
  <c r="I682" i="17" a="1"/>
  <c r="N682" i="17" s="1"/>
  <c r="I683" i="17" a="1"/>
  <c r="N683" i="17" s="1"/>
  <c r="I684" i="17" a="1"/>
  <c r="N684" i="17" s="1"/>
  <c r="I685" i="17" a="1"/>
  <c r="N685" i="17" s="1"/>
  <c r="I686" i="17" a="1"/>
  <c r="N686" i="17" s="1"/>
  <c r="I687" i="17" a="1"/>
  <c r="N687" i="17" s="1"/>
  <c r="I688" i="17" a="1"/>
  <c r="N688" i="17" s="1"/>
  <c r="I689" i="17" a="1"/>
  <c r="N689" i="17" s="1"/>
  <c r="I690" i="17" a="1"/>
  <c r="N690" i="17" s="1"/>
  <c r="I691" i="17" a="1"/>
  <c r="N691" i="17" s="1"/>
  <c r="I692" i="17" a="1"/>
  <c r="N692" i="17" s="1"/>
  <c r="I693" i="17" a="1"/>
  <c r="N693" i="17" s="1"/>
  <c r="I694" i="17" a="1"/>
  <c r="N694" i="17" s="1"/>
  <c r="I695" i="17" a="1"/>
  <c r="N695" i="17" s="1"/>
  <c r="I696" i="17" a="1"/>
  <c r="N696" i="17" s="1"/>
  <c r="I697" i="17" a="1"/>
  <c r="N697" i="17" s="1"/>
  <c r="I698" i="17" a="1"/>
  <c r="N698" i="17" s="1"/>
  <c r="I699" i="17" a="1"/>
  <c r="N699" i="17" s="1"/>
  <c r="I700" i="17" a="1"/>
  <c r="N700" i="17" s="1"/>
  <c r="I701" i="17" a="1"/>
  <c r="N701" i="17" s="1"/>
  <c r="I702" i="17" a="1"/>
  <c r="N702" i="17" s="1"/>
  <c r="I703" i="17" a="1"/>
  <c r="N703" i="17" s="1"/>
  <c r="I704" i="17" a="1"/>
  <c r="N704" i="17" s="1"/>
  <c r="I705" i="17" a="1"/>
  <c r="N705" i="17" s="1"/>
  <c r="I706" i="17" a="1"/>
  <c r="N706" i="17" s="1"/>
  <c r="I707" i="17" a="1"/>
  <c r="N707" i="17" s="1"/>
  <c r="I708" i="17" a="1"/>
  <c r="N708" i="17" s="1"/>
  <c r="I709" i="17" a="1"/>
  <c r="N709" i="17" s="1"/>
  <c r="I710" i="17" a="1"/>
  <c r="N710" i="17" s="1"/>
  <c r="I711" i="17" a="1"/>
  <c r="N711" i="17" s="1"/>
  <c r="I712" i="17" a="1"/>
  <c r="N712" i="17" s="1"/>
  <c r="I713" i="17" a="1"/>
  <c r="N713" i="17" s="1"/>
  <c r="I714" i="17" a="1"/>
  <c r="N714" i="17" s="1"/>
  <c r="I715" i="17" a="1"/>
  <c r="N715" i="17" s="1"/>
  <c r="I716" i="17" a="1"/>
  <c r="N716" i="17" s="1"/>
  <c r="I717" i="17" a="1"/>
  <c r="N717" i="17" s="1"/>
  <c r="I718" i="17" a="1"/>
  <c r="N718" i="17" s="1"/>
  <c r="I719" i="17" a="1"/>
  <c r="N719" i="17" s="1"/>
  <c r="I720" i="17" a="1"/>
  <c r="N720" i="17" s="1"/>
  <c r="I721" i="17" a="1"/>
  <c r="N721" i="17" s="1"/>
  <c r="I722" i="17" a="1"/>
  <c r="N722" i="17" s="1"/>
  <c r="I723" i="17" a="1"/>
  <c r="N723" i="17" s="1"/>
  <c r="I724" i="17" a="1"/>
  <c r="N724" i="17" s="1"/>
  <c r="I725" i="17" a="1"/>
  <c r="N725" i="17" s="1"/>
  <c r="I726" i="17" a="1"/>
  <c r="N726" i="17" s="1"/>
  <c r="I727" i="17" a="1"/>
  <c r="N727" i="17" s="1"/>
  <c r="I728" i="17" a="1"/>
  <c r="N728" i="17" s="1"/>
  <c r="I729" i="17" a="1"/>
  <c r="N729" i="17" s="1"/>
  <c r="I730" i="17" a="1"/>
  <c r="N730" i="17" s="1"/>
  <c r="I731" i="17" a="1"/>
  <c r="N731" i="17" s="1"/>
  <c r="I732" i="17" a="1"/>
  <c r="N732" i="17" s="1"/>
  <c r="I733" i="17" a="1"/>
  <c r="N733" i="17" s="1"/>
  <c r="I734" i="17" a="1"/>
  <c r="N734" i="17" s="1"/>
  <c r="I735" i="17" a="1"/>
  <c r="N735" i="17" s="1"/>
  <c r="I736" i="17" a="1"/>
  <c r="N736" i="17" s="1"/>
  <c r="I737" i="17" a="1"/>
  <c r="N737" i="17" s="1"/>
  <c r="I738" i="17" a="1"/>
  <c r="N738" i="17" s="1"/>
  <c r="I739" i="17" a="1"/>
  <c r="N739" i="17" s="1"/>
  <c r="I740" i="17" a="1"/>
  <c r="N740" i="17" s="1"/>
  <c r="I741" i="17" a="1"/>
  <c r="N741" i="17" s="1"/>
  <c r="I742" i="17" a="1"/>
  <c r="N742" i="17" s="1"/>
  <c r="I743" i="17" a="1"/>
  <c r="N743" i="17" s="1"/>
  <c r="I744" i="17" a="1"/>
  <c r="N744" i="17" s="1"/>
  <c r="I745" i="17" a="1"/>
  <c r="N745" i="17" s="1"/>
  <c r="I746" i="17" a="1"/>
  <c r="N746" i="17" s="1"/>
  <c r="I747" i="17" a="1"/>
  <c r="N747" i="17" s="1"/>
  <c r="I748" i="17" a="1"/>
  <c r="N748" i="17" s="1"/>
  <c r="I749" i="17" a="1"/>
  <c r="N749" i="17" s="1"/>
  <c r="I750" i="17" a="1"/>
  <c r="N750" i="17" s="1"/>
  <c r="I751" i="17" a="1"/>
  <c r="N751" i="17" s="1"/>
  <c r="I752" i="17" a="1"/>
  <c r="N752" i="17" s="1"/>
  <c r="I753" i="17" a="1"/>
  <c r="N753" i="17" s="1"/>
  <c r="I754" i="17" a="1"/>
  <c r="N754" i="17" s="1"/>
  <c r="I755" i="17" a="1"/>
  <c r="N755" i="17" s="1"/>
  <c r="I756" i="17" a="1"/>
  <c r="N756" i="17" s="1"/>
  <c r="I757" i="17" a="1"/>
  <c r="N757" i="17" s="1"/>
  <c r="I758" i="17" a="1"/>
  <c r="N758" i="17" s="1"/>
  <c r="I759" i="17" a="1"/>
  <c r="N759" i="17" s="1"/>
  <c r="I760" i="17" a="1"/>
  <c r="N760" i="17" s="1"/>
  <c r="I761" i="17" a="1"/>
  <c r="N761" i="17" s="1"/>
  <c r="I762" i="17" a="1"/>
  <c r="N762" i="17" s="1"/>
  <c r="I763" i="17" a="1"/>
  <c r="N763" i="17" s="1"/>
  <c r="I764" i="17" a="1"/>
  <c r="N764" i="17" s="1"/>
  <c r="I765" i="17" a="1"/>
  <c r="N765" i="17" s="1"/>
  <c r="I766" i="17" a="1"/>
  <c r="N766" i="17" s="1"/>
  <c r="I767" i="17" a="1"/>
  <c r="N767" i="17" s="1"/>
  <c r="I768" i="17" a="1"/>
  <c r="N768" i="17" s="1"/>
  <c r="I769" i="17" a="1"/>
  <c r="N769" i="17" s="1"/>
  <c r="I770" i="17" a="1"/>
  <c r="N770" i="17" s="1"/>
  <c r="I771" i="17" a="1"/>
  <c r="N771" i="17" s="1"/>
  <c r="I772" i="17" a="1"/>
  <c r="N772" i="17" s="1"/>
  <c r="I773" i="17" a="1"/>
  <c r="N773" i="17" s="1"/>
  <c r="I774" i="17" a="1"/>
  <c r="N774" i="17" s="1"/>
  <c r="I775" i="17" a="1"/>
  <c r="N775" i="17" s="1"/>
  <c r="I776" i="17" a="1"/>
  <c r="N776" i="17" s="1"/>
  <c r="I777" i="17" a="1"/>
  <c r="N777" i="17" s="1"/>
  <c r="I778" i="17" a="1"/>
  <c r="N778" i="17" s="1"/>
  <c r="I779" i="17" a="1"/>
  <c r="N779" i="17" s="1"/>
  <c r="I780" i="17" a="1"/>
  <c r="N780" i="17" s="1"/>
  <c r="I781" i="17" a="1"/>
  <c r="N781" i="17" s="1"/>
  <c r="I782" i="17" a="1"/>
  <c r="N782" i="17" s="1"/>
  <c r="I783" i="17" a="1"/>
  <c r="N783" i="17" s="1"/>
  <c r="I784" i="17" a="1"/>
  <c r="N784" i="17" s="1"/>
  <c r="I785" i="17" a="1"/>
  <c r="N785" i="17" s="1"/>
  <c r="I786" i="17" a="1"/>
  <c r="N786" i="17" s="1"/>
  <c r="I787" i="17" a="1"/>
  <c r="N787" i="17" s="1"/>
  <c r="I788" i="17" a="1"/>
  <c r="N788" i="17" s="1"/>
  <c r="I789" i="17" a="1"/>
  <c r="N789" i="17" s="1"/>
  <c r="I790" i="17" a="1"/>
  <c r="N790" i="17" s="1"/>
  <c r="I791" i="17" a="1"/>
  <c r="N791" i="17" s="1"/>
  <c r="I792" i="17" a="1"/>
  <c r="N792" i="17" s="1"/>
  <c r="I793" i="17" a="1"/>
  <c r="N793" i="17" s="1"/>
  <c r="I794" i="17" a="1"/>
  <c r="N794" i="17" s="1"/>
  <c r="I795" i="17" a="1"/>
  <c r="N795" i="17" s="1"/>
  <c r="I796" i="17" a="1"/>
  <c r="N796" i="17" s="1"/>
  <c r="I797" i="17" a="1"/>
  <c r="N797" i="17" s="1"/>
  <c r="I798" i="17" a="1"/>
  <c r="N798" i="17" s="1"/>
  <c r="I799" i="17" a="1"/>
  <c r="N799" i="17" s="1"/>
  <c r="I800" i="17" a="1"/>
  <c r="N800" i="17" s="1"/>
  <c r="I801" i="17" a="1"/>
  <c r="N801" i="17" s="1"/>
  <c r="I802" i="17" a="1"/>
  <c r="N802" i="17" s="1"/>
  <c r="I803" i="17" a="1"/>
  <c r="N803" i="17" s="1"/>
  <c r="I804" i="17" a="1"/>
  <c r="N804" i="17" s="1"/>
  <c r="I805" i="17" a="1"/>
  <c r="N805" i="17" s="1"/>
  <c r="I806" i="17" a="1"/>
  <c r="N806" i="17" s="1"/>
  <c r="I807" i="17" a="1"/>
  <c r="N807" i="17" s="1"/>
  <c r="I808" i="17" a="1"/>
  <c r="N808" i="17" s="1"/>
  <c r="I809" i="17" a="1"/>
  <c r="N809" i="17" s="1"/>
  <c r="I810" i="17" a="1"/>
  <c r="N810" i="17" s="1"/>
  <c r="I811" i="17" a="1"/>
  <c r="N811" i="17" s="1"/>
  <c r="I812" i="17" a="1"/>
  <c r="N812" i="17" s="1"/>
  <c r="I813" i="17" a="1"/>
  <c r="N813" i="17" s="1"/>
  <c r="I814" i="17" a="1"/>
  <c r="N814" i="17" s="1"/>
  <c r="I815" i="17" a="1"/>
  <c r="N815" i="17" s="1"/>
  <c r="I816" i="17" a="1"/>
  <c r="N816" i="17" s="1"/>
  <c r="I817" i="17" a="1"/>
  <c r="N817" i="17" s="1"/>
  <c r="I818" i="17" a="1"/>
  <c r="N818" i="17" s="1"/>
  <c r="I819" i="17" a="1"/>
  <c r="N819" i="17" s="1"/>
  <c r="I820" i="17" a="1"/>
  <c r="N820" i="17" s="1"/>
  <c r="I821" i="17" a="1"/>
  <c r="N821" i="17" s="1"/>
  <c r="I822" i="17" a="1"/>
  <c r="N822" i="17" s="1"/>
  <c r="I823" i="17" a="1"/>
  <c r="N823" i="17" s="1"/>
  <c r="I824" i="17" a="1"/>
  <c r="N824" i="17" s="1"/>
  <c r="I825" i="17" a="1"/>
  <c r="N825" i="17" s="1"/>
  <c r="I826" i="17" a="1"/>
  <c r="N826" i="17" s="1"/>
  <c r="I827" i="17" a="1"/>
  <c r="N827" i="17" s="1"/>
  <c r="I828" i="17" a="1"/>
  <c r="N828" i="17" s="1"/>
  <c r="I829" i="17" a="1"/>
  <c r="N829" i="17" s="1"/>
  <c r="I830" i="17" a="1"/>
  <c r="N830" i="17" s="1"/>
  <c r="I831" i="17" a="1"/>
  <c r="N831" i="17" s="1"/>
  <c r="I832" i="17" a="1"/>
  <c r="N832" i="17" s="1"/>
  <c r="I833" i="17" a="1"/>
  <c r="N833" i="17" s="1"/>
  <c r="I834" i="17" a="1"/>
  <c r="N834" i="17" s="1"/>
  <c r="I835" i="17" a="1"/>
  <c r="N835" i="17" s="1"/>
  <c r="I836" i="17" a="1"/>
  <c r="N836" i="17" s="1"/>
  <c r="I837" i="17" a="1"/>
  <c r="N837" i="17" s="1"/>
  <c r="I838" i="17" a="1"/>
  <c r="N838" i="17" s="1"/>
  <c r="I839" i="17" a="1"/>
  <c r="N839" i="17" s="1"/>
  <c r="I840" i="17" a="1"/>
  <c r="N840" i="17" s="1"/>
  <c r="I841" i="17" a="1"/>
  <c r="N841" i="17" s="1"/>
  <c r="I842" i="17" a="1"/>
  <c r="N842" i="17" s="1"/>
  <c r="I843" i="17" a="1"/>
  <c r="N843" i="17" s="1"/>
  <c r="I844" i="17" a="1"/>
  <c r="N844" i="17" s="1"/>
  <c r="I845" i="17" a="1"/>
  <c r="N845" i="17" s="1"/>
  <c r="I846" i="17" a="1"/>
  <c r="N846" i="17" s="1"/>
  <c r="I847" i="17" a="1"/>
  <c r="N847" i="17" s="1"/>
  <c r="I848" i="17" a="1"/>
  <c r="N848" i="17" s="1"/>
  <c r="I849" i="17" a="1"/>
  <c r="N849" i="17" s="1"/>
  <c r="I850" i="17" a="1"/>
  <c r="N850" i="17" s="1"/>
  <c r="I851" i="17" a="1"/>
  <c r="N851" i="17" s="1"/>
  <c r="I852" i="17" a="1"/>
  <c r="N852" i="17" s="1"/>
  <c r="I853" i="17" a="1"/>
  <c r="N853" i="17" s="1"/>
  <c r="I854" i="17" a="1"/>
  <c r="N854" i="17" s="1"/>
  <c r="I855" i="17" a="1"/>
  <c r="N855" i="17" s="1"/>
  <c r="I856" i="17" a="1"/>
  <c r="N856" i="17" s="1"/>
  <c r="I857" i="17" a="1"/>
  <c r="N857" i="17" s="1"/>
  <c r="I858" i="17" a="1"/>
  <c r="N858" i="17" s="1"/>
  <c r="I859" i="17" a="1"/>
  <c r="N859" i="17" s="1"/>
  <c r="I860" i="17" a="1"/>
  <c r="N860" i="17" s="1"/>
  <c r="I861" i="17" a="1"/>
  <c r="N861" i="17" s="1"/>
  <c r="I862" i="17" a="1"/>
  <c r="N862" i="17" s="1"/>
  <c r="I863" i="17" a="1"/>
  <c r="N863" i="17" s="1"/>
  <c r="I864" i="17" a="1"/>
  <c r="N864" i="17" s="1"/>
  <c r="I865" i="17" a="1"/>
  <c r="N865" i="17" s="1"/>
  <c r="I866" i="17" a="1"/>
  <c r="N866" i="17" s="1"/>
  <c r="I867" i="17" a="1"/>
  <c r="N867" i="17" s="1"/>
  <c r="I868" i="17" a="1"/>
  <c r="N868" i="17" s="1"/>
  <c r="I869" i="17" a="1"/>
  <c r="N869" i="17" s="1"/>
  <c r="I870" i="17" a="1"/>
  <c r="N870" i="17" s="1"/>
  <c r="I871" i="17" a="1"/>
  <c r="N871" i="17" s="1"/>
  <c r="I872" i="17" a="1"/>
  <c r="N872" i="17" s="1"/>
  <c r="I873" i="17" a="1"/>
  <c r="N873" i="17" s="1"/>
  <c r="I874" i="17" a="1"/>
  <c r="N874" i="17" s="1"/>
  <c r="I875" i="17" a="1"/>
  <c r="N875" i="17" s="1"/>
  <c r="I876" i="17" a="1"/>
  <c r="N876" i="17" s="1"/>
  <c r="I877" i="17" a="1"/>
  <c r="N877" i="17" s="1"/>
  <c r="I878" i="17" a="1"/>
  <c r="N878" i="17" s="1"/>
  <c r="I879" i="17" a="1"/>
  <c r="N879" i="17" s="1"/>
  <c r="I880" i="17" a="1"/>
  <c r="N880" i="17" s="1"/>
  <c r="I881" i="17" a="1"/>
  <c r="N881" i="17" s="1"/>
  <c r="I882" i="17" a="1"/>
  <c r="N882" i="17" s="1"/>
  <c r="I883" i="17" a="1"/>
  <c r="N883" i="17" s="1"/>
  <c r="I884" i="17" a="1"/>
  <c r="N884" i="17" s="1"/>
  <c r="I885" i="17" a="1"/>
  <c r="N885" i="17" s="1"/>
  <c r="I886" i="17" a="1"/>
  <c r="N886" i="17" s="1"/>
  <c r="I887" i="17" a="1"/>
  <c r="N887" i="17" s="1"/>
  <c r="I888" i="17" a="1"/>
  <c r="N888" i="17" s="1"/>
  <c r="I889" i="17" a="1"/>
  <c r="N889" i="17" s="1"/>
  <c r="I890" i="17" a="1"/>
  <c r="N890" i="17" s="1"/>
  <c r="I891" i="17" a="1"/>
  <c r="N891" i="17" s="1"/>
  <c r="I892" i="17" a="1"/>
  <c r="N892" i="17" s="1"/>
  <c r="I893" i="17" a="1"/>
  <c r="N893" i="17" s="1"/>
  <c r="I894" i="17" a="1"/>
  <c r="N894" i="17" s="1"/>
  <c r="I895" i="17" a="1"/>
  <c r="N895" i="17" s="1"/>
  <c r="I896" i="17" a="1"/>
  <c r="N896" i="17" s="1"/>
  <c r="I897" i="17" a="1"/>
  <c r="N897" i="17" s="1"/>
  <c r="I898" i="17" a="1"/>
  <c r="N898" i="17" s="1"/>
  <c r="I899" i="17" a="1"/>
  <c r="N899" i="17" s="1"/>
  <c r="I900" i="17" a="1"/>
  <c r="N900" i="17" s="1"/>
  <c r="I901" i="17" a="1"/>
  <c r="N901" i="17" s="1"/>
  <c r="I902" i="17" a="1"/>
  <c r="N902" i="17" s="1"/>
  <c r="I903" i="17" a="1"/>
  <c r="N903" i="17" s="1"/>
  <c r="I904" i="17" a="1"/>
  <c r="N904" i="17" s="1"/>
  <c r="I905" i="17" a="1"/>
  <c r="N905" i="17" s="1"/>
  <c r="I906" i="17" a="1"/>
  <c r="N906" i="17" s="1"/>
  <c r="I907" i="17" a="1"/>
  <c r="N907" i="17" s="1"/>
  <c r="I908" i="17" a="1"/>
  <c r="N908" i="17" s="1"/>
  <c r="I909" i="17" a="1"/>
  <c r="N909" i="17" s="1"/>
  <c r="I910" i="17" a="1"/>
  <c r="N910" i="17" s="1"/>
  <c r="I911" i="17" a="1"/>
  <c r="N911" i="17" s="1"/>
  <c r="I912" i="17" a="1"/>
  <c r="N912" i="17" s="1"/>
  <c r="I913" i="17" a="1"/>
  <c r="N913" i="17" s="1"/>
  <c r="I914" i="17" a="1"/>
  <c r="N914" i="17" s="1"/>
  <c r="I915" i="17" a="1"/>
  <c r="N915" i="17" s="1"/>
  <c r="I916" i="17" a="1"/>
  <c r="N916" i="17" s="1"/>
  <c r="I917" i="17" a="1"/>
  <c r="N917" i="17" s="1"/>
  <c r="I918" i="17" a="1"/>
  <c r="N918" i="17" s="1"/>
  <c r="I919" i="17" a="1"/>
  <c r="N919" i="17" s="1"/>
  <c r="I920" i="17" a="1"/>
  <c r="N920" i="17" s="1"/>
  <c r="I921" i="17" a="1"/>
  <c r="N921" i="17" s="1"/>
  <c r="I922" i="17" a="1"/>
  <c r="N922" i="17" s="1"/>
  <c r="I923" i="17" a="1"/>
  <c r="N923" i="17" s="1"/>
  <c r="I924" i="17" a="1"/>
  <c r="N924" i="17" s="1"/>
  <c r="I925" i="17" a="1"/>
  <c r="N925" i="17" s="1"/>
  <c r="I926" i="17" a="1"/>
  <c r="N926" i="17" s="1"/>
  <c r="I927" i="17" a="1"/>
  <c r="N927" i="17" s="1"/>
  <c r="I928" i="17" a="1"/>
  <c r="N928" i="17" s="1"/>
  <c r="I929" i="17" a="1"/>
  <c r="N929" i="17" s="1"/>
  <c r="I930" i="17" a="1"/>
  <c r="N930" i="17" s="1"/>
  <c r="I931" i="17" a="1"/>
  <c r="N931" i="17" s="1"/>
  <c r="I932" i="17" a="1"/>
  <c r="N932" i="17" s="1"/>
  <c r="I933" i="17" a="1"/>
  <c r="N933" i="17" s="1"/>
  <c r="I934" i="17" a="1"/>
  <c r="N934" i="17" s="1"/>
  <c r="I935" i="17" a="1"/>
  <c r="N935" i="17" s="1"/>
  <c r="I936" i="17" a="1"/>
  <c r="N936" i="17" s="1"/>
  <c r="I937" i="17" a="1"/>
  <c r="N937" i="17" s="1"/>
  <c r="I938" i="17" a="1"/>
  <c r="N938" i="17" s="1"/>
  <c r="I939" i="17" a="1"/>
  <c r="N939" i="17" s="1"/>
  <c r="I940" i="17" a="1"/>
  <c r="N940" i="17" s="1"/>
  <c r="I941" i="17" a="1"/>
  <c r="N941" i="17" s="1"/>
  <c r="I942" i="17" a="1"/>
  <c r="N942" i="17" s="1"/>
  <c r="I943" i="17" a="1"/>
  <c r="N943" i="17" s="1"/>
  <c r="I944" i="17" a="1"/>
  <c r="N944" i="17" s="1"/>
  <c r="I945" i="17" a="1"/>
  <c r="N945" i="17" s="1"/>
  <c r="I946" i="17" a="1"/>
  <c r="N946" i="17" s="1"/>
  <c r="I947" i="17" a="1"/>
  <c r="N947" i="17" s="1"/>
  <c r="I948" i="17" a="1"/>
  <c r="N948" i="17" s="1"/>
  <c r="I949" i="17" a="1"/>
  <c r="N949" i="17" s="1"/>
  <c r="I950" i="17" a="1"/>
  <c r="N950" i="17" s="1"/>
  <c r="I951" i="17" a="1"/>
  <c r="N951" i="17" s="1"/>
  <c r="I952" i="17" a="1"/>
  <c r="N952" i="17" s="1"/>
  <c r="I953" i="17" a="1"/>
  <c r="N953" i="17" s="1"/>
  <c r="I954" i="17" a="1"/>
  <c r="N954" i="17" s="1"/>
  <c r="I955" i="17" a="1"/>
  <c r="N955" i="17" s="1"/>
  <c r="I956" i="17" a="1"/>
  <c r="N956" i="17" s="1"/>
  <c r="I957" i="17" a="1"/>
  <c r="N957" i="17" s="1"/>
  <c r="I958" i="17" a="1"/>
  <c r="N958" i="17" s="1"/>
  <c r="I959" i="17" a="1"/>
  <c r="N959" i="17" s="1"/>
  <c r="I960" i="17" a="1"/>
  <c r="N960" i="17" s="1"/>
  <c r="I961" i="17" a="1"/>
  <c r="N961" i="17" s="1"/>
  <c r="I962" i="17" a="1"/>
  <c r="N962" i="17" s="1"/>
  <c r="I963" i="17" a="1"/>
  <c r="N963" i="17" s="1"/>
  <c r="I964" i="17" a="1"/>
  <c r="N964" i="17" s="1"/>
  <c r="I965" i="17" a="1"/>
  <c r="N965" i="17" s="1"/>
  <c r="I966" i="17" a="1"/>
  <c r="N966" i="17" s="1"/>
  <c r="I967" i="17" a="1"/>
  <c r="N967" i="17" s="1"/>
  <c r="I968" i="17" a="1"/>
  <c r="N968" i="17" s="1"/>
  <c r="I969" i="17" a="1"/>
  <c r="N969" i="17" s="1"/>
  <c r="I970" i="17" a="1"/>
  <c r="N970" i="17" s="1"/>
  <c r="I971" i="17" a="1"/>
  <c r="N971" i="17" s="1"/>
  <c r="I972" i="17" a="1"/>
  <c r="N972" i="17" s="1"/>
  <c r="I973" i="17" a="1"/>
  <c r="N973" i="17" s="1"/>
  <c r="I974" i="17" a="1"/>
  <c r="N974" i="17" s="1"/>
  <c r="I975" i="17" a="1"/>
  <c r="N975" i="17" s="1"/>
  <c r="I976" i="17" a="1"/>
  <c r="N976" i="17" s="1"/>
  <c r="I977" i="17" a="1"/>
  <c r="N977" i="17" s="1"/>
  <c r="I978" i="17" a="1"/>
  <c r="N978" i="17" s="1"/>
  <c r="I979" i="17" a="1"/>
  <c r="N979" i="17" s="1"/>
  <c r="I980" i="17" a="1"/>
  <c r="N980" i="17" s="1"/>
  <c r="I981" i="17" a="1"/>
  <c r="N981" i="17" s="1"/>
  <c r="I982" i="17" a="1"/>
  <c r="N982" i="17" s="1"/>
  <c r="I983" i="17" a="1"/>
  <c r="N983" i="17" s="1"/>
  <c r="I984" i="17" a="1"/>
  <c r="N984" i="17" s="1"/>
  <c r="I985" i="17" a="1"/>
  <c r="N985" i="17" s="1"/>
  <c r="I986" i="17" a="1"/>
  <c r="N986" i="17" s="1"/>
  <c r="I987" i="17" a="1"/>
  <c r="N987" i="17" s="1"/>
  <c r="I988" i="17" a="1"/>
  <c r="N988" i="17" s="1"/>
  <c r="I989" i="17" a="1"/>
  <c r="N989" i="17" s="1"/>
  <c r="I990" i="17" a="1"/>
  <c r="N990" i="17" s="1"/>
  <c r="I991" i="17" a="1"/>
  <c r="N991" i="17" s="1"/>
  <c r="I992" i="17" a="1"/>
  <c r="N992" i="17" s="1"/>
  <c r="I993" i="17" a="1"/>
  <c r="N993" i="17" s="1"/>
  <c r="I994" i="17" a="1"/>
  <c r="N994" i="17" s="1"/>
  <c r="I995" i="17" a="1"/>
  <c r="N995" i="17" s="1"/>
  <c r="I996" i="17" a="1"/>
  <c r="N996" i="17" s="1"/>
  <c r="I997" i="17" a="1"/>
  <c r="N997" i="17" s="1"/>
  <c r="I998" i="17" a="1"/>
  <c r="N998" i="17" s="1"/>
  <c r="I999" i="17" a="1"/>
  <c r="N999" i="17" s="1"/>
  <c r="I1000" i="17" a="1"/>
  <c r="N1000" i="17" s="1"/>
  <c r="I1001" i="17" a="1"/>
  <c r="N1001" i="17" s="1"/>
  <c r="I2" i="17" a="1"/>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<sst xmlns="http://schemas.openxmlformats.org/spreadsheetml/2006/main" count="11130" uniqueCount="6218">
  <si>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</si>
  <si>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</si>
  <si>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</si>
  <si>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</si>
  <si>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</si>
  <si>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</si>
  <si>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</si>
  <si>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</si>
  <si>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</si>
  <si>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</si>
  <si>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</si>
  <si>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</si>
  <si>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</si>
  <si>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</si>
  <si>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</si>
  <si>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</si>
  <si>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</si>
  <si>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</si>
  <si>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</si>
  <si>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</si>
  <si>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</si>
  <si>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</si>
  <si>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</si>
  <si>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</si>
  <si>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</si>
  <si>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</si>
  <si>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</si>
  <si>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</si>
  <si>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</si>
  <si>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</si>
  <si>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</si>
  <si>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</si>
  <si>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</si>
  <si>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</si>
  <si>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</si>
  <si>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</si>
  <si>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</si>
  <si>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</si>
  <si>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</si>
  <si>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</si>
  <si>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</si>
  <si>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</si>
  <si>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</si>
  <si>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</si>
  <si>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</si>
  <si>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</si>
  <si>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</si>
  <si>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</si>
  <si>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</si>
  <si>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</si>
  <si>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</si>
  <si>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</si>
  <si>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</si>
  <si>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</si>
  <si>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</si>
  <si>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</si>
  <si>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</si>
  <si>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</si>
  <si>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</si>
  <si>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</si>
  <si>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</si>
  <si>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</si>
  <si>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</si>
  <si>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</si>
  <si>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</si>
  <si>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</si>
  <si>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</si>
  <si>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</si>
  <si>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</si>
  <si>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</si>
  <si>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</si>
  <si>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</si>
  <si>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</si>
  <si>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</si>
  <si>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</si>
  <si>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</si>
  <si>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</si>
  <si>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</si>
  <si>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</si>
  <si>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</si>
  <si>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</si>
  <si>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</si>
  <si>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</si>
  <si>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</si>
  <si>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</si>
  <si>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</si>
  <si>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</si>
  <si>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</si>
  <si>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</si>
  <si>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</si>
  <si>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</si>
  <si>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</si>
  <si>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</si>
  <si>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</si>
  <si>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</si>
  <si>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</si>
  <si>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</si>
  <si>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</si>
  <si>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</si>
  <si>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</si>
  <si>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</si>
  <si>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</si>
  <si>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</si>
  <si>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</si>
  <si>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</si>
  <si>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</si>
  <si>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</si>
  <si>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</si>
  <si>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</si>
  <si>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</si>
  <si>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</si>
  <si>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</si>
  <si>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</si>
  <si>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</si>
  <si>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</si>
  <si>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</si>
  <si>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</si>
  <si>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</si>
  <si>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</si>
  <si>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</si>
  <si>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</si>
  <si>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</si>
  <si>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</si>
  <si>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</si>
  <si>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</si>
  <si>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</si>
  <si>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</si>
  <si>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</si>
  <si>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</si>
  <si>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</si>
  <si>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</si>
  <si>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</si>
  <si>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</si>
  <si>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</si>
  <si>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</si>
  <si>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</si>
  <si>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</si>
  <si>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</si>
  <si>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</si>
  <si>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</si>
  <si>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</si>
  <si>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</si>
  <si>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</si>
  <si>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</si>
  <si>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</si>
  <si>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</si>
  <si>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</si>
  <si>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</si>
  <si>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</si>
  <si>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</si>
  <si>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</si>
  <si>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</si>
  <si>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</si>
  <si>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</si>
  <si>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</si>
  <si>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</si>
  <si>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</si>
  <si>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</si>
  <si>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</si>
  <si>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</si>
  <si>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</si>
  <si>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</si>
  <si>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</si>
  <si>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</si>
  <si>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</si>
  <si>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</si>
  <si>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</si>
  <si>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</si>
  <si>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</si>
  <si>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</si>
  <si>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</si>
  <si>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</si>
  <si>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</si>
  <si>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</si>
  <si>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</si>
  <si>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</si>
  <si>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</si>
  <si>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</si>
  <si>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</si>
  <si>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</si>
  <si>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</si>
  <si>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</si>
  <si>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</si>
  <si>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</si>
  <si>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</si>
  <si>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</si>
  <si>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</si>
  <si>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</si>
  <si>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</si>
  <si>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</si>
  <si>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</si>
  <si>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</si>
  <si>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</si>
  <si>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</si>
  <si>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</si>
  <si>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</si>
  <si>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</si>
  <si>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</si>
  <si>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</si>
  <si>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</si>
  <si>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</si>
  <si>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</si>
  <si>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</si>
  <si>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</si>
  <si>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</si>
  <si>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</si>
  <si>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</si>
  <si>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</si>
  <si>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</si>
  <si>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</si>
  <si>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</si>
  <si>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</si>
  <si>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</si>
  <si>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</si>
  <si>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</si>
  <si>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</si>
  <si>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</si>
  <si>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</si>
  <si>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</si>
  <si>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</si>
  <si>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</si>
  <si>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</si>
  <si>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</si>
  <si>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</si>
  <si>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</si>
  <si>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</si>
  <si>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</si>
  <si>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</si>
  <si>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</si>
  <si>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</si>
  <si>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</si>
  <si>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</si>
  <si>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</si>
  <si>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</si>
  <si>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</si>
  <si>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</si>
  <si>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</si>
  <si>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</si>
  <si>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</si>
  <si>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</si>
  <si>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</si>
  <si>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</si>
  <si>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</si>
  <si>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</si>
  <si>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</si>
  <si>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</si>
  <si>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</si>
  <si>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</si>
  <si>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</si>
  <si>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</si>
  <si>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</si>
  <si>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</si>
  <si>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</si>
  <si>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</si>
  <si>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</si>
  <si>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</si>
  <si>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</si>
  <si>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</si>
  <si>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</si>
  <si>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</si>
  <si>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</si>
  <si>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</si>
  <si>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</si>
  <si>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</si>
  <si>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</si>
  <si>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</si>
  <si>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</si>
  <si>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</si>
  <si>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</si>
  <si>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</si>
  <si>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</si>
  <si>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</si>
  <si>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</si>
  <si>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</si>
  <si>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</si>
  <si>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</si>
  <si>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</si>
  <si>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</si>
  <si>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</si>
  <si>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</si>
  <si>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</si>
  <si>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</si>
  <si>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</si>
  <si>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</si>
  <si>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</si>
  <si>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</si>
  <si>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</si>
  <si>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</si>
  <si>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</si>
  <si>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</si>
  <si>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</si>
  <si>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</si>
  <si>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</si>
  <si>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</si>
  <si>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</si>
  <si>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</si>
  <si>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</si>
  <si>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</si>
  <si>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</si>
  <si>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</si>
  <si>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</si>
  <si>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</si>
  <si>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</si>
  <si>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</si>
  <si>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</si>
  <si>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</si>
  <si>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</si>
  <si>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</si>
  <si>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</si>
  <si>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</si>
  <si>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</si>
  <si>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</si>
  <si>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</si>
  <si>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</si>
  <si>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</si>
  <si>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</si>
  <si>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</si>
  <si>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</si>
  <si>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</si>
  <si>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</si>
  <si>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</si>
  <si>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</si>
  <si>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</si>
  <si>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</si>
  <si>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</si>
  <si>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</si>
  <si>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</si>
  <si>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</si>
  <si>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</si>
  <si>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</si>
  <si>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</si>
  <si>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</si>
  <si>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</si>
  <si>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</si>
  <si>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</si>
  <si>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</si>
  <si>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</si>
  <si>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</si>
  <si>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</si>
  <si>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</si>
  <si>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</si>
  <si>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</si>
  <si>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</si>
  <si>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</si>
  <si>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</si>
  <si>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</si>
  <si>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</si>
  <si>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</si>
  <si>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</si>
  <si>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</si>
  <si>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</si>
  <si>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</si>
  <si>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</si>
  <si>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</si>
  <si>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</si>
  <si>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</si>
  <si>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</si>
  <si>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</si>
  <si>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</si>
  <si>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</si>
  <si>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</si>
  <si>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</si>
  <si>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</si>
  <si>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</si>
  <si>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</si>
  <si>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</si>
  <si>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</si>
  <si>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</si>
  <si>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</si>
  <si>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</si>
  <si>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</si>
  <si>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</si>
  <si>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</si>
  <si>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</si>
  <si>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</si>
  <si>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</si>
  <si>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</si>
  <si>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</si>
  <si>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</si>
  <si>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</si>
  <si>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</si>
  <si>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</si>
  <si>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</si>
  <si>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</si>
  <si>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</si>
  <si>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</si>
  <si>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</si>
  <si>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</si>
  <si>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</si>
  <si>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</si>
  <si>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</si>
  <si>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</si>
  <si>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</si>
  <si>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</si>
  <si>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</si>
  <si>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</si>
  <si>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</si>
  <si>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</si>
  <si>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</si>
  <si>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</si>
  <si>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</si>
  <si>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</si>
  <si>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</si>
  <si>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</si>
  <si>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</si>
  <si>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</si>
  <si>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</si>
  <si>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</si>
  <si>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</si>
  <si>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</si>
  <si>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</si>
  <si>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</si>
  <si>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</si>
  <si>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</si>
  <si>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</si>
  <si>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</si>
  <si>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</si>
  <si>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</si>
  <si>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</si>
  <si>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</si>
  <si>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</si>
  <si>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</si>
  <si>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</si>
  <si>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</si>
  <si>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</si>
  <si>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</si>
  <si>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</si>
  <si>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</si>
  <si>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</si>
  <si>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</si>
  <si>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</si>
  <si>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</si>
  <si>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</si>
  <si>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</si>
  <si>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</si>
  <si>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</si>
  <si>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</si>
  <si>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</si>
  <si>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</si>
  <si>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</si>
  <si>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</si>
  <si>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</si>
  <si>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</si>
  <si>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</si>
  <si>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</si>
  <si>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</si>
  <si>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</si>
  <si>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</si>
  <si>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</si>
  <si>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</si>
  <si>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</si>
  <si>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</si>
  <si>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</si>
  <si>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</si>
  <si>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</si>
  <si>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</si>
  <si>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</si>
  <si>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</si>
  <si>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</si>
  <si>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</si>
  <si>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</si>
  <si>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</si>
  <si>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</si>
  <si>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</si>
  <si>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</si>
  <si>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</si>
  <si>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</si>
  <si>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</si>
  <si>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</si>
  <si>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</si>
  <si>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</si>
  <si>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</si>
  <si>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</si>
  <si>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</si>
  <si>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</si>
  <si>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</si>
  <si>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</si>
  <si>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</si>
  <si>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</si>
  <si>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</si>
  <si>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</si>
  <si>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</si>
  <si>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</si>
  <si>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</si>
  <si>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</si>
  <si>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</si>
  <si>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</si>
  <si>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</si>
  <si>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</si>
  <si>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</si>
  <si>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</si>
  <si>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</si>
  <si>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</si>
  <si>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</si>
  <si>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</si>
  <si>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</si>
  <si>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</si>
  <si>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</si>
  <si>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</si>
  <si>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</si>
  <si>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</si>
  <si>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</si>
  <si>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</si>
  <si>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</si>
  <si>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</si>
  <si>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</si>
  <si>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</si>
  <si>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</si>
  <si>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</si>
  <si>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</si>
  <si>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</si>
  <si>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</si>
  <si>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</si>
  <si>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</si>
  <si>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</si>
  <si>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</si>
  <si>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</si>
  <si>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</si>
  <si>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</si>
  <si>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</si>
  <si>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</si>
  <si>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</si>
  <si>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</si>
  <si>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</si>
  <si>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</si>
  <si>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</si>
  <si>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</si>
  <si>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</si>
  <si>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</si>
  <si>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</si>
  <si>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</si>
  <si>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</si>
  <si>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</si>
  <si>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</si>
  <si>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</si>
  <si>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</si>
  <si>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</si>
  <si>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</si>
  <si>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</si>
  <si>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</si>
  <si>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</si>
  <si>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</si>
  <si>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</si>
  <si>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</si>
  <si>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</si>
  <si>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</si>
  <si>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</si>
  <si>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</si>
  <si>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</si>
  <si>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</si>
  <si>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</si>
  <si>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</si>
  <si>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</si>
  <si>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</si>
  <si>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</si>
  <si>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</si>
  <si>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</si>
  <si>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</si>
  <si>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</si>
  <si>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</si>
  <si>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</si>
  <si>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</si>
  <si>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</si>
  <si>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</si>
  <si>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</si>
  <si>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</si>
  <si>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</si>
  <si>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</si>
  <si>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</si>
  <si>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</si>
  <si>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</si>
  <si>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</si>
  <si>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</si>
  <si>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</si>
  <si>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</si>
  <si>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</si>
  <si>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</si>
  <si>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</si>
  <si>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</si>
  <si>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</si>
  <si>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</si>
  <si>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</si>
  <si>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</si>
  <si>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</si>
  <si>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</si>
  <si>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</si>
  <si>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</si>
  <si>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</si>
  <si>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</si>
  <si>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</si>
  <si>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</si>
  <si>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</si>
  <si>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</si>
  <si>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</si>
  <si>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</si>
  <si>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</si>
  <si>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</si>
  <si>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</si>
  <si>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</si>
  <si>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</si>
  <si>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</si>
  <si>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</si>
  <si>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</si>
  <si>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</si>
  <si>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</si>
  <si>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</si>
  <si>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</si>
  <si>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</si>
  <si>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</si>
  <si>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</si>
  <si>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</si>
  <si>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</si>
  <si>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</si>
  <si>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</si>
  <si>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</si>
  <si>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</si>
  <si>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</si>
  <si>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</si>
  <si>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</si>
  <si>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</si>
  <si>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</si>
  <si>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</si>
  <si>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</si>
  <si>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</si>
  <si>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</si>
  <si>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</si>
  <si>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</si>
  <si>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</si>
  <si>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</si>
  <si>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</si>
  <si>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</si>
  <si>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</si>
  <si>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</si>
  <si>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</si>
  <si>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</si>
  <si>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</si>
  <si>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</si>
  <si>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</si>
  <si>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</si>
  <si>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</si>
  <si>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</si>
  <si>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</si>
  <si>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</si>
  <si>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</si>
  <si>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</si>
  <si>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</si>
  <si>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</si>
  <si>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</si>
  <si>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</si>
  <si>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</si>
  <si>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</si>
  <si>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</si>
  <si>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</si>
  <si>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</si>
  <si>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</si>
  <si>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</si>
  <si>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</si>
  <si>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</si>
  <si>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</si>
  <si>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</si>
  <si>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</si>
  <si>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</si>
  <si>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</si>
  <si>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</si>
  <si>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</si>
  <si>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</si>
  <si>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</si>
  <si>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</si>
  <si>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</si>
  <si>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</si>
  <si>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</si>
  <si>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</si>
  <si>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</si>
  <si>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</si>
  <si>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</si>
  <si>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</si>
  <si>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</si>
  <si>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</si>
  <si>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</si>
  <si>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</si>
  <si>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</si>
  <si>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</si>
  <si>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</si>
  <si>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</si>
  <si>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</si>
  <si>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</si>
  <si>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</si>
  <si>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</si>
  <si>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</si>
  <si>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</si>
  <si>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</si>
  <si>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</si>
  <si>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</si>
  <si>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</si>
  <si>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</si>
  <si>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</si>
  <si>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</si>
  <si>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</si>
  <si>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</si>
  <si>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</si>
  <si>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</si>
  <si>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</si>
  <si>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</si>
  <si>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</si>
  <si>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</si>
  <si>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</si>
  <si>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</si>
  <si>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</si>
  <si>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</si>
  <si>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</si>
  <si>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</si>
  <si>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</si>
  <si>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</si>
  <si>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</si>
  <si>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</si>
  <si>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</si>
  <si>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</si>
  <si>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</si>
  <si>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</si>
  <si>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</si>
  <si>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</si>
  <si>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</si>
  <si>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</si>
  <si>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</si>
  <si>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</si>
  <si>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</si>
  <si>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</si>
  <si>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</si>
  <si>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</si>
  <si>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</si>
  <si>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</si>
  <si>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</si>
  <si>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</si>
  <si>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</si>
  <si>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</si>
  <si>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</si>
  <si>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</si>
  <si>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</si>
  <si>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</si>
  <si>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</si>
  <si>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</si>
  <si>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</si>
  <si>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</si>
  <si>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</si>
  <si>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</si>
  <si>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</si>
  <si>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</si>
  <si>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</si>
  <si>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</si>
  <si>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</si>
  <si>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</si>
  <si>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</si>
  <si>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</si>
  <si>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</si>
  <si>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</si>
  <si>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</si>
  <si>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</si>
  <si>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</si>
  <si>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</si>
  <si>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</si>
  <si>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</si>
  <si>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</si>
  <si>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</si>
  <si>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</si>
  <si>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</si>
  <si>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</si>
  <si>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</si>
  <si>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</si>
  <si>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</si>
  <si>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</si>
  <si>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</si>
  <si>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</si>
  <si>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</si>
  <si>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</si>
  <si>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</si>
  <si>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</si>
  <si>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</si>
  <si>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</si>
  <si>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</si>
  <si>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</si>
  <si>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</si>
  <si>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</si>
  <si>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</si>
  <si>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</si>
  <si>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</si>
  <si>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</si>
  <si>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</si>
  <si>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</si>
  <si>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</si>
  <si>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</si>
  <si>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</si>
  <si>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</si>
  <si>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</si>
  <si>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</si>
  <si>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</si>
  <si>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</si>
  <si>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</si>
  <si>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</si>
  <si>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</si>
  <si>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</si>
  <si>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</si>
  <si>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</si>
  <si>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</si>
  <si>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</si>
  <si>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</si>
  <si>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</si>
  <si>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</si>
  <si>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</si>
  <si>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</si>
  <si>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</si>
  <si>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</si>
  <si>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</si>
  <si>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</si>
  <si>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</si>
  <si>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</si>
  <si>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</si>
  <si>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</si>
  <si>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</si>
  <si>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</si>
  <si>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</si>
  <si>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</si>
  <si>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</si>
  <si>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</si>
  <si>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</si>
  <si>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</si>
  <si>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</si>
  <si>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</si>
  <si>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</si>
  <si>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</si>
  <si>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</si>
  <si>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</si>
  <si>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</si>
  <si>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</si>
  <si>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</si>
  <si>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</si>
  <si>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</si>
  <si>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</si>
  <si>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</si>
  <si>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</si>
  <si>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</si>
  <si>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</si>
  <si>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</si>
  <si>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</si>
  <si>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</si>
  <si>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</si>
  <si>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</si>
  <si>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</si>
  <si>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</si>
  <si>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</si>
  <si>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</si>
  <si>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</si>
  <si>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</si>
  <si>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</si>
  <si>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</si>
  <si>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</si>
  <si>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</si>
  <si>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</si>
  <si>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</si>
  <si>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</si>
  <si>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</si>
  <si>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</si>
  <si>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</si>
  <si>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</si>
  <si>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</si>
  <si>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</si>
  <si>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</si>
  <si>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</si>
  <si>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</si>
  <si>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</si>
  <si>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</si>
  <si>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</si>
  <si>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</si>
  <si>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</si>
  <si>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</si>
  <si>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</si>
  <si>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</si>
  <si>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</si>
  <si>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</si>
  <si>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</si>
  <si>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</si>
  <si>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</si>
  <si>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</si>
  <si>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</si>
  <si>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</si>
  <si>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</si>
  <si>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</si>
  <si>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</si>
  <si>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</si>
  <si>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</si>
  <si>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</si>
  <si>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</si>
  <si>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</si>
  <si>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</si>
  <si>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</si>
  <si>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</si>
  <si>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</si>
  <si>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</si>
  <si>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</si>
  <si>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</si>
  <si>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</si>
  <si>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</si>
  <si>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</si>
  <si>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</si>
  <si>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</si>
  <si>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</si>
  <si>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</si>
  <si>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</si>
  <si>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</si>
  <si>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</si>
  <si>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</si>
  <si>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</si>
  <si>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</si>
  <si>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</si>
  <si>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</si>
  <si>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</si>
  <si>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</si>
  <si>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</si>
  <si>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</si>
  <si>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</si>
  <si>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</si>
  <si>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</si>
  <si>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</si>
  <si>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</si>
  <si>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</si>
  <si>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</si>
  <si>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</si>
  <si>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</si>
  <si>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</si>
  <si>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</si>
  <si>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</si>
  <si>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</si>
  <si>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</si>
  <si>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</si>
  <si>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</si>
  <si>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</si>
  <si>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</si>
  <si>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</si>
  <si>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</si>
  <si>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</si>
  <si>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</si>
  <si>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</si>
  <si>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</si>
  <si>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</si>
  <si>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</si>
  <si>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</si>
  <si>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</si>
  <si>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</si>
  <si>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</si>
  <si>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</si>
  <si>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</si>
  <si>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</si>
  <si>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</si>
  <si>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</si>
  <si>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</si>
  <si>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</si>
  <si>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</si>
  <si>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</si>
  <si>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</si>
  <si>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</si>
  <si>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</si>
  <si>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</si>
  <si>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</si>
  <si>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</si>
  <si>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</si>
  <si>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</si>
  <si>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</si>
  <si>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</si>
  <si>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</si>
  <si>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</si>
  <si>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</si>
  <si>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</si>
  <si>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</si>
  <si>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</si>
  <si>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</si>
  <si>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</si>
  <si>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</si>
  <si>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</si>
  <si>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</si>
  <si>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</si>
  <si>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</si>
  <si>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</si>
  <si>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</si>
  <si>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</si>
  <si>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</si>
  <si>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</si>
  <si>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</si>
  <si>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</si>
  <si>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</si>
  <si>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</si>
  <si>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</si>
  <si>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</si>
  <si>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</si>
  <si>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</si>
  <si>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</si>
  <si>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</si>
  <si>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</si>
  <si>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</si>
  <si>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</si>
  <si>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</si>
  <si>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</si>
  <si>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</si>
  <si>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</si>
  <si>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</si>
  <si>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</si>
  <si>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</si>
  <si>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</si>
  <si>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</si>
  <si>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</si>
  <si>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</si>
  <si>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</si>
  <si>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</si>
  <si>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</si>
  <si>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</si>
  <si>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</si>
  <si>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</si>
  <si>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</si>
  <si>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</si>
  <si>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</si>
  <si>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</si>
  <si>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</si>
  <si>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</si>
  <si>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</si>
  <si>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</si>
  <si>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</si>
  <si>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</si>
  <si>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</si>
  <si>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</si>
  <si>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</si>
  <si>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</si>
  <si>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</si>
  <si>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</si>
  <si>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</si>
  <si>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</si>
  <si>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</si>
  <si>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</si>
  <si>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</si>
  <si>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</si>
  <si>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</si>
  <si>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</si>
  <si>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</si>
  <si>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</si>
  <si>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</si>
  <si>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</si>
  <si>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</si>
  <si>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</si>
  <si>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</si>
  <si>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</si>
  <si>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</si>
  <si>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</si>
  <si>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</si>
  <si>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</si>
  <si>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</si>
  <si>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</si>
  <si>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</si>
  <si>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</si>
  <si>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</si>
  <si>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</si>
  <si>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</si>
  <si>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</si>
  <si>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</si>
  <si>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</si>
  <si>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</si>
  <si>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</si>
  <si>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</si>
  <si>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</si>
  <si>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</si>
  <si>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</si>
  <si>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</si>
  <si>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</si>
  <si>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</si>
  <si>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</si>
  <si>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</si>
  <si>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</si>
  <si>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</si>
  <si>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</si>
  <si>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</si>
  <si>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</si>
  <si>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</si>
  <si>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</si>
  <si>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</si>
  <si>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</si>
  <si>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</si>
  <si>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</si>
  <si>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</si>
  <si>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</si>
  <si>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</si>
  <si>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</si>
  <si>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</si>
  <si>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</si>
  <si>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</si>
  <si>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</si>
  <si>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</si>
  <si>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</si>
  <si>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</si>
  <si>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</si>
  <si>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</si>
  <si>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</si>
  <si>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</si>
  <si>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</si>
  <si>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</si>
  <si>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</si>
  <si>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</si>
  <si>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</si>
  <si>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</si>
  <si>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</si>
  <si>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</si>
  <si>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</si>
  <si>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</si>
  <si>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</si>
  <si>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</si>
  <si>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</si>
  <si>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</si>
  <si>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</si>
  <si>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</si>
  <si>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</si>
  <si>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</si>
  <si>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</si>
  <si>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</si>
  <si>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</si>
  <si>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</si>
  <si>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</si>
  <si>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</si>
  <si>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</si>
  <si>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</si>
  <si>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</si>
  <si>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</si>
  <si>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</si>
  <si>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</si>
  <si>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</si>
  <si>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</si>
  <si>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</si>
  <si>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</si>
  <si>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</si>
  <si>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</si>
  <si>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</si>
  <si>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</si>
  <si>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</si>
  <si>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</si>
  <si>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</si>
  <si>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</si>
  <si>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</si>
  <si>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</si>
  <si>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</si>
  <si>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</si>
  <si>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</si>
  <si>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</si>
  <si>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</si>
  <si>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</si>
  <si>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</si>
  <si>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</si>
  <si>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</si>
  <si>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</si>
  <si>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</si>
  <si>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</si>
  <si>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</si>
  <si>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</si>
  <si>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</si>
  <si>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</si>
  <si>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</si>
  <si>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</si>
  <si>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</si>
  <si>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</si>
  <si>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</si>
  <si>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</si>
  <si>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</si>
  <si>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</si>
  <si>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</si>
  <si>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</si>
  <si>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</si>
  <si>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</si>
  <si>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</si>
  <si>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</si>
  <si>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</si>
  <si>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</si>
  <si>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</si>
  <si>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</si>
  <si>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</si>
  <si>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</si>
  <si>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</si>
  <si>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</si>
  <si>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</si>
  <si>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</si>
  <si>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</si>
  <si>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</si>
  <si>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</si>
  <si>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</si>
  <si>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</si>
  <si>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</si>
  <si>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</si>
  <si>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</si>
  <si>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</si>
  <si>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</si>
  <si>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</si>
  <si>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</si>
  <si>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</si>
  <si>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</si>
  <si>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</si>
  <si>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</si>
  <si>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</si>
  <si>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</si>
  <si>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</si>
  <si>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</si>
  <si>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</si>
  <si>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</si>
  <si>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</si>
  <si>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</si>
  <si>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</si>
  <si>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</si>
  <si>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</si>
  <si>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</si>
  <si>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</si>
  <si>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</si>
  <si>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</si>
  <si>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</si>
  <si>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</si>
  <si>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</si>
  <si>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</si>
  <si>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</si>
  <si>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</si>
  <si>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</si>
  <si>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</si>
  <si>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</si>
  <si>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</si>
  <si>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</si>
  <si>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</si>
  <si>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</si>
  <si>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</si>
  <si>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</si>
  <si>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</si>
  <si>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</si>
  <si>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</si>
  <si>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</si>
  <si>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</si>
  <si>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</si>
  <si>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</si>
  <si>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</si>
  <si>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</si>
  <si>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</si>
  <si>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</si>
  <si>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</si>
  <si>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</si>
  <si>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</si>
  <si>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</si>
  <si>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</si>
  <si>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</si>
  <si>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</si>
  <si>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</si>
  <si>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</si>
  <si>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</si>
  <si>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</si>
  <si>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</si>
  <si>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</si>
  <si>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</si>
  <si>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</si>
  <si>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</si>
  <si>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</si>
  <si>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</si>
  <si>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</si>
  <si>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</si>
  <si>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</si>
  <si>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</si>
  <si>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</si>
  <si>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</si>
  <si>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</si>
  <si>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</si>
  <si>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</si>
  <si>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</si>
  <si>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</si>
  <si>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</si>
  <si>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</si>
  <si>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</si>
  <si>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</si>
  <si>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</si>
  <si>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</si>
  <si>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</si>
  <si>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</si>
  <si>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</si>
  <si>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</si>
  <si>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</si>
  <si>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</si>
  <si>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</si>
  <si>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</si>
  <si>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</si>
  <si>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</si>
  <si>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</si>
  <si>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</si>
  <si>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</si>
  <si>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</si>
  <si>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</si>
  <si>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</si>
  <si>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</si>
  <si>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</si>
  <si>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</si>
  <si>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</si>
  <si>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</si>
  <si>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</si>
  <si>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</si>
  <si>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</si>
  <si>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</si>
  <si>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</si>
  <si>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</si>
  <si>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</si>
  <si>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</si>
  <si>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</si>
  <si>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</si>
  <si>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</si>
  <si>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</si>
  <si>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</si>
  <si>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</si>
  <si>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</si>
  <si>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</si>
  <si>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</si>
  <si>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</si>
  <si>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</si>
  <si>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</si>
  <si>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</si>
  <si>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</si>
  <si>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</si>
  <si>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</si>
  <si>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</si>
  <si>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</si>
  <si>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</si>
  <si>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</si>
  <si>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</si>
  <si>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</si>
  <si>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</si>
  <si>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</si>
  <si>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</si>
  <si>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</si>
  <si>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</si>
  <si>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</si>
  <si>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</si>
  <si>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</si>
  <si>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</si>
  <si>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</si>
  <si>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</si>
  <si>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</si>
  <si>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</si>
  <si>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</si>
  <si>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</si>
  <si>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</si>
  <si>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</si>
  <si>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</si>
  <si>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</si>
  <si>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</si>
  <si>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</si>
  <si>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</si>
  <si>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</si>
  <si>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</si>
  <si>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</si>
  <si>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</si>
  <si>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</si>
  <si>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</si>
  <si>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</si>
  <si>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</si>
  <si>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</si>
  <si>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</si>
  <si>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</si>
  <si>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</si>
  <si>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</si>
  <si>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</si>
  <si>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</si>
  <si>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</si>
  <si>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</si>
  <si>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</si>
  <si>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</si>
  <si>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</si>
  <si>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</si>
  <si>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</si>
  <si>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</si>
  <si>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</si>
  <si>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</si>
  <si>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</si>
  <si>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</si>
  <si>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</si>
  <si>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</si>
  <si>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</si>
  <si>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</si>
  <si>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</si>
  <si>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</si>
  <si>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</si>
  <si>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</si>
  <si>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</si>
  <si>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</si>
  <si>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</si>
  <si>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</si>
  <si>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</si>
  <si>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</si>
  <si>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</si>
  <si>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</si>
  <si>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</si>
  <si>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</si>
  <si>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</si>
  <si>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</si>
  <si>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</si>
  <si>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</si>
  <si>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</si>
  <si>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</si>
  <si>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</si>
  <si>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</si>
  <si>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</si>
  <si>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</si>
  <si>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</si>
  <si>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</si>
  <si>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</si>
  <si>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</si>
  <si>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</si>
  <si>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</si>
  <si>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</si>
  <si>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</si>
  <si>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</si>
  <si>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</si>
  <si>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</si>
  <si>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</si>
  <si>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</si>
  <si>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</si>
  <si>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</si>
  <si>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</si>
  <si>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</si>
  <si>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</si>
  <si>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</si>
  <si>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</si>
  <si>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</si>
  <si>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</si>
  <si>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</si>
  <si>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</si>
  <si>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</si>
  <si>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</si>
  <si>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</si>
  <si>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</si>
  <si>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</si>
  <si>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</si>
  <si>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</si>
  <si>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</si>
  <si>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</si>
  <si>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</si>
  <si>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</si>
  <si>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</si>
  <si>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</si>
  <si>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</si>
  <si>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</si>
  <si>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</si>
  <si>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</si>
  <si>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</si>
  <si>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</si>
  <si>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</si>
  <si>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</si>
  <si>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</si>
  <si>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</si>
  <si>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</si>
  <si>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</si>
  <si>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</si>
  <si>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</si>
  <si>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</si>
  <si>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</si>
  <si>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</si>
  <si>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</si>
  <si>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</si>
  <si>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</si>
  <si>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</si>
  <si>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</si>
  <si>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</si>
  <si>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</si>
  <si>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</si>
  <si>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</si>
  <si>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</si>
  <si>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</si>
  <si>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</si>
  <si>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</si>
  <si>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</si>
  <si>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</si>
  <si>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</si>
  <si>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</si>
  <si>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</si>
  <si>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</si>
  <si>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</si>
  <si>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</si>
  <si>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</si>
  <si>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</si>
  <si>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</si>
  <si>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</si>
  <si>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</si>
  <si>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</si>
  <si>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</si>
  <si>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</si>
  <si>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</si>
  <si>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</si>
  <si>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</si>
  <si>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</si>
  <si>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</si>
  <si>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</si>
  <si>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</si>
  <si>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</si>
  <si>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</si>
  <si>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</si>
  <si>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</si>
  <si>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</si>
  <si>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</si>
  <si>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</si>
  <si>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</si>
  <si>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</si>
  <si>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</si>
  <si>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</si>
  <si>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</si>
  <si>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</si>
  <si>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</si>
  <si>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</si>
  <si>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</si>
  <si>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</si>
  <si>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</si>
  <si>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</si>
  <si>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</si>
  <si>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</si>
  <si>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</si>
  <si>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</si>
  <si>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</si>
  <si>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</si>
  <si>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</si>
  <si>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</si>
  <si>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</si>
  <si>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</si>
  <si>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</si>
  <si>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</si>
  <si>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</si>
  <si>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</si>
  <si>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</si>
  <si>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</si>
  <si>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</si>
  <si>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</si>
  <si>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</si>
  <si>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</si>
  <si>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</si>
  <si>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</si>
  <si>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</si>
  <si>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</si>
  <si>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</si>
  <si>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</si>
  <si>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</si>
  <si>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</si>
  <si>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</si>
  <si>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</si>
  <si>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</si>
  <si>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</si>
  <si>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</si>
  <si>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</si>
  <si>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</si>
  <si>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</si>
  <si>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</si>
  <si>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</si>
  <si>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</si>
  <si>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</si>
  <si>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</si>
  <si>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</si>
  <si>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</si>
  <si>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</si>
  <si>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</si>
  <si>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</si>
  <si>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</si>
  <si>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</si>
  <si>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</si>
  <si>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</si>
  <si>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</si>
  <si>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</si>
  <si>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</si>
  <si>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</si>
  <si>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</si>
  <si>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</si>
  <si>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</si>
  <si>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</si>
  <si>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</si>
  <si>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</si>
  <si>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</si>
  <si>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</si>
  <si>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</si>
  <si>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</si>
  <si>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</si>
  <si>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</si>
  <si>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</si>
  <si>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</si>
  <si>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</si>
  <si>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</si>
  <si>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</si>
  <si>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</si>
  <si>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</si>
  <si>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</si>
  <si>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</si>
  <si>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</si>
  <si>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</si>
  <si>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</si>
  <si>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</si>
  <si>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</si>
  <si>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</si>
  <si>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</si>
  <si>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</si>
  <si>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</si>
  <si>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</si>
  <si>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</si>
  <si>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</si>
  <si>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</si>
  <si>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</si>
  <si>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</si>
  <si>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</si>
  <si>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</si>
  <si>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</si>
  <si>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</si>
  <si>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</si>
  <si>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</si>
  <si>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</si>
  <si>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</si>
  <si>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</si>
  <si>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</si>
  <si>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</si>
  <si>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</si>
  <si>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</si>
  <si>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</si>
  <si>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</si>
  <si>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</si>
  <si>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</si>
  <si>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</si>
  <si>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</si>
  <si>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</si>
  <si>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</si>
  <si>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</si>
  <si>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</si>
  <si>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</si>
  <si>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</si>
  <si>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</si>
  <si>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</si>
  <si>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</si>
  <si>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</si>
  <si>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</si>
  <si>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</si>
  <si>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</si>
  <si>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</si>
  <si>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</si>
  <si>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</si>
  <si>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</si>
  <si>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</si>
  <si>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</si>
  <si>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</si>
  <si>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</si>
  <si>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</si>
  <si>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</si>
  <si>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</si>
  <si>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</si>
  <si>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</si>
  <si>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</si>
  <si>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</si>
  <si>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</si>
  <si>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</si>
  <si>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</si>
  <si>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</si>
  <si>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</si>
  <si>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</si>
  <si>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</si>
  <si>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</si>
  <si>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</si>
  <si>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</si>
  <si>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</si>
  <si>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</si>
  <si>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</si>
  <si>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</si>
  <si>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</si>
  <si>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</si>
  <si>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</si>
  <si>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</si>
  <si>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</si>
  <si>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</si>
  <si>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</si>
  <si>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</si>
  <si>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</si>
  <si>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</si>
  <si>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</si>
  <si>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</si>
  <si>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</si>
  <si>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</si>
  <si>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</si>
  <si>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</si>
  <si>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</si>
  <si>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</si>
  <si>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</si>
  <si>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</si>
  <si>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</si>
  <si>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</si>
  <si>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</si>
  <si>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</si>
  <si>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</si>
  <si>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</si>
  <si>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</si>
  <si>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</si>
  <si>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</si>
  <si>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</si>
  <si>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</si>
  <si>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</si>
  <si>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</si>
  <si>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</si>
  <si>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</si>
  <si>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</si>
  <si>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</si>
  <si>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</si>
  <si>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</si>
  <si>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</si>
  <si>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</si>
  <si>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</si>
  <si>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</si>
  <si>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</si>
  <si>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</si>
  <si>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</si>
  <si>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</si>
  <si>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</si>
  <si>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</si>
  <si>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</si>
  <si>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</si>
  <si>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</si>
  <si>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</si>
  <si>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</si>
  <si>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</si>
  <si>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</si>
  <si>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</si>
  <si>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</si>
  <si>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</si>
  <si>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</si>
  <si>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</si>
  <si>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</si>
  <si>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</si>
  <si>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</si>
  <si>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</si>
  <si>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</si>
  <si>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</si>
  <si>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</si>
  <si>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</si>
  <si>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</si>
  <si>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</si>
  <si>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</si>
  <si>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</si>
  <si>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</si>
  <si>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</si>
  <si>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</si>
  <si>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</si>
  <si>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</si>
  <si>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</si>
  <si>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</si>
  <si>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</si>
  <si>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</si>
  <si>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</si>
  <si>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</si>
  <si>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</si>
  <si>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</si>
  <si>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</si>
  <si>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</si>
  <si>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</si>
  <si>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</si>
  <si>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</si>
  <si>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</si>
  <si>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</si>
  <si>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</si>
  <si>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</si>
  <si>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</si>
  <si>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</si>
  <si>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</si>
  <si>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</si>
  <si>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</si>
  <si>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</si>
  <si>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</si>
  <si>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</si>
  <si>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</si>
  <si>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</si>
  <si>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</si>
  <si>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</si>
  <si>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</si>
  <si>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</si>
  <si>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</si>
  <si>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</si>
  <si>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</si>
  <si>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</si>
  <si>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</si>
  <si>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</si>
  <si>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</si>
  <si>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</si>
  <si>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</si>
  <si>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</si>
  <si>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</si>
  <si>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</si>
  <si>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</si>
  <si>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</si>
  <si>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</si>
  <si>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</si>
  <si>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</si>
  <si>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</si>
  <si>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</si>
  <si>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</si>
  <si>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</si>
  <si>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</si>
  <si>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</si>
  <si>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</si>
  <si>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</si>
  <si>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</si>
  <si>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</si>
  <si>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</si>
  <si>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</si>
  <si>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</si>
  <si>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</si>
  <si>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</si>
  <si>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</si>
  <si>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</si>
  <si>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</si>
  <si>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</si>
  <si>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</si>
  <si>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</si>
  <si>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</si>
  <si>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</si>
  <si>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</si>
  <si>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</si>
  <si>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</si>
  <si>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</si>
  <si>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</si>
  <si>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</si>
  <si>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</si>
  <si>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</si>
  <si>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</si>
  <si>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</si>
  <si>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</si>
  <si>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</si>
  <si>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</si>
  <si>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</si>
  <si>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</si>
  <si>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</si>
  <si>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</si>
  <si>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</si>
  <si>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</si>
  <si>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</si>
  <si>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</si>
  <si>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</si>
  <si>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</si>
  <si>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</si>
  <si>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</si>
  <si>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</si>
  <si>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</si>
  <si>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</si>
  <si>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</si>
  <si>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</si>
  <si>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</si>
  <si>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</si>
  <si>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</si>
  <si>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</si>
  <si>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</si>
  <si>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</si>
  <si>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</si>
  <si>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</si>
  <si>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</si>
  <si>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</si>
  <si>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</si>
  <si>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</si>
  <si>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</si>
  <si>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</si>
  <si>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</si>
  <si>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</si>
  <si>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</si>
  <si>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</si>
  <si>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</si>
  <si>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</si>
  <si>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</si>
  <si>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</si>
  <si>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</si>
  <si>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</si>
  <si>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</si>
  <si>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</si>
  <si>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</si>
  <si>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</si>
  <si>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</si>
  <si>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</si>
  <si>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</si>
  <si>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</si>
  <si>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</si>
  <si>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</si>
  <si>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</si>
  <si>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</si>
  <si>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</si>
  <si>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</si>
  <si>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</si>
  <si>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</si>
  <si>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</si>
  <si>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</si>
  <si>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</si>
  <si>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</si>
  <si>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</si>
  <si>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</si>
  <si>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</si>
  <si>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</si>
  <si>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</si>
  <si>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</si>
  <si>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</si>
  <si>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</si>
  <si>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</si>
  <si>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</si>
  <si>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</si>
  <si>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</si>
  <si>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</si>
  <si>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</si>
  <si>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</si>
  <si>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</si>
  <si>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</si>
  <si>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</si>
  <si>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</si>
  <si>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</si>
  <si>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</si>
  <si>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</si>
  <si>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</si>
  <si>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</si>
  <si>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</si>
  <si>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</si>
  <si>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</si>
  <si>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</si>
  <si>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</si>
  <si>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</si>
  <si>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</si>
  <si>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</si>
  <si>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</si>
  <si>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</si>
  <si>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</si>
  <si>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</si>
  <si>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</si>
  <si>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</si>
  <si>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</si>
  <si>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</si>
  <si>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</si>
  <si>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</si>
  <si>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</si>
  <si>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</si>
  <si>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</si>
  <si>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</si>
  <si>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</si>
  <si>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</si>
  <si>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</si>
  <si>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</si>
  <si>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</si>
  <si>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</si>
  <si>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</si>
  <si>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</si>
  <si>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</si>
  <si>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</si>
  <si>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</si>
  <si>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</si>
  <si>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</si>
  <si>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</si>
  <si>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</si>
  <si>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</si>
  <si>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</si>
  <si>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</si>
  <si>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</si>
  <si>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</si>
  <si>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</si>
  <si>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</si>
  <si>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</si>
  <si>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</si>
  <si>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</si>
  <si>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</si>
  <si>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</si>
  <si>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</si>
  <si>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</si>
  <si>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</si>
  <si>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</si>
  <si>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</si>
  <si>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</si>
  <si>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</si>
  <si>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</si>
  <si>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</si>
  <si>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</si>
  <si>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</si>
  <si>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</si>
  <si>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</si>
  <si>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</si>
  <si>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</si>
  <si>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</si>
  <si>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</si>
  <si>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</si>
  <si>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</si>
  <si>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</si>
  <si>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</si>
  <si>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</si>
  <si>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</si>
  <si>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</si>
  <si>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</si>
  <si>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</si>
  <si>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</si>
  <si>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</si>
  <si>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</si>
  <si>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</si>
  <si>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</si>
  <si>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</si>
  <si>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</si>
  <si>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</si>
  <si>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</si>
  <si>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</si>
  <si>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</si>
  <si>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</si>
  <si>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</si>
  <si>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</si>
  <si>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</si>
  <si>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</si>
  <si>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</si>
  <si>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</si>
  <si>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</si>
  <si>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</si>
  <si>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</si>
  <si>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</si>
  <si>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</si>
  <si>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</si>
  <si>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</si>
  <si>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</si>
  <si>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</si>
  <si>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</si>
  <si>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</si>
  <si>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</si>
  <si>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</si>
  <si>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</si>
  <si>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</si>
  <si>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</si>
  <si>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</si>
  <si>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</si>
  <si>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</si>
  <si>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</si>
  <si>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</si>
  <si>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</si>
  <si>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</si>
  <si>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</si>
  <si>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</si>
  <si>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</si>
  <si>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</si>
  <si>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</si>
  <si>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</si>
  <si>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</si>
  <si>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</si>
  <si>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</si>
  <si>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</si>
  <si>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</si>
  <si>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</si>
  <si>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</si>
  <si>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</si>
  <si>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</si>
  <si>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</si>
  <si>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</si>
  <si>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</si>
  <si>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</si>
  <si>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</si>
  <si>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</si>
  <si>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</si>
  <si>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</si>
  <si>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</si>
  <si>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</si>
  <si>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</si>
  <si>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</si>
  <si>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</si>
  <si>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</si>
  <si>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</si>
  <si>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</si>
  <si>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</si>
  <si>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</si>
  <si>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</si>
  <si>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</si>
  <si>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</si>
  <si>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</si>
  <si>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</si>
  <si>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</si>
  <si>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</si>
  <si>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</si>
  <si>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</si>
  <si>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</si>
  <si>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</si>
  <si>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</si>
  <si>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</si>
  <si>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</si>
  <si>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</si>
  <si>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</si>
  <si>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</si>
  <si>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</si>
  <si>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</si>
  <si>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</si>
  <si>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</si>
  <si>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</si>
  <si>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</si>
  <si>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</si>
  <si>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</si>
  <si>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</si>
  <si>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</si>
  <si>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</si>
  <si>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</si>
  <si>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</si>
  <si>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</si>
  <si>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</si>
  <si>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</si>
  <si>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</si>
  <si>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</si>
  <si>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</si>
  <si>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</si>
  <si>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</si>
  <si>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</si>
  <si>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</si>
  <si>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</si>
  <si>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</si>
  <si>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</si>
  <si>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</si>
  <si>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</si>
  <si>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</si>
  <si>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</si>
  <si>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</si>
  <si>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</si>
  <si>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</si>
  <si>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</si>
  <si>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</si>
  <si>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</si>
  <si>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</si>
  <si>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</si>
  <si>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</si>
  <si>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</si>
  <si>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</si>
  <si>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</si>
  <si>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</si>
  <si>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</si>
  <si>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</si>
  <si>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</si>
  <si>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</si>
  <si>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</si>
  <si>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</si>
  <si>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</si>
  <si>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</si>
  <si>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</si>
  <si>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</si>
  <si>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</si>
  <si>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</si>
  <si>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</si>
  <si>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</si>
  <si>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</si>
  <si>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</si>
  <si>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</si>
  <si>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</si>
  <si>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</si>
  <si>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</si>
  <si>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</si>
  <si>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</si>
  <si>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</si>
  <si>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</si>
  <si>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</si>
  <si>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</si>
  <si>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</si>
  <si>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</si>
  <si>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</si>
  <si>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</si>
  <si>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</si>
  <si>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</si>
  <si>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</si>
  <si>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</si>
  <si>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</si>
  <si>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</si>
  <si>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</si>
  <si>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</si>
  <si>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</si>
  <si>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</si>
  <si>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</si>
  <si>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</si>
  <si>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</si>
  <si>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</si>
  <si>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</si>
  <si>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</si>
  <si>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</si>
  <si>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</si>
  <si>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</si>
  <si>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</si>
  <si>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</si>
  <si>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</si>
  <si>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</si>
  <si>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</si>
  <si>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</si>
  <si>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</si>
  <si>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</si>
  <si>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</si>
  <si>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</si>
  <si>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</si>
  <si>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</si>
  <si>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</si>
  <si>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</si>
  <si>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</si>
  <si>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</si>
  <si>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</si>
  <si>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</si>
  <si>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</si>
  <si>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</si>
  <si>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</si>
  <si>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</si>
  <si>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</si>
  <si>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</si>
  <si>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</si>
  <si>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</si>
  <si>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</si>
  <si>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</si>
  <si>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</si>
  <si>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</si>
  <si>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</si>
  <si>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</si>
  <si>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</si>
  <si>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</si>
  <si>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</si>
  <si>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</si>
  <si>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</si>
  <si>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</si>
  <si>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</si>
  <si>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</si>
  <si>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</si>
  <si>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</si>
  <si>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</si>
  <si>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</si>
  <si>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</si>
  <si>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</si>
  <si>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</si>
  <si>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</si>
  <si>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</si>
  <si>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</si>
  <si>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</si>
  <si>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</si>
  <si>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</si>
  <si>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</si>
  <si>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</si>
  <si>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</si>
  <si>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</si>
  <si>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</si>
  <si>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</si>
  <si>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</si>
  <si>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</si>
  <si>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</si>
  <si>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</si>
  <si>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</si>
  <si>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</si>
  <si>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</si>
  <si>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</si>
  <si>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</si>
  <si>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</si>
  <si>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</si>
  <si>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</si>
  <si>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</si>
  <si>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</si>
  <si>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</si>
  <si>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</si>
  <si>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</si>
  <si>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</si>
  <si>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</si>
  <si>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</si>
  <si>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</si>
  <si>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</si>
  <si>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</si>
  <si>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</si>
  <si>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</si>
  <si>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</si>
  <si>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</si>
  <si>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</si>
  <si>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</si>
  <si>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</si>
  <si>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</si>
  <si>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</si>
  <si>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</si>
  <si>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</si>
  <si>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</si>
  <si>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</si>
  <si>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</si>
  <si>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</si>
  <si>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</si>
  <si>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</si>
  <si>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</si>
  <si>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</si>
  <si>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</si>
  <si>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</si>
  <si>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</si>
  <si>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</si>
  <si>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</si>
  <si>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</si>
  <si>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</si>
  <si>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</si>
  <si>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</si>
  <si>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</si>
  <si>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</si>
  <si>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</si>
  <si>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</si>
  <si>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</si>
  <si>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</si>
  <si>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</si>
  <si>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</si>
  <si>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</si>
  <si>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</si>
  <si>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</si>
  <si>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</si>
  <si>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</si>
  <si>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</si>
  <si>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</si>
  <si>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</si>
  <si>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</si>
  <si>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</si>
  <si>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</si>
  <si>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</si>
  <si>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</si>
  <si>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</si>
  <si>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</si>
  <si>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</si>
  <si>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</si>
  <si>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</si>
  <si>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</si>
  <si>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</si>
  <si>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</si>
  <si>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</si>
  <si>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</si>
  <si>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</si>
  <si>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</si>
  <si>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</si>
  <si>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</si>
  <si>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</si>
  <si>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</si>
  <si>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</si>
  <si>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</si>
  <si>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</si>
  <si>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</si>
  <si>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</si>
  <si>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</si>
  <si>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</si>
  <si>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</si>
  <si>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</si>
  <si>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</si>
  <si>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</si>
  <si>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</si>
  <si>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</si>
  <si>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</si>
  <si>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</si>
  <si>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</si>
  <si>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</si>
  <si>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</si>
  <si>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</si>
  <si>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</si>
  <si>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</si>
  <si>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</si>
  <si>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</si>
  <si>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</si>
  <si>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</si>
  <si>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</si>
  <si>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</si>
  <si>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</si>
  <si>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</si>
  <si>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</si>
  <si>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</si>
  <si>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</si>
  <si>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</si>
  <si>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</si>
  <si>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</si>
  <si>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</si>
  <si>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</si>
  <si>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</si>
  <si>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</si>
  <si>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</si>
  <si>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</si>
  <si>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</si>
  <si>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</si>
  <si>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</si>
  <si>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</si>
  <si>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</si>
  <si>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</si>
  <si>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</si>
  <si>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</si>
  <si>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</si>
  <si>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</si>
  <si>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</si>
  <si>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</si>
  <si>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</si>
  <si>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</si>
  <si>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</si>
  <si>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</si>
  <si>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</si>
  <si>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</si>
  <si>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</si>
  <si>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</si>
  <si>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</si>
  <si>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</si>
  <si>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</si>
  <si>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</si>
  <si>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</si>
  <si>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</si>
  <si>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</si>
  <si>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</si>
  <si>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</si>
  <si>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</si>
  <si>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</si>
  <si>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</si>
  <si>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</si>
  <si>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</si>
  <si>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</si>
  <si>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</si>
  <si>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</si>
  <si>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</si>
  <si>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</si>
  <si>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</si>
  <si>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</si>
  <si>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</si>
  <si>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</si>
  <si>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</si>
  <si>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</si>
  <si>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</si>
  <si>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</si>
  <si>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</si>
  <si>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</si>
  <si>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</si>
  <si>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</si>
  <si>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</si>
  <si>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</si>
  <si>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</si>
  <si>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</si>
  <si>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</si>
  <si>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</si>
  <si>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</si>
  <si>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</si>
  <si>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</si>
  <si>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</si>
  <si>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</si>
  <si>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</si>
  <si>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</si>
  <si>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</si>
  <si>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</si>
  <si>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</si>
  <si>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</si>
  <si>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</si>
  <si>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</si>
  <si>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</si>
  <si>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</si>
  <si>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</si>
  <si>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</si>
  <si>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</si>
  <si>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</si>
  <si>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</si>
  <si>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</si>
  <si>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</si>
  <si>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</si>
  <si>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</si>
  <si>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</si>
  <si>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</si>
  <si>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</si>
  <si>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</si>
  <si>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</si>
  <si>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</si>
  <si>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</si>
  <si>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</si>
  <si>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</si>
  <si>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</si>
  <si>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</si>
  <si>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</si>
  <si>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</si>
  <si>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</si>
  <si>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</si>
  <si>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</si>
  <si>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</si>
  <si>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</si>
  <si>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</si>
  <si>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</si>
  <si>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</si>
  <si>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</si>
  <si>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</si>
  <si>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</si>
  <si>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</si>
  <si>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</si>
  <si>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</si>
  <si>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</si>
  <si>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</si>
  <si>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</si>
  <si>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</si>
  <si>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</si>
  <si>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</si>
  <si>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</si>
  <si>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</si>
  <si>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</si>
  <si>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</si>
  <si>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</si>
  <si>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</si>
  <si>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</si>
  <si>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</si>
  <si>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</si>
  <si>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</si>
  <si>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</si>
  <si>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</si>
  <si>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</si>
  <si>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</si>
  <si>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</si>
  <si>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</si>
  <si>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</si>
  <si>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</si>
  <si>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</si>
  <si>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</si>
  <si>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</si>
  <si>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</si>
  <si>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</si>
  <si>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</si>
  <si>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</si>
  <si>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</si>
  <si>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</si>
  <si>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</si>
  <si>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</si>
  <si>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</si>
  <si>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</si>
  <si>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</si>
  <si>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</si>
  <si>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</si>
  <si>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</si>
  <si>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</si>
  <si>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</si>
  <si>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</si>
  <si>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</si>
  <si>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</si>
  <si>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</si>
  <si>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</si>
  <si>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</si>
  <si>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</si>
  <si>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</si>
  <si>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</si>
  <si>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</si>
  <si>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</si>
  <si>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</si>
  <si>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</si>
  <si>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</si>
  <si>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</si>
  <si>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</si>
  <si>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</si>
  <si>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</si>
  <si>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</si>
  <si>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</si>
  <si>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</si>
  <si>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</si>
  <si>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</si>
  <si>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</si>
  <si>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</si>
  <si>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</si>
  <si>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</si>
  <si>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</si>
  <si>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</si>
  <si>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</si>
  <si>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</si>
  <si>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</si>
  <si>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</si>
  <si>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</si>
  <si>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</si>
  <si>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</si>
  <si>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</si>
  <si>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</si>
  <si>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</si>
  <si>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</si>
  <si>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</si>
  <si>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</si>
  <si>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</si>
  <si>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</si>
  <si>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</si>
  <si>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</si>
  <si>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</si>
  <si>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</si>
  <si>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</si>
  <si>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</si>
  <si>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</si>
  <si>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</si>
  <si>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</si>
  <si>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</si>
  <si>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</si>
  <si>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</si>
  <si>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</si>
  <si>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</si>
  <si>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</si>
  <si>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</si>
  <si>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</si>
  <si>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</si>
  <si>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</si>
  <si>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</si>
  <si>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</si>
  <si>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</si>
  <si>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</si>
  <si>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</si>
  <si>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</si>
  <si>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</si>
  <si>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</si>
  <si>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</si>
  <si>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</si>
  <si>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</si>
  <si>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</si>
  <si>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</si>
  <si>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</si>
  <si>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</si>
  <si>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</si>
  <si>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</si>
  <si>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</si>
  <si>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</si>
  <si>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</si>
  <si>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</si>
  <si>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</si>
  <si>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</si>
  <si>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</si>
  <si>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</si>
  <si>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</si>
  <si>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</si>
  <si>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</si>
  <si>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</si>
  <si>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</si>
  <si>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</si>
  <si>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</si>
  <si>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</si>
  <si>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</si>
  <si>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</si>
  <si>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</si>
  <si>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</si>
  <si>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</si>
  <si>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</si>
  <si>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</si>
  <si>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</si>
  <si>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</si>
  <si>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</si>
  <si>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</si>
  <si>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</si>
  <si>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</si>
  <si>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</si>
  <si>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</si>
  <si>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</si>
  <si>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</si>
  <si>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</si>
  <si>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</si>
  <si>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</si>
  <si>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</si>
  <si>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</si>
  <si>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</si>
  <si>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</si>
  <si>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</si>
  <si>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</si>
  <si>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</si>
  <si>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</si>
  <si>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</si>
  <si>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</si>
  <si>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</si>
  <si>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</si>
  <si>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</si>
  <si>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</si>
  <si>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</si>
  <si>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</si>
  <si>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</si>
  <si>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</si>
  <si>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</si>
  <si>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</si>
  <si>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</si>
  <si>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</si>
  <si>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</si>
  <si>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</si>
  <si>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</si>
  <si>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</si>
  <si>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</si>
  <si>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</si>
  <si>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</si>
  <si>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</si>
  <si>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</si>
  <si>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</si>
  <si>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</si>
  <si>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</si>
  <si>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</si>
  <si>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</si>
  <si>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</si>
  <si>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</si>
  <si>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</si>
  <si>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</si>
  <si>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</si>
  <si>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</si>
  <si>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</si>
  <si>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</si>
  <si>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</si>
  <si>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</si>
  <si>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</si>
  <si>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</si>
  <si>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</si>
  <si>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</si>
  <si>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</si>
  <si>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</si>
  <si>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</si>
  <si>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</si>
  <si>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</si>
  <si>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</si>
  <si>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</si>
  <si>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</si>
  <si>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</si>
  <si>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</si>
  <si>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</si>
  <si>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</si>
  <si>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</si>
  <si>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</si>
  <si>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</si>
  <si>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</si>
  <si>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</si>
  <si>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</si>
  <si>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</si>
  <si>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</si>
  <si>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</si>
  <si>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</si>
  <si>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</si>
  <si>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</si>
  <si>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</si>
  <si>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</si>
  <si>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</si>
  <si>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</si>
  <si>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</si>
  <si>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</si>
  <si>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</si>
  <si>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</si>
  <si>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</si>
  <si>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</si>
  <si>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</si>
  <si>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</si>
  <si>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</si>
  <si>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</si>
  <si>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</si>
  <si>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</si>
  <si>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</si>
  <si>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</si>
  <si>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</si>
  <si>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</si>
  <si>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</si>
  <si>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</si>
  <si>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</si>
  <si>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</si>
  <si>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</si>
  <si>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</si>
  <si>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</si>
  <si>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</si>
  <si>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</si>
  <si>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</si>
  <si>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</si>
  <si>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</si>
  <si>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</si>
  <si>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</si>
  <si>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</si>
  <si>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</si>
  <si>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</si>
  <si>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</si>
  <si>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</si>
  <si>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</si>
  <si>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</si>
  <si>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</si>
  <si>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</si>
  <si>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</si>
  <si>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</si>
  <si>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</si>
  <si>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</si>
  <si>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</si>
  <si>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</si>
  <si>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</si>
  <si>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</si>
  <si>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</si>
  <si>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</si>
  <si>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</si>
  <si>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</si>
  <si>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</si>
  <si>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</si>
  <si>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</si>
  <si>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</si>
  <si>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</si>
  <si>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</si>
  <si>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</si>
  <si>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</si>
  <si>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</si>
  <si>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</si>
  <si>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</si>
  <si>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</si>
  <si>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</si>
  <si>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</si>
  <si>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</si>
  <si>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</si>
  <si>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</si>
  <si>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</si>
  <si>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</si>
  <si>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</si>
  <si>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</si>
  <si>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</si>
  <si>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</si>
  <si>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</si>
  <si>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</si>
  <si>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</si>
  <si>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</si>
  <si>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</si>
  <si>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</si>
  <si>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</si>
  <si>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</si>
  <si>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</si>
  <si>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</si>
  <si>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</si>
  <si>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</si>
  <si>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</si>
  <si>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</si>
  <si>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</si>
  <si>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</si>
  <si>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</si>
  <si>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</si>
  <si>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</si>
  <si>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</si>
  <si>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</si>
  <si>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</si>
  <si>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</si>
  <si>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</si>
  <si>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</si>
  <si>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</si>
  <si>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</si>
  <si>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</si>
  <si>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</si>
  <si>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</si>
  <si>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</si>
  <si>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</si>
  <si>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</si>
  <si>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</si>
  <si>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</si>
  <si>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</si>
  <si>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</si>
  <si>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</si>
  <si>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</si>
  <si>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</si>
  <si>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</si>
  <si>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</si>
  <si>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</si>
  <si>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</si>
  <si>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</si>
  <si>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</si>
  <si>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</si>
  <si>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</si>
  <si>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</si>
  <si>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</si>
  <si>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</si>
  <si>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</si>
  <si>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</si>
  <si>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</si>
  <si>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</si>
  <si>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</si>
  <si>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</si>
  <si>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</si>
  <si>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</si>
  <si>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</si>
  <si>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</si>
  <si>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</si>
  <si>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</si>
  <si>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</si>
  <si>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</si>
  <si>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</si>
  <si>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</si>
  <si>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</si>
  <si>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</si>
  <si>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</si>
  <si>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</si>
  <si>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</si>
  <si>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</si>
  <si>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</si>
  <si>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</si>
  <si>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</si>
  <si>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</si>
  <si>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</si>
  <si>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</si>
  <si>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</si>
  <si>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</si>
  <si>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</si>
  <si>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</si>
  <si>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</si>
  <si>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</si>
  <si>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</si>
  <si>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</si>
  <si>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</si>
  <si>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</si>
  <si>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</si>
  <si>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</si>
  <si>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</si>
  <si>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</si>
  <si>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</si>
  <si>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</si>
  <si>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</si>
  <si>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</si>
  <si>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</si>
  <si>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</si>
  <si>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</si>
  <si>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</si>
  <si>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</si>
  <si>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</si>
  <si>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</si>
  <si>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</si>
  <si>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</si>
  <si>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</si>
  <si>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</si>
  <si>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</si>
  <si>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</si>
  <si>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</si>
  <si>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</si>
  <si>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</si>
  <si>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</si>
  <si>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</si>
  <si>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</si>
  <si>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</si>
  <si>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</si>
  <si>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</si>
  <si>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</si>
  <si>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</si>
  <si>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</si>
  <si>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</si>
  <si>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</si>
  <si>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</si>
  <si>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</si>
  <si>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</si>
  <si>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</si>
  <si>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</si>
  <si>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</si>
  <si>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</si>
  <si>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</si>
  <si>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</si>
  <si>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</si>
  <si>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</si>
  <si>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</si>
  <si>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</si>
  <si>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</si>
  <si>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</si>
  <si>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</si>
  <si>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</si>
  <si>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</si>
  <si>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</si>
  <si>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</si>
  <si>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</si>
  <si>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</si>
  <si>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</si>
  <si>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</si>
  <si>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</si>
  <si>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</si>
  <si>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</si>
  <si>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</si>
  <si>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</si>
  <si>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</si>
  <si>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</si>
  <si>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</si>
  <si>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</si>
  <si>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</si>
  <si>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</si>
  <si>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</si>
  <si>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</si>
  <si>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</si>
  <si>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</si>
  <si>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</si>
  <si>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</si>
  <si>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</si>
  <si>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</si>
  <si>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</si>
  <si>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</si>
  <si>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</si>
  <si>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</si>
  <si>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</si>
  <si>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</si>
  <si>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</si>
  <si>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</si>
  <si>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</si>
  <si>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</si>
  <si>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</si>
  <si>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</si>
  <si>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</si>
  <si>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</si>
  <si>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</si>
  <si>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</si>
  <si>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</si>
  <si>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</si>
  <si>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</si>
  <si>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</si>
  <si>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</si>
  <si>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</si>
  <si>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</si>
  <si>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</si>
  <si>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</si>
  <si>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</si>
  <si>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</si>
  <si>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</si>
  <si>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</si>
  <si>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</si>
  <si>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</si>
  <si>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</si>
  <si>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</si>
  <si>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</si>
  <si>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</si>
  <si>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</si>
  <si>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</si>
  <si>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</si>
  <si>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</si>
  <si>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</si>
  <si>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</si>
  <si>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</si>
  <si>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</si>
  <si>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</si>
  <si>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</si>
  <si>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</si>
  <si>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</si>
  <si>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</si>
  <si>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</si>
  <si>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</si>
  <si>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</si>
  <si>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</si>
  <si>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</si>
  <si>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</si>
  <si>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</si>
  <si>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</si>
  <si>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</si>
  <si>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</si>
  <si>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</si>
  <si>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</si>
  <si>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</si>
  <si>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</si>
  <si>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</si>
  <si>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</si>
  <si>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</si>
  <si>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</si>
  <si>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</si>
  <si>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</si>
  <si>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</si>
  <si>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</si>
  <si>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</si>
  <si>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</si>
  <si>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</si>
  <si>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</si>
  <si>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</si>
  <si>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</si>
  <si>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</si>
  <si>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</si>
  <si>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</si>
  <si>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</si>
  <si>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</si>
  <si>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</si>
  <si>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</si>
  <si>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</si>
  <si>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</si>
  <si>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</si>
  <si>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</si>
  <si>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</si>
  <si>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</si>
  <si>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</si>
  <si>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</si>
  <si>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</si>
  <si>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</si>
  <si>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</si>
  <si>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</si>
  <si>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</si>
  <si>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</si>
  <si>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</si>
  <si>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</si>
  <si>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</si>
  <si>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</si>
  <si>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</si>
  <si>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</si>
  <si>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</si>
  <si>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</si>
  <si>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</si>
  <si>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</si>
  <si>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</si>
  <si>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</si>
  <si>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</si>
  <si>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</si>
  <si>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</si>
  <si>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</si>
  <si>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</si>
  <si>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</si>
  <si>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</si>
  <si>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</si>
  <si>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</si>
  <si>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</si>
  <si>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</si>
  <si>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</si>
  <si>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</si>
  <si>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</si>
  <si>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</si>
  <si>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</si>
  <si>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</si>
  <si>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</si>
  <si>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</si>
  <si>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</si>
  <si>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</si>
  <si>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</si>
  <si>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</si>
  <si>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</si>
  <si>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</si>
  <si>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</si>
  <si>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</si>
  <si>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</si>
  <si>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</si>
  <si>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</si>
  <si>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</si>
  <si>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</si>
  <si>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</si>
  <si>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</si>
  <si>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</si>
  <si>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</si>
  <si>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</si>
  <si>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</si>
  <si>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</si>
  <si>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</si>
  <si>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</si>
  <si>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</si>
  <si>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</si>
  <si>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</si>
  <si>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</si>
  <si>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</si>
  <si>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</si>
  <si>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</si>
  <si>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</si>
  <si>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</si>
  <si>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</si>
  <si>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</si>
  <si>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</si>
  <si>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</si>
  <si>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</si>
  <si>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</si>
  <si>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</si>
  <si>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</si>
  <si>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</si>
  <si>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</si>
  <si>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</si>
  <si>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</si>
  <si>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</si>
  <si>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</si>
  <si>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</si>
  <si>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</si>
  <si>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</si>
  <si>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</si>
  <si>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</si>
  <si>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</si>
  <si>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</si>
  <si>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</si>
  <si>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</si>
  <si>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</si>
  <si>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</si>
  <si>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</si>
  <si>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</si>
  <si>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</si>
  <si>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</si>
  <si>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</si>
  <si>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</si>
  <si>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</si>
  <si>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</si>
  <si>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</si>
  <si>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</si>
  <si>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</si>
  <si>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</si>
  <si>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</si>
  <si>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</si>
  <si>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</si>
  <si>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</si>
  <si>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</si>
  <si>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</si>
  <si>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</si>
  <si>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</si>
  <si>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</si>
  <si>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</si>
  <si>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</si>
  <si>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</si>
  <si>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</si>
  <si>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</si>
  <si>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</si>
  <si>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</si>
  <si>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</si>
  <si>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</si>
  <si>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</si>
  <si>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</si>
  <si>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</si>
  <si>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</si>
  <si>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</si>
  <si>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</si>
  <si>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</si>
  <si>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</si>
  <si>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</si>
  <si>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</si>
  <si>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</si>
  <si>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</si>
  <si>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</si>
  <si>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</si>
  <si>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</si>
  <si>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</si>
  <si>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</si>
  <si>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</si>
  <si>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</si>
  <si>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</si>
  <si>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</si>
  <si>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</si>
  <si>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</si>
  <si>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</si>
  <si>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</si>
  <si>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</si>
  <si>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</si>
  <si>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</si>
  <si>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</si>
  <si>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</si>
  <si>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</si>
  <si>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</si>
  <si>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</si>
  <si>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</si>
  <si>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</si>
  <si>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</si>
  <si>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</si>
  <si>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</si>
  <si>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</si>
  <si>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</si>
  <si>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</si>
  <si>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</si>
  <si>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</si>
  <si>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</si>
  <si>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</si>
  <si>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</si>
  <si>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</si>
  <si>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</si>
  <si>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</si>
  <si>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</si>
  <si>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</si>
  <si>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</si>
  <si>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</si>
  <si>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</si>
  <si>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</si>
  <si>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</si>
  <si>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</si>
  <si>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</si>
  <si>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</si>
  <si>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</si>
  <si>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</si>
  <si>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</si>
  <si>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</si>
  <si>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</si>
  <si>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</si>
  <si>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</si>
  <si>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</si>
  <si>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</si>
  <si>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</si>
  <si>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</si>
  <si>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</si>
  <si>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</si>
  <si>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</si>
  <si>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</si>
  <si>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</si>
  <si>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</si>
  <si>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</si>
  <si>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</si>
  <si>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</si>
  <si>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</si>
  <si>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</si>
  <si>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</si>
  <si>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</si>
  <si>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</si>
  <si>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</si>
  <si>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</si>
  <si>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</si>
  <si>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</si>
  <si>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</si>
  <si>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</si>
  <si>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</si>
  <si>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</si>
  <si>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</si>
  <si>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</si>
  <si>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</si>
  <si>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</si>
  <si>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</si>
  <si>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</si>
  <si>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</si>
  <si>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</si>
  <si>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</si>
  <si>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</si>
  <si>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</si>
  <si>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</si>
  <si>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</si>
  <si>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</si>
  <si>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</si>
  <si>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</si>
  <si>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</si>
  <si>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</si>
  <si>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</si>
  <si>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</si>
  <si>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</si>
  <si>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</si>
  <si>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</si>
  <si>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</si>
  <si>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</si>
  <si>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</si>
  <si>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</si>
  <si>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</si>
  <si>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</si>
  <si>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</si>
  <si>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</si>
  <si>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</si>
  <si>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</si>
  <si>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</si>
  <si>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</si>
  <si>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</si>
  <si>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</si>
  <si>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</si>
  <si>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</si>
  <si>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</si>
  <si>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</si>
  <si>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</si>
  <si>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</si>
  <si>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</si>
  <si>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</si>
  <si>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</si>
  <si>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</si>
  <si>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</si>
  <si>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</si>
  <si>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</si>
  <si>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</si>
  <si>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</si>
  <si>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</si>
  <si>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</si>
  <si>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</si>
  <si>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</si>
  <si>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</si>
  <si>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</si>
  <si>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</si>
  <si>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</si>
  <si>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</si>
  <si>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</si>
  <si>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</si>
  <si>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</si>
  <si>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</si>
  <si>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</si>
  <si>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</si>
  <si>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</si>
  <si>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</si>
  <si>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</si>
  <si>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</si>
  <si>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</si>
  <si>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</si>
  <si>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</si>
  <si>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</si>
  <si>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</si>
  <si>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</si>
  <si>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</si>
  <si>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</si>
  <si>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</si>
  <si>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</si>
  <si>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</si>
  <si>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</si>
  <si>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</si>
  <si>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</si>
  <si>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</si>
  <si>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</si>
  <si>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</si>
  <si>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</si>
  <si>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</si>
  <si>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</si>
  <si>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</si>
  <si>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</si>
  <si>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</si>
  <si>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</si>
  <si>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</si>
  <si>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</si>
  <si>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</si>
  <si>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</si>
  <si>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</si>
  <si>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</si>
  <si>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</si>
  <si>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</si>
  <si>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</si>
  <si>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</si>
  <si>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</si>
  <si>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</si>
  <si>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</si>
  <si>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</si>
  <si>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</si>
  <si>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</si>
  <si>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</si>
  <si>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</si>
  <si>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</si>
  <si>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</si>
  <si>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</si>
  <si>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</si>
  <si>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</si>
  <si>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</si>
  <si>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</si>
  <si>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</si>
  <si>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</si>
  <si>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</si>
  <si>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</si>
  <si>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</si>
  <si>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</si>
  <si>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</si>
  <si>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</si>
  <si>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</si>
  <si>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</si>
  <si>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</si>
  <si>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</si>
  <si>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</si>
  <si>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</si>
  <si>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</si>
  <si>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</si>
  <si>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</si>
  <si>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</si>
  <si>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</si>
  <si>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</si>
  <si>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</si>
  <si>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</si>
  <si>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</si>
  <si>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</si>
  <si>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</si>
  <si>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</si>
  <si>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</si>
  <si>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</si>
  <si>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</si>
  <si>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</si>
  <si>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</si>
  <si>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</si>
  <si>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</si>
  <si>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</si>
  <si>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</si>
  <si>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</si>
  <si>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</si>
  <si>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</si>
  <si>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</si>
  <si>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</si>
  <si>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</si>
  <si>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</si>
  <si>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</si>
  <si>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</si>
  <si>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</si>
  <si>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</si>
  <si>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</si>
  <si>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</si>
  <si>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</si>
  <si>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</si>
  <si>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</si>
  <si>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</si>
  <si>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</si>
  <si>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</si>
  <si>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</si>
  <si>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</si>
  <si>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</si>
  <si>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</si>
  <si>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</si>
  <si>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</si>
  <si>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</si>
  <si>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</si>
  <si>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</si>
  <si>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</si>
  <si>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</si>
  <si>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</si>
  <si>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</si>
  <si>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</si>
  <si>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</si>
  <si>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</si>
  <si>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</si>
  <si>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</si>
  <si>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</si>
  <si>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</si>
  <si>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</si>
  <si>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</si>
  <si>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</si>
  <si>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</si>
  <si>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</si>
  <si>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</si>
  <si>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</si>
  <si>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</si>
  <si>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</si>
  <si>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</si>
  <si>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</si>
  <si>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</si>
  <si>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</si>
  <si>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</si>
  <si>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</si>
  <si>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</si>
  <si>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</si>
  <si>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</si>
  <si>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</si>
  <si>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</si>
  <si>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</si>
  <si>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</si>
  <si>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</si>
  <si>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</si>
  <si>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</si>
  <si>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</si>
  <si>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</si>
  <si>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</si>
  <si>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</si>
  <si>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</si>
  <si>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</si>
  <si>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</si>
  <si>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</si>
  <si>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</si>
  <si>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</si>
  <si>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</si>
  <si>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</si>
  <si>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</si>
  <si>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</si>
  <si>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</si>
  <si>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</si>
  <si>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</si>
  <si>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</si>
  <si>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</si>
  <si>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</si>
  <si>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</si>
  <si>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</si>
  <si>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</si>
  <si>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</si>
  <si>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</si>
  <si>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</si>
  <si>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</si>
  <si>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</si>
  <si>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</si>
  <si>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</si>
  <si>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</si>
  <si>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</si>
  <si>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</si>
  <si>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</si>
  <si>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</si>
  <si>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</si>
  <si>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</si>
  <si>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</si>
  <si>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</si>
  <si>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</si>
  <si>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</si>
  <si>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</si>
  <si>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</si>
  <si>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</si>
  <si>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</si>
  <si>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</si>
  <si>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</si>
  <si>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</si>
  <si>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</si>
  <si>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</si>
  <si>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</si>
  <si>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</si>
  <si>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</si>
  <si>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</si>
  <si>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</si>
  <si>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</si>
  <si>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</si>
  <si>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</si>
  <si>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</si>
  <si>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</si>
  <si>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</si>
  <si>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</si>
  <si>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</si>
  <si>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</si>
  <si>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</si>
  <si>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</si>
  <si>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</si>
  <si>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</si>
  <si>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</si>
  <si>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</si>
  <si>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</si>
  <si>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</si>
  <si>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</si>
  <si>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</si>
  <si>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</si>
  <si>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</si>
  <si>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</si>
  <si>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</si>
  <si>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</si>
  <si>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</si>
  <si>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</si>
  <si>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</si>
  <si>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</si>
  <si>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</si>
  <si>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</si>
  <si>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</si>
  <si>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</si>
  <si>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</si>
  <si>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</si>
  <si>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</si>
  <si>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</si>
  <si>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</si>
  <si>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</si>
  <si>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</si>
  <si>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</si>
  <si>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</si>
  <si>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</si>
  <si>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</si>
  <si>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</si>
  <si>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</si>
  <si>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</si>
  <si>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</si>
  <si>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</si>
  <si>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</si>
  <si>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</si>
  <si>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</si>
  <si>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</si>
  <si>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</si>
  <si>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</si>
  <si>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</si>
  <si>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</si>
  <si>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</si>
  <si>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</si>
  <si>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</si>
  <si>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</si>
  <si>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</si>
  <si>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</si>
  <si>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</si>
  <si>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</si>
  <si>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</si>
  <si>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</si>
  <si>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</si>
  <si>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</si>
  <si>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</si>
  <si>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</si>
  <si>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</si>
  <si>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</si>
  <si>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</si>
  <si>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</si>
  <si>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</si>
  <si>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</si>
  <si>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</si>
  <si>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</si>
  <si>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</si>
  <si>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</si>
  <si>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</si>
  <si>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</si>
  <si>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</si>
  <si>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</si>
  <si>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</si>
  <si>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</si>
  <si>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</si>
  <si>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</si>
  <si>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</si>
  <si>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</si>
  <si>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</si>
  <si>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</si>
  <si>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</si>
  <si>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</si>
  <si>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</si>
  <si>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</si>
  <si>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</si>
  <si>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</si>
  <si>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</si>
  <si>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</si>
  <si>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</si>
  <si>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</si>
  <si>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</si>
  <si>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</si>
  <si>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</si>
  <si>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</si>
  <si>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</si>
  <si>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</si>
  <si>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</si>
  <si>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</si>
  <si>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</si>
  <si>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</si>
  <si>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</si>
  <si>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</si>
  <si>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</si>
  <si>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</si>
  <si>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</si>
  <si>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</si>
  <si>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</si>
  <si>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</si>
  <si>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</si>
  <si>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</si>
  <si>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</si>
  <si>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</si>
  <si>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</si>
  <si>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</si>
  <si>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</si>
  <si>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</si>
  <si>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</si>
  <si>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</si>
  <si>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</si>
  <si>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</si>
  <si>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</si>
  <si>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</si>
  <si>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</si>
  <si>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</si>
  <si>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</si>
  <si>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</si>
  <si>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</si>
  <si>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</si>
  <si>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</si>
  <si>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</si>
  <si>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</si>
  <si>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</si>
  <si>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</si>
  <si>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</si>
  <si>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</si>
  <si>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</si>
  <si>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</si>
  <si>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</si>
  <si>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</si>
  <si>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</si>
  <si>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</si>
  <si>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</si>
  <si>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</si>
  <si>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</si>
  <si>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</si>
  <si>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</si>
  <si>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</si>
  <si>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</si>
  <si>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</si>
  <si>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</si>
  <si>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</si>
  <si>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</si>
  <si>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</si>
  <si>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</si>
  <si>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</si>
  <si>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</si>
  <si>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</si>
  <si>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</si>
  <si>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</si>
  <si>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</si>
  <si>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</si>
  <si>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</si>
  <si>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</si>
  <si>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</si>
  <si>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</si>
  <si>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</si>
  <si>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</si>
  <si>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</si>
  <si>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</si>
  <si>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</si>
  <si>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</si>
  <si>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</si>
  <si>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</si>
  <si>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</si>
  <si>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</si>
  <si>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</si>
  <si>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</si>
  <si>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</si>
  <si>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</si>
  <si>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</si>
  <si>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</si>
  <si>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</si>
  <si>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</si>
  <si>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</si>
  <si>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</si>
  <si>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</si>
  <si>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</si>
  <si>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</si>
  <si>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</si>
  <si>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</si>
  <si>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</si>
  <si>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</si>
  <si>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</si>
  <si>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</si>
  <si>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</si>
  <si>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</si>
  <si>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</si>
  <si>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</si>
  <si>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</si>
  <si>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</si>
  <si>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</si>
  <si>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</si>
  <si>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</si>
  <si>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</si>
  <si>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</si>
  <si>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</si>
  <si>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</si>
  <si>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</si>
  <si>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</si>
  <si>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</si>
  <si>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</si>
  <si>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</si>
  <si>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</si>
  <si>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</si>
  <si>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</si>
  <si>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</si>
  <si>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</si>
  <si>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</si>
  <si>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</si>
  <si>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</si>
  <si>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</si>
  <si>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</si>
  <si>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</si>
  <si>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</si>
  <si>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</si>
  <si>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</si>
  <si>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</si>
  <si>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</si>
  <si>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</si>
  <si>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</si>
  <si>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</si>
  <si>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</si>
  <si>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</si>
  <si>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</si>
  <si>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</si>
  <si>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</si>
  <si>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</si>
  <si>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</si>
  <si>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</si>
  <si>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</si>
  <si>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</si>
  <si>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</si>
  <si>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</si>
  <si>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</si>
  <si>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</si>
  <si>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</si>
  <si>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</si>
  <si>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</si>
  <si>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</si>
  <si>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</si>
  <si>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</si>
  <si>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</si>
  <si>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</si>
  <si>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</si>
  <si>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</si>
  <si>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</si>
  <si>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</si>
  <si>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</si>
  <si>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</si>
  <si>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</si>
  <si>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</si>
  <si>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</si>
  <si>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</si>
  <si>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</si>
  <si>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</si>
  <si>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</si>
  <si>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</si>
  <si>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</si>
  <si>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</si>
  <si>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</si>
  <si>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</si>
  <si>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</si>
  <si>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</si>
  <si>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</si>
  <si>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</si>
  <si>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</si>
  <si>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</si>
  <si>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</si>
  <si>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</si>
  <si>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</si>
  <si>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</si>
  <si>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</si>
  <si>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</si>
  <si>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</si>
  <si>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</si>
  <si>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</si>
  <si>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</si>
  <si>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</si>
  <si>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</si>
  <si>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</si>
  <si>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</si>
  <si>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</si>
  <si>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</si>
  <si>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</si>
  <si>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</si>
  <si>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</si>
  <si>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</si>
  <si>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</si>
  <si>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</si>
  <si>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</si>
  <si>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</si>
  <si>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</si>
  <si>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</si>
  <si>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</si>
  <si>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</si>
  <si>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</si>
  <si>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</si>
  <si>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</si>
  <si>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</si>
  <si>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</si>
  <si>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</si>
  <si>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</si>
  <si>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</si>
  <si>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</si>
  <si>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</si>
  <si>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</si>
  <si>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</si>
  <si>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</si>
  <si>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</si>
  <si>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</si>
  <si>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</si>
  <si>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</si>
  <si>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</si>
  <si>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</si>
  <si>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</si>
  <si>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</si>
  <si>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</si>
  <si>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</si>
  <si>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</si>
  <si>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</si>
  <si>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</si>
  <si>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</si>
  <si>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</si>
  <si>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</si>
  <si>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</si>
  <si>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</si>
  <si>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</si>
  <si>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</si>
  <si>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</si>
  <si>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</si>
  <si>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</si>
  <si>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</si>
  <si>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</si>
  <si>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</si>
  <si>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</si>
  <si>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</si>
  <si>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</si>
  <si>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</si>
  <si>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</si>
  <si>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</si>
  <si>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</si>
  <si>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</si>
  <si>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</si>
  <si>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</si>
  <si>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</si>
  <si>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</si>
  <si>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</si>
  <si>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</si>
  <si>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</si>
  <si>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</si>
  <si>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</si>
  <si>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</si>
  <si>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</si>
  <si>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</si>
  <si>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</si>
  <si>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</si>
  <si>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</si>
  <si>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</si>
  <si>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</si>
  <si>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</si>
  <si>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</si>
  <si>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</si>
  <si>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</si>
  <si>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</si>
  <si>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</si>
  <si>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</si>
  <si>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</si>
  <si>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</si>
  <si>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</si>
  <si>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</si>
  <si>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</si>
  <si>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</si>
  <si>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</si>
  <si>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</si>
  <si>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</si>
  <si>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</si>
  <si>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</si>
  <si>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</si>
  <si>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</si>
  <si>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</si>
  <si>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</si>
  <si>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</si>
  <si>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</si>
  <si>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</si>
  <si>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</si>
  <si>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</si>
  <si>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</si>
  <si>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</si>
  <si>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</si>
  <si>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</si>
  <si>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</si>
  <si>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</si>
  <si>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</si>
  <si>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</si>
  <si>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</si>
  <si>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</si>
  <si>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</si>
  <si>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</si>
  <si>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</si>
  <si>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</si>
  <si>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</si>
  <si>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</si>
  <si>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</si>
  <si>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</si>
  <si>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</si>
  <si>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</si>
  <si>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</si>
  <si>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</si>
  <si>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</si>
  <si>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</si>
  <si>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</si>
  <si>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</si>
  <si>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</si>
  <si>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</si>
  <si>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</si>
  <si>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</si>
  <si>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</si>
  <si>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</si>
  <si>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</si>
  <si>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</si>
  <si>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</si>
  <si>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</si>
  <si>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</si>
  <si>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</si>
  <si>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</si>
  <si>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</si>
  <si>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</si>
  <si>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</si>
  <si>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</si>
  <si>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</si>
  <si>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</si>
  <si>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</si>
  <si>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</si>
  <si>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</si>
  <si>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</si>
  <si>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</si>
  <si>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</si>
  <si>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</si>
  <si>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</si>
  <si>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</si>
  <si>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</si>
  <si>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</si>
  <si>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</si>
  <si>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</si>
  <si>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</si>
  <si>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</si>
  <si>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</si>
  <si>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</si>
  <si>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</si>
  <si>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</si>
  <si>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</si>
  <si>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</si>
  <si>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</si>
  <si>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</si>
  <si>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</si>
  <si>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</si>
  <si>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</si>
  <si>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</si>
  <si>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</si>
  <si>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</si>
  <si>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</si>
  <si>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</si>
  <si>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</si>
  <si>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</si>
  <si>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</si>
  <si>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</si>
  <si>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</si>
  <si>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</si>
  <si>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</si>
  <si>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</si>
  <si>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</si>
  <si>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</si>
  <si>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</si>
  <si>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</si>
  <si>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</si>
  <si>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</si>
  <si>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</si>
  <si>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</si>
  <si>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</si>
  <si>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</si>
  <si>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</si>
  <si>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</si>
  <si>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</si>
  <si>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</si>
  <si>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</si>
  <si>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</si>
  <si>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</si>
  <si>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</si>
  <si>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</si>
  <si>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</si>
  <si>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</si>
  <si>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</si>
  <si>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</si>
  <si>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</si>
  <si>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</si>
  <si>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</si>
  <si>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</si>
  <si>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</si>
  <si>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</si>
  <si>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</si>
  <si>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</si>
  <si>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</si>
  <si>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</si>
  <si>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</si>
  <si>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</si>
  <si>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</si>
  <si>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</si>
  <si>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</si>
  <si>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</si>
  <si>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</si>
  <si>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</si>
  <si>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</si>
  <si>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</si>
  <si>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</si>
  <si>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</si>
  <si>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</si>
  <si>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</si>
  <si>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</si>
  <si>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</si>
  <si>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</si>
  <si>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</si>
  <si>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</si>
  <si>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</si>
  <si>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</si>
  <si>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</si>
  <si>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</si>
  <si>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</si>
  <si>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</si>
  <si>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</si>
  <si>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</si>
  <si>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</si>
  <si>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</si>
  <si>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</si>
  <si>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</si>
  <si>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</si>
  <si>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</si>
  <si>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</si>
  <si>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</si>
  <si>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</si>
  <si>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</si>
  <si>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</si>
  <si>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</si>
  <si>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</si>
  <si>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</si>
  <si>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</si>
  <si>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</si>
  <si>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</si>
  <si>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</si>
  <si>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</si>
  <si>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</si>
  <si>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</si>
  <si>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</si>
  <si>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</si>
  <si>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</si>
  <si>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</si>
  <si>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</si>
  <si>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</si>
  <si>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</si>
  <si>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</si>
  <si>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</si>
  <si>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</si>
  <si>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</si>
  <si>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</si>
  <si>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</si>
  <si>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</si>
  <si>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</si>
  <si>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</si>
  <si>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</si>
  <si>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</si>
  <si>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</si>
  <si>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</si>
  <si>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</si>
  <si>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</si>
  <si>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</si>
  <si>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</si>
  <si>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</si>
  <si>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</si>
  <si>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</si>
  <si>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</si>
  <si>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</si>
  <si>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</si>
  <si>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</si>
  <si>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</si>
  <si>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</si>
  <si>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</si>
  <si>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</si>
  <si>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</si>
  <si>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</si>
  <si>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</si>
  <si>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</si>
  <si>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</si>
  <si>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</si>
  <si>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</si>
  <si>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</si>
  <si>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</si>
  <si>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</si>
  <si>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</si>
  <si>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</si>
  <si>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</si>
  <si>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</si>
  <si>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</si>
  <si>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</si>
  <si>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</si>
  <si>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</si>
  <si>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</si>
  <si>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</si>
  <si>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</si>
  <si>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</si>
  <si>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</si>
  <si>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</si>
  <si>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</si>
  <si>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</si>
  <si>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</si>
  <si>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</si>
  <si>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</si>
  <si>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</si>
  <si>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</si>
  <si>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</si>
  <si>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</si>
  <si>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</si>
  <si>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</si>
  <si>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</si>
  <si>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</si>
  <si>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</si>
  <si>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</si>
  <si>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</si>
  <si>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</si>
  <si>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</si>
  <si>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</si>
  <si>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</si>
  <si>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</si>
  <si>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</si>
  <si>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</si>
  <si>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</si>
  <si>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</si>
  <si>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</si>
  <si>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</si>
  <si>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</si>
  <si>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</si>
  <si>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</si>
  <si>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</si>
  <si>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</si>
  <si>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</si>
  <si>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</si>
  <si>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</si>
  <si>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</si>
  <si>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</si>
  <si>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</si>
  <si>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</si>
  <si>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</si>
  <si>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</si>
  <si>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</si>
  <si>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</si>
  <si>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</si>
  <si>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</si>
  <si>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</si>
  <si>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</si>
  <si>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</si>
  <si>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</si>
  <si>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</si>
  <si>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</si>
  <si>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</si>
  <si>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</si>
  <si>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</si>
  <si>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</si>
  <si>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</si>
  <si>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</si>
  <si>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</si>
  <si>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</si>
  <si>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</si>
  <si>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</si>
  <si>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</si>
  <si>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</si>
  <si>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</si>
  <si>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</si>
  <si>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</si>
  <si>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</si>
  <si>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</si>
  <si>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</si>
  <si>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</si>
  <si>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</si>
  <si>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</si>
  <si>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</si>
  <si>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</si>
  <si>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</si>
  <si>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</si>
  <si>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</si>
  <si>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</si>
  <si>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</si>
  <si>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</si>
  <si>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</si>
  <si>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</si>
  <si>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</si>
  <si>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</si>
  <si>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</si>
  <si>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</si>
  <si>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</si>
  <si>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</si>
  <si>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</si>
  <si>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</si>
  <si>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</si>
  <si>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</si>
  <si>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</si>
  <si>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</si>
  <si>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</si>
  <si>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</si>
  <si>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</si>
  <si>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</si>
  <si>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</si>
  <si>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</si>
  <si>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</si>
  <si>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</si>
  <si>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</si>
  <si>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</si>
  <si>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</si>
  <si>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</si>
  <si>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</si>
  <si>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</si>
  <si>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</si>
  <si>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</si>
  <si>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</si>
  <si>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</si>
  <si>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</si>
  <si>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</si>
  <si>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</si>
  <si>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</si>
  <si>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</si>
  <si>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</si>
  <si>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</si>
  <si>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</si>
  <si>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</si>
  <si>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</si>
  <si>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</si>
  <si>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</si>
  <si>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</si>
  <si>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</si>
  <si>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</si>
  <si>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</si>
  <si>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</si>
  <si>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</si>
  <si>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</si>
  <si>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</si>
  <si>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</si>
  <si>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</si>
  <si>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</si>
  <si>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</si>
  <si>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</si>
  <si>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</si>
  <si>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</si>
  <si>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</si>
  <si>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</si>
  <si>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</si>
  <si>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</si>
  <si>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</si>
  <si>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</si>
  <si>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</si>
  <si>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</si>
  <si>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</si>
  <si>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</si>
  <si>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</si>
  <si>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</si>
  <si>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</si>
  <si>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</si>
  <si>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</si>
  <si>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</si>
  <si>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</si>
  <si>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</si>
  <si>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</si>
  <si>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</si>
  <si>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</si>
  <si>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</si>
  <si>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</si>
  <si>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</si>
  <si>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</si>
  <si>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</si>
  <si>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</si>
  <si>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</si>
  <si>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</si>
  <si>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</si>
  <si>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</si>
  <si>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</si>
  <si>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</si>
  <si>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</si>
  <si>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</si>
  <si>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</si>
  <si>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</si>
  <si>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</si>
  <si>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</si>
  <si>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</si>
  <si>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</si>
  <si>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</si>
  <si>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</si>
  <si>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</si>
  <si>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</si>
  <si>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</si>
  <si>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</si>
  <si>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</si>
  <si>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</si>
  <si>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</si>
  <si>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</si>
  <si>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</si>
  <si>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</si>
  <si>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</si>
  <si>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</si>
  <si>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</si>
  <si>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</si>
  <si>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</si>
  <si>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</si>
  <si>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</si>
  <si>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</si>
  <si>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</si>
  <si>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</si>
  <si>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</si>
  <si>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</si>
  <si>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</si>
  <si>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</si>
  <si>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</si>
  <si>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</si>
  <si>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</si>
  <si>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</si>
  <si>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</si>
  <si>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</si>
  <si>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</si>
  <si>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</si>
  <si>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</si>
  <si>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</si>
  <si>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</si>
  <si>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</si>
  <si>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</si>
  <si>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</si>
  <si>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</si>
  <si>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</si>
  <si>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</si>
  <si>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</si>
  <si>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</si>
  <si>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</si>
  <si>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</si>
  <si>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</si>
  <si>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</si>
  <si>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</si>
  <si>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</si>
  <si>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</si>
  <si>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</si>
  <si>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</si>
  <si>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</si>
  <si>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</si>
  <si>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</si>
  <si>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</si>
  <si>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</si>
  <si>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</si>
  <si>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</si>
  <si>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</si>
  <si>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</si>
  <si>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</si>
  <si>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</si>
  <si>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</si>
  <si>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</si>
  <si>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</si>
  <si>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</si>
  <si>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</si>
  <si>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</si>
  <si>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</si>
  <si>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</si>
  <si>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</si>
  <si>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</si>
  <si>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</si>
  <si>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</si>
  <si>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</si>
  <si>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</si>
  <si>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</si>
  <si>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</si>
  <si>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</si>
  <si>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</si>
  <si>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</si>
  <si>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</si>
  <si>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</si>
  <si>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</si>
  <si>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</si>
  <si>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</si>
  <si>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</si>
  <si>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</si>
  <si>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</si>
  <si>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</si>
  <si>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</si>
  <si>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</si>
  <si>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</si>
  <si>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</si>
  <si>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</si>
  <si>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</si>
  <si>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</si>
  <si>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</si>
  <si>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</si>
  <si>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</si>
  <si>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</si>
  <si>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</si>
  <si>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</si>
  <si>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</si>
  <si>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</si>
  <si>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</si>
  <si>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</si>
  <si>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</si>
  <si>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</si>
  <si>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</si>
  <si>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</si>
  <si>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</si>
  <si>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</si>
  <si>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</si>
  <si>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</si>
  <si>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</si>
  <si>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</si>
  <si>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</si>
  <si>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</si>
  <si>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</si>
  <si>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</si>
  <si>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</si>
  <si>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</si>
  <si>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</si>
  <si>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</si>
  <si>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</si>
  <si>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</si>
  <si>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</si>
  <si>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</si>
  <si>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</si>
  <si>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</si>
  <si>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</si>
  <si>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</si>
  <si>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</si>
  <si>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</si>
  <si>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</si>
  <si>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</si>
  <si>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</si>
  <si>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</si>
  <si>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</si>
  <si>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</si>
  <si>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</si>
  <si>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</si>
  <si>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</si>
  <si>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</si>
  <si>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</si>
  <si>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</si>
  <si>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</si>
  <si>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</si>
  <si>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</si>
  <si>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</si>
  <si>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</si>
  <si>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</si>
  <si>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</si>
  <si>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</si>
  <si>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</si>
  <si>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</si>
  <si>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</si>
  <si>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</si>
  <si>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</si>
  <si>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</si>
  <si>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</si>
  <si>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</si>
  <si>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</si>
  <si>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</si>
  <si>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</si>
  <si>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</si>
  <si>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</si>
  <si>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</si>
  <si>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</si>
  <si>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</si>
  <si>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</si>
  <si>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</si>
  <si>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</si>
  <si>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</si>
  <si>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</si>
  <si>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</si>
  <si>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</si>
  <si>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</si>
  <si>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</si>
  <si>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</si>
  <si>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</si>
  <si>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</si>
  <si>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</si>
  <si>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</si>
  <si>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</si>
  <si>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</si>
  <si>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</si>
  <si>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</si>
  <si>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</si>
  <si>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</si>
  <si>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</si>
  <si>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</si>
  <si>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</si>
  <si>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</si>
  <si>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</si>
  <si>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</si>
  <si>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</si>
  <si>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</si>
  <si>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</si>
  <si>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</si>
  <si>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</si>
  <si>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</si>
  <si>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</si>
  <si>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</si>
  <si>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</si>
  <si>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</si>
  <si>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</si>
  <si>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</si>
  <si>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</si>
  <si>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</si>
  <si>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</si>
  <si>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</si>
  <si>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</si>
  <si>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</si>
  <si>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</si>
  <si>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</si>
  <si>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</si>
  <si>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</si>
  <si>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</si>
  <si>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</si>
  <si>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</si>
  <si>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</si>
  <si>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</si>
  <si>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</si>
  <si>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</si>
  <si>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</si>
  <si>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</si>
  <si>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</si>
  <si>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</si>
  <si>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</si>
  <si>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</si>
  <si>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</si>
  <si>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</si>
  <si>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</si>
  <si>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</si>
  <si>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</si>
  <si>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</si>
  <si>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</si>
  <si>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</si>
  <si>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</si>
  <si>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</si>
  <si>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</si>
  <si>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</si>
  <si>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</si>
  <si>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</si>
  <si>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</si>
  <si>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</si>
  <si>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</si>
  <si>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</si>
  <si>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</si>
  <si>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</si>
  <si>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</si>
  <si>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</si>
  <si>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</si>
  <si>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</si>
  <si>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</si>
  <si>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</si>
  <si>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</si>
  <si>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</si>
  <si>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</si>
  <si>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</si>
  <si>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</si>
  <si>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</si>
  <si>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</si>
  <si>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</si>
  <si>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</si>
  <si>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</si>
  <si>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</si>
  <si>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</si>
  <si>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</si>
  <si>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</si>
  <si>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</si>
  <si>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</si>
  <si>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</si>
  <si>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</si>
  <si>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</si>
  <si>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</si>
  <si>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</si>
  <si>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</si>
  <si>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</si>
  <si>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</si>
  <si>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</si>
  <si>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</si>
  <si>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</si>
  <si>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</si>
  <si>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</si>
  <si>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</si>
  <si>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</si>
  <si>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</si>
  <si>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</si>
  <si>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</si>
  <si>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</si>
  <si>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</si>
  <si>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</si>
  <si>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</si>
  <si>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</si>
  <si>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</si>
  <si>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</si>
  <si>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</si>
  <si>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</si>
  <si>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</si>
  <si>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</si>
  <si>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</si>
  <si>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</si>
  <si>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</si>
  <si>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</si>
  <si>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</si>
  <si>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</si>
  <si>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</si>
  <si>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</si>
  <si>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</si>
  <si>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</si>
  <si>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</si>
  <si>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</si>
  <si>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</si>
  <si>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</si>
  <si>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</si>
  <si>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</si>
  <si>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</si>
  <si>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</si>
  <si>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</si>
  <si>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</si>
  <si>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</si>
  <si>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</si>
  <si>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</si>
  <si>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</si>
  <si>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</si>
  <si>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</si>
  <si>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</si>
  <si>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</si>
  <si>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</si>
  <si>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</si>
  <si>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</si>
  <si>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</si>
  <si>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</si>
  <si>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</si>
  <si>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</si>
  <si>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</si>
  <si>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</si>
  <si>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</si>
  <si>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</si>
  <si>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</si>
  <si>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</si>
  <si>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</si>
  <si>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</si>
  <si>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</si>
  <si>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</si>
  <si>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</si>
  <si>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</si>
  <si>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</si>
  <si>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</si>
  <si>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</si>
  <si>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</si>
  <si>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</si>
  <si>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</si>
  <si>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</si>
  <si>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</si>
  <si>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</si>
  <si>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</si>
  <si>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</si>
  <si>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</si>
  <si>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</si>
  <si>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</si>
  <si>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</si>
  <si>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</si>
  <si>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</si>
  <si>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</si>
  <si>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</si>
  <si>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</si>
  <si>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</si>
  <si>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</si>
  <si>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</si>
  <si>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</si>
  <si>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</si>
  <si>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</si>
  <si>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</si>
  <si>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</si>
  <si>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</si>
  <si>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</si>
  <si>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</si>
  <si>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</si>
  <si>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</si>
  <si>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</si>
  <si>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</si>
  <si>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</si>
  <si>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</si>
  <si>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</si>
  <si>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</si>
  <si>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</si>
  <si>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</si>
  <si>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</si>
  <si>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</si>
  <si>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</si>
  <si>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</si>
  <si>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</si>
  <si>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</si>
  <si>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</si>
  <si>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</si>
  <si>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</si>
  <si>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</si>
  <si>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</si>
  <si>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</si>
  <si>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</si>
  <si>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</si>
  <si>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</si>
  <si>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</si>
  <si>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</si>
  <si>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</si>
  <si>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</si>
  <si>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</si>
  <si>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</si>
  <si>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</si>
  <si>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</si>
  <si>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</si>
  <si>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</si>
  <si>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</si>
  <si>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</si>
  <si>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</si>
  <si>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</si>
  <si>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</si>
  <si>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</si>
  <si>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</si>
  <si>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</si>
  <si>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</si>
  <si>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</si>
  <si>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</si>
  <si>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</si>
  <si>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</si>
  <si>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</si>
  <si>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</si>
  <si>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</si>
  <si>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</si>
  <si>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</si>
  <si>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</si>
  <si>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</si>
  <si>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</si>
  <si>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</si>
  <si>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</si>
  <si>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</si>
  <si>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</si>
  <si>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</si>
  <si>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</si>
  <si>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</si>
  <si>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</si>
  <si>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</si>
  <si>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</si>
  <si>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</si>
  <si>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</si>
  <si>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</si>
  <si>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</si>
  <si>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</si>
  <si>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</si>
  <si>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</si>
  <si>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</si>
  <si>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</si>
  <si>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</si>
  <si>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</si>
  <si>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</si>
  <si>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</si>
  <si>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</si>
  <si>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</si>
  <si>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</si>
  <si>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</si>
  <si>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</si>
  <si>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</si>
  <si>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</si>
  <si>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</si>
  <si>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</si>
  <si>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</si>
  <si>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</si>
  <si>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</si>
  <si>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</si>
  <si>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</si>
  <si>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</si>
  <si>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</si>
  <si>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</si>
  <si>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</si>
  <si>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</si>
  <si>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</si>
  <si>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</si>
  <si>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</si>
  <si>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</si>
  <si>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</si>
  <si>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</si>
  <si>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</si>
  <si>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</si>
  <si>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</si>
  <si>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</si>
  <si>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</si>
  <si>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</si>
  <si>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</si>
  <si>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</si>
  <si>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</si>
  <si>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</si>
  <si>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</si>
  <si>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</si>
  <si>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</si>
  <si>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</si>
  <si>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</si>
  <si>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</si>
  <si>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</si>
  <si>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</si>
  <si>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</si>
  <si>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</si>
  <si>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</si>
  <si>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</si>
  <si>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</si>
  <si>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</si>
  <si>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</si>
  <si>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</si>
  <si>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</si>
  <si>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</si>
  <si>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</si>
  <si>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</si>
  <si>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</si>
  <si>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</si>
  <si>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</si>
  <si>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</si>
  <si>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</si>
  <si>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</si>
  <si>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</si>
  <si>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</si>
  <si>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</si>
  <si>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</si>
  <si>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</si>
  <si>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</si>
  <si>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</si>
  <si>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</si>
  <si>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</si>
  <si>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</si>
  <si>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</si>
  <si>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</si>
  <si>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</si>
  <si>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</si>
  <si>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</si>
  <si>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</si>
  <si>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</si>
  <si>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</si>
  <si>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</si>
  <si>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</si>
  <si>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</si>
  <si>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</si>
  <si>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</si>
  <si>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</si>
  <si>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</si>
  <si>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</si>
  <si>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</si>
  <si>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</si>
  <si>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</si>
  <si>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</si>
  <si>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</si>
  <si>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</si>
  <si>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</si>
  <si>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</si>
  <si>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</si>
  <si>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</si>
  <si>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</si>
  <si>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</si>
  <si>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</si>
  <si>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</si>
  <si>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</si>
  <si>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</si>
  <si>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</si>
  <si>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</si>
  <si>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</si>
  <si>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</si>
  <si>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</si>
  <si>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</si>
  <si>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</si>
  <si>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</si>
  <si>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</si>
  <si>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</si>
  <si>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</si>
  <si>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</si>
  <si>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</si>
  <si>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</si>
  <si>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</si>
  <si>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</si>
  <si>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</si>
  <si>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</si>
  <si>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</si>
  <si>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</si>
  <si>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</si>
  <si>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</si>
  <si>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</si>
  <si>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</si>
  <si>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</si>
  <si>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</si>
  <si>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</si>
  <si>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</si>
  <si>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</si>
  <si>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</si>
  <si>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</si>
  <si>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</si>
  <si>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</si>
  <si>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</si>
  <si>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</si>
  <si>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</si>
  <si>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</si>
  <si>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</si>
  <si>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</si>
  <si>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</si>
  <si>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</si>
  <si>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</si>
  <si>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</si>
  <si>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</si>
  <si>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</si>
  <si>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</si>
  <si>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</si>
  <si>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</si>
  <si>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</si>
  <si>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</si>
  <si>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</si>
  <si>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</si>
  <si>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</si>
  <si>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</si>
  <si>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</si>
  <si>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</si>
  <si>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</si>
  <si>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</si>
  <si>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</si>
  <si>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</si>
  <si>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</si>
  <si>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</si>
  <si>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</si>
  <si>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</si>
  <si>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</si>
  <si>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</si>
  <si>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</si>
  <si>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</si>
  <si>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</si>
  <si>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</si>
  <si>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</si>
  <si>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</si>
  <si>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</si>
  <si>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</si>
  <si>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</si>
  <si>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</si>
  <si>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</si>
  <si>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</si>
  <si>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</si>
  <si>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</si>
  <si>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</si>
  <si>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</si>
  <si>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</si>
  <si>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</si>
  <si>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</si>
  <si>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</si>
  <si>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</si>
  <si>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</si>
  <si>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</si>
  <si>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</si>
  <si>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</si>
  <si>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</si>
  <si>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</si>
  <si>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</si>
  <si>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</si>
  <si>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</si>
  <si>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</si>
  <si>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</si>
  <si>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</si>
  <si>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</si>
  <si>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</si>
  <si>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</si>
  <si>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</si>
  <si>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</si>
  <si>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</si>
  <si>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</si>
  <si>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</si>
  <si>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</si>
  <si>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</si>
  <si>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</si>
  <si>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</si>
  <si>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</si>
  <si>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</si>
  <si>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</si>
  <si>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</si>
  <si>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</si>
  <si>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</si>
  <si>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</si>
  <si>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</si>
  <si>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</si>
  <si>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</si>
  <si>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</si>
  <si>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</si>
  <si>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</si>
  <si>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</si>
  <si>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</si>
  <si>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</si>
  <si>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</si>
  <si>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</si>
  <si>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</si>
  <si>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</si>
  <si>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</si>
  <si>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</si>
  <si>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</si>
  <si>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</si>
  <si>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</si>
  <si>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</si>
  <si>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</si>
  <si>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</si>
  <si>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</si>
  <si>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</si>
  <si>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</si>
  <si>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</si>
  <si>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</si>
  <si>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</si>
  <si>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</si>
  <si>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</si>
  <si>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</si>
  <si>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</si>
  <si>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</si>
  <si>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</si>
  <si>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</si>
  <si>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</si>
  <si>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</si>
  <si>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</si>
  <si>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</si>
  <si>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</si>
  <si>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</si>
  <si>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</si>
  <si>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</si>
  <si>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</si>
  <si>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</si>
  <si>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</si>
  <si>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</si>
  <si>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</si>
  <si>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</si>
  <si>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</si>
  <si>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</si>
  <si>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</si>
  <si>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</si>
  <si>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</si>
  <si>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</si>
  <si>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</si>
  <si>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</si>
  <si>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</si>
  <si>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</si>
  <si>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</si>
  <si>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</si>
  <si>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</si>
  <si>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</si>
  <si>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</si>
  <si>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</si>
  <si>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</si>
  <si>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</si>
  <si>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</si>
  <si>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</si>
  <si>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</si>
  <si>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</si>
  <si>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</si>
  <si>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</si>
  <si>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</si>
  <si>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</si>
  <si>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</si>
  <si>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</si>
  <si>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</si>
  <si>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</si>
  <si>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</si>
  <si>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</si>
  <si>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</si>
  <si>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</si>
  <si>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</si>
  <si>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</si>
  <si>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</si>
  <si>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</si>
  <si>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</si>
  <si>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</si>
  <si>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</si>
  <si>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</si>
  <si>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</si>
  <si>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</si>
  <si>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</si>
  <si>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</si>
  <si>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</si>
  <si>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</si>
  <si>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</si>
  <si>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</si>
  <si>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</si>
  <si>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</si>
  <si>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</si>
  <si>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</si>
  <si>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</si>
  <si>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</si>
  <si>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</si>
  <si>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</si>
  <si>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</si>
  <si>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</si>
  <si>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</si>
  <si>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</si>
  <si>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</si>
  <si>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</si>
  <si>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</si>
  <si>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</si>
  <si>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</si>
  <si>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</si>
  <si>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</si>
  <si>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</si>
  <si>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</si>
  <si>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</si>
  <si>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</si>
  <si>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</si>
  <si>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</si>
  <si>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</si>
  <si>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</si>
  <si>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</si>
  <si>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</si>
  <si>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</si>
  <si>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</si>
  <si>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</si>
  <si>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</si>
  <si>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</si>
  <si>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</si>
  <si>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</si>
  <si>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</si>
  <si>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</si>
  <si>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</si>
  <si>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</si>
  <si>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</si>
  <si>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</si>
  <si>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</si>
  <si>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</si>
  <si>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</si>
  <si>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</si>
  <si>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</si>
  <si>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</si>
  <si>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</si>
  <si>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</si>
  <si>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</si>
  <si>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</si>
  <si>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</si>
  <si>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</si>
  <si>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</si>
  <si>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</si>
  <si>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</si>
  <si>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</si>
  <si>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</si>
  <si>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</si>
  <si>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</si>
  <si>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</si>
  <si>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</si>
  <si>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</si>
  <si>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</si>
  <si>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</si>
  <si>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</si>
  <si>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</si>
  <si>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</si>
  <si>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</si>
  <si>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</si>
  <si>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</si>
  <si>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</si>
  <si>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</si>
  <si>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</si>
  <si>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</si>
  <si>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</si>
  <si>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</si>
  <si>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</si>
  <si>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</si>
  <si>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</si>
  <si>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</si>
  <si>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</si>
  <si>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</si>
  <si>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</si>
  <si>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</si>
  <si>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</si>
  <si>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</si>
  <si>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</si>
  <si>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</si>
  <si>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</si>
  <si>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</si>
  <si>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</si>
  <si>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</si>
  <si>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</si>
  <si>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</si>
  <si>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</si>
  <si>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</si>
  <si>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</si>
  <si>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</si>
  <si>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</si>
  <si>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</si>
  <si>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</si>
  <si>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</si>
  <si>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</si>
  <si>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</si>
  <si>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</si>
  <si>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</si>
  <si>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</si>
  <si>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</si>
  <si>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</si>
  <si>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</si>
  <si>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</si>
  <si>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</si>
  <si>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</si>
  <si>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</si>
  <si>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</si>
  <si>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</si>
  <si>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</si>
  <si>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</si>
  <si>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</si>
  <si>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</si>
  <si>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</si>
  <si>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</si>
  <si>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</si>
  <si>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</si>
  <si>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</si>
  <si>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</si>
  <si>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</si>
  <si>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</si>
  <si>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</si>
  <si>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</si>
  <si>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</si>
  <si>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</si>
  <si>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</si>
  <si>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</si>
  <si>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</si>
  <si>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</si>
  <si>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</si>
  <si>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</si>
  <si>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</si>
  <si>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</si>
  <si>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</si>
  <si>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</si>
  <si>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</si>
  <si>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</si>
  <si>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</si>
  <si>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</si>
  <si>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</si>
  <si>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</si>
  <si>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</si>
  <si>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</si>
  <si>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</si>
  <si>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</si>
  <si>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</si>
  <si>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</si>
  <si>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</si>
  <si>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</si>
  <si>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</si>
  <si>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</si>
  <si>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</si>
  <si>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</si>
  <si>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</si>
  <si>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</si>
  <si>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</si>
  <si>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</si>
  <si>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</si>
  <si>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</si>
  <si>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</si>
  <si>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</si>
  <si>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</si>
  <si>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</si>
  <si>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</si>
  <si>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</si>
  <si>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</si>
  <si>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</si>
  <si>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</si>
  <si>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</si>
  <si>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</si>
  <si>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</si>
  <si>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</si>
  <si>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</si>
  <si>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</si>
  <si>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</si>
  <si>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</si>
  <si>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</si>
  <si>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</si>
  <si>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</si>
  <si>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</si>
  <si>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</si>
  <si>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</si>
  <si>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</si>
  <si>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</si>
  <si>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</si>
  <si>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</si>
  <si>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</si>
  <si>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</si>
  <si>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</si>
  <si>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</si>
  <si>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</si>
  <si>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</si>
  <si>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</si>
  <si>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</si>
  <si>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</si>
  <si>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</si>
  <si>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</si>
  <si>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</si>
  <si>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</si>
  <si>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</si>
  <si>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</si>
  <si>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</si>
  <si>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</si>
  <si>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</si>
  <si>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</si>
  <si>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</si>
  <si>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</si>
  <si>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</si>
  <si>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</si>
  <si>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</si>
  <si>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</si>
  <si>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</si>
  <si>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</si>
  <si>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</si>
  <si>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</si>
  <si>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</si>
  <si>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</si>
  <si>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</si>
  <si>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</si>
  <si>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</si>
  <si>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</si>
  <si>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</si>
  <si>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</si>
  <si>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</si>
  <si>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</si>
  <si>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</si>
  <si>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</si>
  <si>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</si>
  <si>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</si>
  <si>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</si>
  <si>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</si>
  <si>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</si>
  <si>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</si>
  <si>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</si>
  <si>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</si>
  <si>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</si>
  <si>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</si>
  <si>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</si>
  <si>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</si>
  <si>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</si>
  <si>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</si>
  <si>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</si>
  <si>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</si>
  <si>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</si>
  <si>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</si>
  <si>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</si>
  <si>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</si>
  <si>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</si>
  <si>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</si>
  <si>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</si>
  <si>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</si>
  <si>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</si>
  <si>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</si>
  <si>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</si>
  <si>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</si>
  <si>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</si>
  <si>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</si>
  <si>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</si>
  <si>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</si>
  <si>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</si>
  <si>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</si>
  <si>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</si>
  <si>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</si>
  <si>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</si>
  <si>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</si>
  <si>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</si>
  <si>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</si>
  <si>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</si>
  <si>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</si>
  <si>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</si>
  <si>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</si>
  <si>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</si>
  <si>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</si>
  <si>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</si>
  <si>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</si>
  <si>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</si>
  <si>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</si>
  <si>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</si>
  <si>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</si>
  <si>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</si>
  <si>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</si>
  <si>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</si>
  <si>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</si>
  <si>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</si>
  <si>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</si>
  <si>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</si>
  <si>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</si>
  <si>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</si>
  <si>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</si>
  <si>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</si>
  <si>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</si>
  <si>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</si>
  <si>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</si>
  <si>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</si>
  <si>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</si>
  <si>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</si>
  <si>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</si>
  <si>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</si>
  <si>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</si>
  <si>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</si>
  <si>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</si>
  <si>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</si>
  <si>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</si>
  <si>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</si>
  <si>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</si>
  <si>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</si>
  <si>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</si>
  <si>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</si>
  <si>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</si>
  <si>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</si>
  <si>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</si>
  <si>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</si>
  <si>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</si>
  <si>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</si>
  <si>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</si>
  <si>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</si>
  <si>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</si>
  <si>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</si>
  <si>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</si>
  <si>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</si>
  <si>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</si>
  <si>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</si>
  <si>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</si>
  <si>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</si>
  <si>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</si>
  <si>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</si>
  <si>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</si>
  <si>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</si>
  <si>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</si>
  <si>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</si>
  <si>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</si>
  <si>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</si>
  <si>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</si>
  <si>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</si>
  <si>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</si>
  <si>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</si>
  <si>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</si>
  <si>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</si>
  <si>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</si>
  <si>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</si>
  <si>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</si>
  <si>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</si>
  <si>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</si>
  <si>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</si>
  <si>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</si>
  <si>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</si>
  <si>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</si>
  <si>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</si>
  <si>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</si>
  <si>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</si>
  <si>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</si>
  <si>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</si>
  <si>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</si>
  <si>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</si>
  <si>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</si>
  <si>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</si>
  <si>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</si>
  <si>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</si>
  <si>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</si>
  <si>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</si>
  <si>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</si>
  <si>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</si>
  <si>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</si>
  <si>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</si>
  <si>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</si>
  <si>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</si>
  <si>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</si>
  <si>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</si>
  <si>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</si>
  <si>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</si>
  <si>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</si>
  <si>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</si>
  <si>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</si>
  <si>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</si>
  <si>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</si>
  <si>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</si>
  <si>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</si>
  <si>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</si>
  <si>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</si>
  <si>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</si>
  <si>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</si>
  <si>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</si>
  <si>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</si>
  <si>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</si>
  <si>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</si>
  <si>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</si>
  <si>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</si>
  <si>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</si>
  <si>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</si>
  <si>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</si>
  <si>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</si>
  <si>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</si>
  <si>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</si>
  <si>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</si>
  <si>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</si>
  <si>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</si>
  <si>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</si>
  <si>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</si>
  <si>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</si>
  <si>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</si>
  <si>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</si>
  <si>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</si>
  <si>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</si>
  <si>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</si>
  <si>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</si>
  <si>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</si>
  <si>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</si>
  <si>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</si>
  <si>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</si>
  <si>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</si>
  <si>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</si>
  <si>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</si>
  <si>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</si>
  <si>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</si>
  <si>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</si>
  <si>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</si>
  <si>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</si>
  <si>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</si>
  <si>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</si>
  <si>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</si>
  <si>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</si>
  <si>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</si>
  <si>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</si>
  <si>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</si>
  <si>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</si>
  <si>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</si>
  <si>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</si>
  <si>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</si>
  <si>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</si>
  <si>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</si>
  <si>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</si>
  <si>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</si>
  <si>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</si>
  <si>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</si>
  <si>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</si>
  <si>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</si>
  <si>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</si>
  <si>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</si>
  <si>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</si>
  <si>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</si>
  <si>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</si>
  <si>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</si>
  <si>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</si>
  <si>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</si>
  <si>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</si>
  <si>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</si>
  <si>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</si>
  <si>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</si>
  <si>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</si>
  <si>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</si>
  <si>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</si>
  <si>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</si>
  <si>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</si>
  <si>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</si>
  <si>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</si>
  <si>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</si>
  <si>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</si>
  <si>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</si>
  <si>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</si>
  <si>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</si>
  <si>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</si>
  <si>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</si>
  <si>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</si>
  <si>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</si>
  <si>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</si>
  <si>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</si>
  <si>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</si>
  <si>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</si>
  <si>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</si>
  <si>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</si>
  <si>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</si>
  <si>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</si>
  <si>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</si>
  <si>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</si>
  <si>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</si>
  <si>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</si>
  <si>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</si>
  <si>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</si>
  <si>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</si>
  <si>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</si>
  <si>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</si>
  <si>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</si>
  <si>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</si>
  <si>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</si>
  <si>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</si>
  <si>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</si>
  <si>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</si>
  <si>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</si>
  <si>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</si>
  <si>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</si>
  <si>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</si>
  <si>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</si>
  <si>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</si>
  <si>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</si>
  <si>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</si>
  <si>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</si>
  <si>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</si>
  <si>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</si>
  <si>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</si>
  <si>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</si>
  <si>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</si>
  <si>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</si>
  <si>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</si>
  <si>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</si>
  <si>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</si>
  <si>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</si>
  <si>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</si>
  <si>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</si>
  <si>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</si>
  <si>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</si>
  <si>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</si>
  <si>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</si>
  <si>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</si>
  <si>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</si>
  <si>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</si>
  <si>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</si>
  <si>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</si>
  <si>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</si>
  <si>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</si>
  <si>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</si>
  <si>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</si>
  <si>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</si>
  <si>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</si>
  <si>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</si>
  <si>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</si>
  <si>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</si>
  <si>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</si>
  <si>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</si>
  <si>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</si>
  <si>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</si>
  <si>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</si>
  <si>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</si>
  <si>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</si>
  <si>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</si>
  <si>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</si>
  <si>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</si>
  <si>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</si>
  <si>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</si>
  <si>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</si>
  <si>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</si>
  <si>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</si>
  <si>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</si>
  <si>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</si>
  <si>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</si>
  <si>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</si>
  <si>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</si>
  <si>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</si>
  <si>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</si>
  <si>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</si>
  <si>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</si>
  <si>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</si>
  <si>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</si>
  <si>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</si>
  <si>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</si>
  <si>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</si>
  <si>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</si>
  <si>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</si>
  <si>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</si>
  <si>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</si>
  <si>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</si>
  <si>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</si>
  <si>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</si>
  <si>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</si>
  <si>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</si>
  <si>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</si>
  <si>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</si>
  <si>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</si>
  <si>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</si>
  <si>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</si>
  <si>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</si>
  <si>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</si>
  <si>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</si>
  <si>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</si>
  <si>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</si>
  <si>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</si>
  <si>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</si>
  <si>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</si>
  <si>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</si>
  <si>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</si>
  <si>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</si>
  <si>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</si>
  <si>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</si>
  <si>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</si>
  <si>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</si>
  <si>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</si>
  <si>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</si>
  <si>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</si>
  <si>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</si>
  <si>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</si>
  <si>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</si>
  <si>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</si>
  <si>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</si>
  <si>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</si>
  <si>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</si>
  <si>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</si>
  <si>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</si>
  <si>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</si>
  <si>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</si>
  <si>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</si>
  <si>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</si>
  <si>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</si>
  <si>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</si>
  <si>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</si>
  <si>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</si>
  <si>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</si>
  <si>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</si>
  <si>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</si>
  <si>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</si>
  <si>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</si>
  <si>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</si>
  <si>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</si>
  <si>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</si>
  <si>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</si>
  <si>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</si>
  <si>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</si>
  <si>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</si>
  <si>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</si>
  <si>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</si>
  <si>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</si>
  <si>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</si>
  <si>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</si>
  <si>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</si>
  <si>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</si>
  <si>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</si>
  <si>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</si>
  <si>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</si>
  <si>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</si>
  <si>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</si>
  <si>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</si>
  <si>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</si>
  <si>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</si>
  <si>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</si>
  <si>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</si>
  <si>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</si>
  <si>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</si>
  <si>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</si>
  <si>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</si>
  <si>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</si>
  <si>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</si>
  <si>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</si>
  <si>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</si>
  <si>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</si>
  <si>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</si>
  <si>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</si>
  <si>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</si>
  <si>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</si>
  <si>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</si>
  <si>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</si>
  <si>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</si>
  <si>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</si>
  <si>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</si>
  <si>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</si>
  <si>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</si>
  <si>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</si>
  <si>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</si>
  <si>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</si>
  <si>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</si>
  <si>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</si>
  <si>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</si>
  <si>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</si>
  <si>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</si>
  <si>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</si>
  <si>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</si>
  <si>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</si>
  <si>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</si>
  <si>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</si>
  <si>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</si>
  <si>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</si>
  <si>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</si>
  <si>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</si>
  <si>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</si>
  <si>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</si>
  <si>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</si>
  <si>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</si>
  <si>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</si>
  <si>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</si>
  <si>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</si>
  <si>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</si>
  <si>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</si>
  <si>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</si>
  <si>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</si>
  <si>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</si>
  <si>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</si>
  <si>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</si>
  <si>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</si>
  <si>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</si>
  <si>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</si>
  <si>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</si>
  <si>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</si>
  <si>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</si>
  <si>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</si>
  <si>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</si>
  <si>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</si>
  <si>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</si>
  <si>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</si>
  <si>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</si>
  <si>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</si>
  <si>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</si>
  <si>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</si>
  <si>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</si>
  <si>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</si>
  <si>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</si>
  <si>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</si>
  <si>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</si>
  <si>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</si>
  <si>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</si>
  <si>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</si>
  <si>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</si>
  <si>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</si>
  <si>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</si>
  <si>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</si>
  <si>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</si>
  <si>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</si>
  <si>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</si>
  <si>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</si>
  <si>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</si>
  <si>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</si>
  <si>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</si>
  <si>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</si>
  <si>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</si>
  <si>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</si>
  <si>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</si>
  <si>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</si>
  <si>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</si>
  <si>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</si>
  <si>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</si>
  <si>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</si>
  <si>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</si>
  <si>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</si>
  <si>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</si>
  <si>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</si>
  <si>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</si>
  <si>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</si>
  <si>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</si>
  <si>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</si>
  <si>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</si>
  <si>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</si>
  <si>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</si>
  <si>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</si>
  <si>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</si>
  <si>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</si>
  <si>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</si>
  <si>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</si>
  <si>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</si>
  <si>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</si>
  <si>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</si>
  <si>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</si>
  <si>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</si>
  <si>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</si>
  <si>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</si>
  <si>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</si>
  <si>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</si>
  <si>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</si>
  <si>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</si>
  <si>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</si>
  <si>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</si>
  <si>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</si>
  <si>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</si>
  <si>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</si>
  <si>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</si>
  <si>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</si>
  <si>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</si>
  <si>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</si>
  <si>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</si>
  <si>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</si>
  <si>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</si>
  <si>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</si>
  <si>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</si>
  <si>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</si>
  <si>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</si>
  <si>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</si>
  <si>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</si>
  <si>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</si>
  <si>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</si>
  <si>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</si>
  <si>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</si>
  <si>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</si>
  <si>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</si>
  <si>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</si>
  <si>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</si>
  <si>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</si>
  <si>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</si>
  <si>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</si>
  <si>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</si>
  <si>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</si>
  <si>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</si>
  <si>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</si>
  <si>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</si>
  <si>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</si>
  <si>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</si>
  <si>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</si>
  <si>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</si>
  <si>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</si>
  <si>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</si>
  <si>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</si>
  <si>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</si>
  <si>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</si>
  <si>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</si>
  <si>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</si>
  <si>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</si>
  <si>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</si>
  <si>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</si>
  <si>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</si>
  <si>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</si>
  <si>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</si>
  <si>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</si>
  <si>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</si>
  <si>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</si>
  <si>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</si>
  <si>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</si>
  <si>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</si>
  <si>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</si>
  <si>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</si>
  <si>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</si>
  <si>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</si>
  <si>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</si>
  <si>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</si>
  <si>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</si>
  <si>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</si>
  <si>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</si>
  <si>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</si>
  <si>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</si>
  <si>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</si>
  <si>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</si>
  <si>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</si>
  <si>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</si>
  <si>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</si>
  <si>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</si>
  <si>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</si>
  <si>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</si>
  <si>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</si>
  <si>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</si>
  <si>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</si>
  <si>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</si>
  <si>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</si>
  <si>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</si>
  <si>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</si>
  <si>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</si>
  <si>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</si>
  <si>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</si>
  <si>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</si>
  <si>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</si>
  <si>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</si>
  <si>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</si>
  <si>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</si>
  <si>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</si>
  <si>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</si>
  <si>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</si>
  <si>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</si>
  <si>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</si>
  <si>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</si>
  <si>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</si>
  <si>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</si>
  <si>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</si>
  <si>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</si>
  <si>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</si>
  <si>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</si>
  <si>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</si>
  <si>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</si>
  <si>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</si>
  <si>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</si>
  <si>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</si>
  <si>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</si>
  <si>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</si>
  <si>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</si>
  <si>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</si>
  <si>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</si>
  <si>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</si>
  <si>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</si>
  <si>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</si>
  <si>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</si>
  <si>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</si>
  <si>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</si>
  <si>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</si>
  <si>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</si>
  <si>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</si>
  <si>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</si>
  <si>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</si>
  <si>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</si>
  <si>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</si>
  <si>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</si>
  <si>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</si>
  <si>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</si>
  <si>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</si>
  <si>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</si>
  <si>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</si>
  <si>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</si>
  <si>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</si>
  <si>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</si>
  <si>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</si>
  <si>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</si>
  <si>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</si>
  <si>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</si>
  <si>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</si>
  <si>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</si>
  <si>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</si>
  <si>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</si>
  <si>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</si>
  <si>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</si>
  <si>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</si>
  <si>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</si>
  <si>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</si>
  <si>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</si>
  <si>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</si>
  <si>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</si>
  <si>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</si>
  <si>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</si>
  <si>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</si>
  <si>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</si>
  <si>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</si>
  <si>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</si>
  <si>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</si>
  <si>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</si>
  <si>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</si>
  <si>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</si>
  <si>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</si>
  <si>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</si>
  <si>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</si>
  <si>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</si>
  <si>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</si>
  <si>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</si>
  <si>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</si>
  <si>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</si>
  <si>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</si>
  <si>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</si>
  <si>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</si>
  <si>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</si>
  <si>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</si>
  <si>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</si>
  <si>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</si>
  <si>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</si>
  <si>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</si>
  <si>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</si>
  <si>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</si>
  <si>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</si>
  <si>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</si>
  <si>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</si>
  <si>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</si>
  <si>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</si>
  <si>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</si>
  <si>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</si>
  <si>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</si>
  <si>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</si>
  <si>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</si>
  <si>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</si>
  <si>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</si>
  <si>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</si>
  <si>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</si>
  <si>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</si>
  <si>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</si>
  <si>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</si>
  <si>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</si>
  <si>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</si>
  <si>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</si>
  <si>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</si>
  <si>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</si>
  <si>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</si>
  <si>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</si>
  <si>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</si>
  <si>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</si>
  <si>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</si>
  <si>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</si>
  <si>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</si>
  <si>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</si>
  <si>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</si>
  <si>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</si>
  <si>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</si>
  <si>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</si>
  <si>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</si>
  <si>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</si>
  <si>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</si>
  <si>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</si>
  <si>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</si>
  <si>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</si>
  <si>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</si>
  <si>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</si>
  <si>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</si>
  <si>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</si>
  <si>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</si>
  <si>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</si>
  <si>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</si>
  <si>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</si>
  <si>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</si>
  <si>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</si>
  <si>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</si>
  <si>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</si>
  <si>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</si>
  <si>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</si>
  <si>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</si>
  <si>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</si>
  <si>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</si>
  <si>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</si>
  <si>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</si>
  <si>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</si>
  <si>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</si>
  <si>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</si>
  <si>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</si>
  <si>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</si>
  <si>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</si>
  <si>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</si>
  <si>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</si>
  <si>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</si>
  <si>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</si>
  <si>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</si>
  <si>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</si>
  <si>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</si>
  <si>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</si>
  <si>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</si>
  <si>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</si>
  <si>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</si>
  <si>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</si>
  <si>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</si>
  <si>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</si>
  <si>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</si>
  <si>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</si>
  <si>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</si>
  <si>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</si>
  <si>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</si>
  <si>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</si>
  <si>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</si>
  <si>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</si>
  <si>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</si>
  <si>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</si>
  <si>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</si>
  <si>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</si>
  <si>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</si>
  <si>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</si>
  <si>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</si>
  <si>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</si>
  <si>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</si>
  <si>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</si>
  <si>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</si>
  <si>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</si>
  <si>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</si>
  <si>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</si>
  <si>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</si>
  <si>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</si>
  <si>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</si>
  <si>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</si>
  <si>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</si>
  <si>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</si>
  <si>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</si>
  <si>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</si>
  <si>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</si>
  <si>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</si>
  <si>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</si>
  <si>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</si>
  <si>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</si>
  <si>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</si>
  <si>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</si>
  <si>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</si>
  <si>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</si>
  <si>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</si>
  <si>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</si>
  <si>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</si>
  <si>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</si>
  <si>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</si>
  <si>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</si>
  <si>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</si>
  <si>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</si>
  <si>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</si>
  <si>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</si>
  <si>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</si>
  <si>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</si>
  <si>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</si>
  <si>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</si>
  <si>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</si>
  <si>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</si>
  <si>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</si>
  <si>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</si>
  <si>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</si>
  <si>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</si>
  <si>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</si>
  <si>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</si>
  <si>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 of Sales</t>
  </si>
  <si>
    <t>Grand Total</t>
  </si>
  <si>
    <t>2019</t>
  </si>
  <si>
    <t>2020</t>
  </si>
  <si>
    <t>2021</t>
  </si>
  <si>
    <t>2022</t>
  </si>
  <si>
    <t>Jan</t>
  </si>
  <si>
    <t>Feb</t>
  </si>
  <si>
    <t>Mar</t>
  </si>
  <si>
    <t>Apr</t>
  </si>
  <si>
    <t>May</t>
  </si>
  <si>
    <t>Jun</t>
  </si>
  <si>
    <t>Jul</t>
  </si>
  <si>
    <t>Aug</t>
  </si>
  <si>
    <t>Sep</t>
  </si>
  <si>
    <t>Oct</t>
  </si>
  <si>
    <t>Nov</t>
  </si>
  <si>
    <t>Dec</t>
  </si>
  <si>
    <t>Years (Order Date)</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</si>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</sst>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_([$$-409]* #,##0.00_);_([$$-409]* \(#,##0.00\);_([$$-409]* &quot;-&quot;??_);_(@_)"/>
    <numFmt numFmtId="167"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0" fontId="0" fillId="0" borderId="0" xfId="0" pivotButton="1"/>
    <xf numFmtId="1" fontId="0" fillId="0" borderId="0" xfId="0" applyNumberFormat="1"/>
    <xf numFmtId="167" fontId="0" fillId="0" borderId="0" xfId="0" applyNumberFormat="1"/>
  </cellXfs>
  <cellStyles count="1">
    <cellStyle name="Normal" xfId="0" builtinId="0"/>
  </cellStyles>
  <dxfs count="15">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numFmt numFmtId="166" formatCode="_([$$-409]* #,##0.00_);_([$$-409]* \(#,##0.00\);_([$$-409]* &quot;-&quot;??_);_(@_)"/>
    </dxf>
    <dxf>
      <font>
        <b/>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fill>
        <patternFill>
          <bgColor rgb="FF3C1464"/>
        </patternFill>
      </fill>
      <border>
        <left style="thin">
          <color theme="0"/>
        </left>
        <right style="thin">
          <color theme="0"/>
        </right>
        <top style="thin">
          <color theme="0"/>
        </top>
        <bottom style="thin">
          <color theme="0"/>
        </bottom>
      </border>
    </dxf>
    <dxf>
      <numFmt numFmtId="0" formatCode="General"/>
    </dxf>
    <dxf>
      <numFmt numFmtId="166" formatCode="_([$$-409]* #,##0.00_);_([$$-409]* \(#,##0.00\);_([$$-409]* &quot;-&quot;??_);_(@_)"/>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8C379B4E-1318-4381-9C29-F9AB78C37458}">
      <tableStyleElement type="wholeTable" dxfId="6"/>
      <tableStyleElement type="headerRow" dxfId="5"/>
    </tableStyle>
    <tableStyle name="Purple Timeline Style" pivot="0" table="0" count="8" xr9:uid="{14B1D4B1-DF8F-4508-9BF9-BEB35C8B6839}">
      <tableStyleElement type="wholeTable" dxfId="1"/>
      <tableStyleElement type="headerRow" dxfId="0"/>
    </tableStyle>
  </tableStyles>
  <colors>
    <mruColors>
      <color rgb="FF3C1464"/>
      <color rgb="FF85FFBC"/>
      <color rgb="FF4BFF9C"/>
      <color rgb="FF00C85A"/>
      <color rgb="FF005C2A"/>
      <color rgb="FFEEEEEE"/>
      <color rgb="FFA366E0"/>
      <color rgb="FFE0CCF4"/>
      <color rgb="FFD9C0F2"/>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rgb="FFEEEEEE"/>
            </patternFill>
          </fill>
        </dxf>
        <dxf>
          <fill>
            <patternFill patternType="solid">
              <fgColor theme="0"/>
              <bgColor rgb="FFA366E0"/>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rgb="FFEEEEEE"/>
            </patternFill>
          </fill>
        </dxf>
        <dxf>
          <fill>
            <patternFill patternType="solid">
              <fgColor theme="0"/>
              <bgColor rgb="FFA366E0"/>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B0F0"/>
            </a:solidFill>
            <a:round/>
          </a:ln>
          <a:effectLst/>
        </c:spPr>
        <c:marker>
          <c:symbol val="none"/>
        </c:marker>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rgbClr val="00B0F0"/>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316-4F39-9106-31C512721502}"/>
            </c:ext>
          </c:extLst>
        </c:ser>
        <c:ser>
          <c:idx val="1"/>
          <c:order val="1"/>
          <c:tx>
            <c:strRef>
              <c:f>'Total Sales'!$D$3:$D$4</c:f>
              <c:strCache>
                <c:ptCount val="1"/>
                <c:pt idx="0">
                  <c:v>Exc</c:v>
                </c:pt>
              </c:strCache>
            </c:strRef>
          </c:tx>
          <c:spPr>
            <a:ln w="28575" cap="rnd">
              <a:solidFill>
                <a:schemeClr val="accent2">
                  <a:lumMod val="50000"/>
                </a:schemeClr>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0316-4F39-9106-31C512721502}"/>
            </c:ext>
          </c:extLst>
        </c:ser>
        <c:ser>
          <c:idx val="2"/>
          <c:order val="2"/>
          <c:tx>
            <c:strRef>
              <c:f>'Total Sales'!$E$3:$E$4</c:f>
              <c:strCache>
                <c:ptCount val="1"/>
                <c:pt idx="0">
                  <c:v>Lib</c:v>
                </c:pt>
              </c:strCache>
            </c:strRef>
          </c:tx>
          <c:spPr>
            <a:ln w="28575" cap="rnd">
              <a:solidFill>
                <a:srgbClr val="FFFF00"/>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0316-4F39-9106-31C512721502}"/>
            </c:ext>
          </c:extLst>
        </c:ser>
        <c:ser>
          <c:idx val="3"/>
          <c:order val="3"/>
          <c:tx>
            <c:strRef>
              <c:f>'Total Sales'!$F$3:$F$4</c:f>
              <c:strCache>
                <c:ptCount val="1"/>
                <c:pt idx="0">
                  <c:v>Rob</c:v>
                </c:pt>
              </c:strCache>
            </c:strRef>
          </c:tx>
          <c:spPr>
            <a:ln w="28575" cap="rnd">
              <a:solidFill>
                <a:srgbClr val="C00000"/>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9-0316-4F39-9106-31C512721502}"/>
            </c:ext>
          </c:extLst>
        </c:ser>
        <c:dLbls>
          <c:showLegendKey val="0"/>
          <c:showVal val="0"/>
          <c:showCatName val="0"/>
          <c:showSerName val="0"/>
          <c:showPercent val="0"/>
          <c:showBubbleSize val="0"/>
        </c:dLbls>
        <c:smooth val="0"/>
        <c:axId val="1771589328"/>
        <c:axId val="252032239"/>
      </c:lineChart>
      <c:catAx>
        <c:axId val="177158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52032239"/>
        <c:crosses val="autoZero"/>
        <c:auto val="1"/>
        <c:lblAlgn val="ctr"/>
        <c:lblOffset val="100"/>
        <c:noMultiLvlLbl val="0"/>
      </c:catAx>
      <c:valAx>
        <c:axId val="252032239"/>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7158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C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 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chemeClr val="accent6">
              <a:lumMod val="20000"/>
              <a:lumOff val="80000"/>
            </a:schemeClr>
          </a:solidFill>
          <a:ln w="25400">
            <a:solidFill>
              <a:schemeClr val="bg1"/>
            </a:solidFill>
          </a:ln>
          <a:effectLst/>
        </c:spPr>
      </c:pivotFmt>
      <c:pivotFmt>
        <c:idx val="3"/>
        <c:spPr>
          <a:solidFill>
            <a:schemeClr val="accent6">
              <a:lumMod val="60000"/>
              <a:lumOff val="40000"/>
            </a:scheme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4-26D9-4E81-931B-51A48E84EB37}"/>
              </c:ext>
            </c:extLst>
          </c:dPt>
          <c:dPt>
            <c:idx val="1"/>
            <c:invertIfNegative val="0"/>
            <c:bubble3D val="0"/>
            <c:spPr>
              <a:solidFill>
                <a:schemeClr val="accent6">
                  <a:lumMod val="20000"/>
                  <a:lumOff val="80000"/>
                </a:schemeClr>
              </a:solidFill>
              <a:ln w="25400">
                <a:solidFill>
                  <a:schemeClr val="bg1"/>
                </a:solidFill>
              </a:ln>
              <a:effectLst/>
            </c:spPr>
            <c:extLst>
              <c:ext xmlns:c16="http://schemas.microsoft.com/office/drawing/2014/chart" uri="{C3380CC4-5D6E-409C-BE32-E72D297353CC}">
                <c16:uniqueId val="{00000003-26D9-4E81-931B-51A48E84EB37}"/>
              </c:ext>
            </c:extLst>
          </c:dPt>
          <c:dPt>
            <c:idx val="2"/>
            <c:invertIfNegative val="0"/>
            <c:bubble3D val="0"/>
            <c:spPr>
              <a:solidFill>
                <a:schemeClr val="accent6">
                  <a:lumMod val="50000"/>
                </a:schemeClr>
              </a:solidFill>
              <a:ln w="25400">
                <a:solidFill>
                  <a:schemeClr val="bg1"/>
                </a:solidFill>
              </a:ln>
              <a:effectLst/>
            </c:spPr>
            <c:extLst>
              <c:ext xmlns:c16="http://schemas.microsoft.com/office/drawing/2014/chart" uri="{C3380CC4-5D6E-409C-BE32-E72D297353CC}">
                <c16:uniqueId val="{00000002-26D9-4E81-931B-51A48E84EB37}"/>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26D9-4E81-931B-51A48E84EB37}"/>
            </c:ext>
          </c:extLst>
        </c:ser>
        <c:dLbls>
          <c:dLblPos val="outEnd"/>
          <c:showLegendKey val="0"/>
          <c:showVal val="1"/>
          <c:showCatName val="0"/>
          <c:showSerName val="0"/>
          <c:showPercent val="0"/>
          <c:showBubbleSize val="0"/>
        </c:dLbls>
        <c:gapWidth val="182"/>
        <c:axId val="319432943"/>
        <c:axId val="252066319"/>
      </c:barChart>
      <c:catAx>
        <c:axId val="31943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52066319"/>
        <c:crosses val="autoZero"/>
        <c:auto val="1"/>
        <c:lblAlgn val="ctr"/>
        <c:lblOffset val="100"/>
        <c:noMultiLvlLbl val="0"/>
      </c:catAx>
      <c:valAx>
        <c:axId val="252066319"/>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1943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C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 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chemeClr val="accent6">
              <a:lumMod val="20000"/>
              <a:lumOff val="80000"/>
            </a:schemeClr>
          </a:solidFill>
          <a:ln w="25400">
            <a:solidFill>
              <a:schemeClr val="bg1"/>
            </a:solidFill>
          </a:ln>
          <a:effectLst/>
        </c:spPr>
      </c:pivotFmt>
      <c:pivotFmt>
        <c:idx val="3"/>
        <c:spPr>
          <a:solidFill>
            <a:schemeClr val="accent6">
              <a:lumMod val="60000"/>
              <a:lumOff val="40000"/>
            </a:schemeClr>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25400">
            <a:solidFill>
              <a:schemeClr val="bg1"/>
            </a:solidFill>
          </a:ln>
          <a:effectLst/>
        </c:spPr>
      </c:pivotFmt>
      <c:pivotFmt>
        <c:idx val="6"/>
        <c:spPr>
          <a:solidFill>
            <a:schemeClr val="accent6">
              <a:lumMod val="20000"/>
              <a:lumOff val="80000"/>
            </a:schemeClr>
          </a:solidFill>
          <a:ln w="25400">
            <a:solidFill>
              <a:schemeClr val="bg1"/>
            </a:solidFill>
          </a:ln>
          <a:effectLst/>
        </c:spPr>
      </c:pivotFmt>
      <c:pivotFmt>
        <c:idx val="7"/>
        <c:spPr>
          <a:solidFill>
            <a:schemeClr val="accent6">
              <a:lumMod val="50000"/>
            </a:schemeClr>
          </a:solidFill>
          <a:ln w="25400">
            <a:solidFill>
              <a:schemeClr val="bg1"/>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9834-46F3-BCF3-0333F1C905CE}"/>
              </c:ext>
            </c:extLst>
          </c:dPt>
          <c:dPt>
            <c:idx val="1"/>
            <c:invertIfNegative val="0"/>
            <c:bubble3D val="0"/>
            <c:extLst>
              <c:ext xmlns:c16="http://schemas.microsoft.com/office/drawing/2014/chart" uri="{C3380CC4-5D6E-409C-BE32-E72D297353CC}">
                <c16:uniqueId val="{00000003-9834-46F3-BCF3-0333F1C905CE}"/>
              </c:ext>
            </c:extLst>
          </c:dPt>
          <c:dPt>
            <c:idx val="2"/>
            <c:invertIfNegative val="0"/>
            <c:bubble3D val="0"/>
            <c:extLst>
              <c:ext xmlns:c16="http://schemas.microsoft.com/office/drawing/2014/chart" uri="{C3380CC4-5D6E-409C-BE32-E72D297353CC}">
                <c16:uniqueId val="{00000005-9834-46F3-BCF3-0333F1C905CE}"/>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9834-46F3-BCF3-0333F1C905CE}"/>
            </c:ext>
          </c:extLst>
        </c:ser>
        <c:dLbls>
          <c:dLblPos val="outEnd"/>
          <c:showLegendKey val="0"/>
          <c:showVal val="1"/>
          <c:showCatName val="0"/>
          <c:showSerName val="0"/>
          <c:showPercent val="0"/>
          <c:showBubbleSize val="0"/>
        </c:dLbls>
        <c:gapWidth val="182"/>
        <c:axId val="319432943"/>
        <c:axId val="252066319"/>
      </c:barChart>
      <c:catAx>
        <c:axId val="31943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52066319"/>
        <c:crosses val="autoZero"/>
        <c:auto val="1"/>
        <c:lblAlgn val="ctr"/>
        <c:lblOffset val="100"/>
        <c:noMultiLvlLbl val="0"/>
      </c:catAx>
      <c:valAx>
        <c:axId val="252066319"/>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1943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C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rgbClr val="00B0F0"/>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702-490A-B47A-811B4638581E}"/>
            </c:ext>
          </c:extLst>
        </c:ser>
        <c:ser>
          <c:idx val="1"/>
          <c:order val="1"/>
          <c:tx>
            <c:strRef>
              <c:f>'Total Sales'!$D$3:$D$4</c:f>
              <c:strCache>
                <c:ptCount val="1"/>
                <c:pt idx="0">
                  <c:v>Exc</c:v>
                </c:pt>
              </c:strCache>
            </c:strRef>
          </c:tx>
          <c:spPr>
            <a:ln w="28575" cap="rnd">
              <a:solidFill>
                <a:schemeClr val="accent2">
                  <a:lumMod val="50000"/>
                </a:schemeClr>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702-490A-B47A-811B4638581E}"/>
            </c:ext>
          </c:extLst>
        </c:ser>
        <c:ser>
          <c:idx val="2"/>
          <c:order val="2"/>
          <c:tx>
            <c:strRef>
              <c:f>'Total Sales'!$E$3:$E$4</c:f>
              <c:strCache>
                <c:ptCount val="1"/>
                <c:pt idx="0">
                  <c:v>Lib</c:v>
                </c:pt>
              </c:strCache>
            </c:strRef>
          </c:tx>
          <c:spPr>
            <a:ln w="28575" cap="rnd">
              <a:solidFill>
                <a:srgbClr val="FFFF00"/>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702-490A-B47A-811B4638581E}"/>
            </c:ext>
          </c:extLst>
        </c:ser>
        <c:ser>
          <c:idx val="3"/>
          <c:order val="3"/>
          <c:tx>
            <c:strRef>
              <c:f>'Total Sales'!$F$3:$F$4</c:f>
              <c:strCache>
                <c:ptCount val="1"/>
                <c:pt idx="0">
                  <c:v>Rob</c:v>
                </c:pt>
              </c:strCache>
            </c:strRef>
          </c:tx>
          <c:spPr>
            <a:ln w="28575" cap="rnd">
              <a:solidFill>
                <a:srgbClr val="C00000"/>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D702-490A-B47A-811B4638581E}"/>
            </c:ext>
          </c:extLst>
        </c:ser>
        <c:dLbls>
          <c:showLegendKey val="0"/>
          <c:showVal val="0"/>
          <c:showCatName val="0"/>
          <c:showSerName val="0"/>
          <c:showPercent val="0"/>
          <c:showBubbleSize val="0"/>
        </c:dLbls>
        <c:smooth val="0"/>
        <c:axId val="1771589328"/>
        <c:axId val="252032239"/>
      </c:lineChart>
      <c:catAx>
        <c:axId val="177158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52032239"/>
        <c:crosses val="autoZero"/>
        <c:auto val="1"/>
        <c:lblAlgn val="ctr"/>
        <c:lblOffset val="100"/>
        <c:noMultiLvlLbl val="0"/>
      </c:catAx>
      <c:valAx>
        <c:axId val="252032239"/>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7158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C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 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chemeClr val="accent6">
              <a:lumMod val="20000"/>
              <a:lumOff val="80000"/>
            </a:schemeClr>
          </a:solidFill>
          <a:ln w="25400">
            <a:solidFill>
              <a:schemeClr val="bg1"/>
            </a:solidFill>
          </a:ln>
          <a:effectLst/>
        </c:spPr>
      </c:pivotFmt>
      <c:pivotFmt>
        <c:idx val="3"/>
        <c:spPr>
          <a:solidFill>
            <a:schemeClr val="accent6">
              <a:lumMod val="60000"/>
              <a:lumOff val="40000"/>
            </a:schemeClr>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25400">
            <a:solidFill>
              <a:schemeClr val="bg1"/>
            </a:solidFill>
          </a:ln>
          <a:effectLst/>
        </c:spPr>
      </c:pivotFmt>
      <c:pivotFmt>
        <c:idx val="6"/>
        <c:spPr>
          <a:solidFill>
            <a:schemeClr val="accent6">
              <a:lumMod val="20000"/>
              <a:lumOff val="80000"/>
            </a:schemeClr>
          </a:solidFill>
          <a:ln w="25400">
            <a:solidFill>
              <a:schemeClr val="bg1"/>
            </a:solidFill>
          </a:ln>
          <a:effectLst/>
        </c:spPr>
      </c:pivotFmt>
      <c:pivotFmt>
        <c:idx val="7"/>
        <c:spPr>
          <a:solidFill>
            <a:schemeClr val="accent6">
              <a:lumMod val="50000"/>
            </a:schemeClr>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25400">
            <a:solidFill>
              <a:schemeClr val="bg1"/>
            </a:solidFill>
          </a:ln>
          <a:effectLst/>
        </c:spPr>
      </c:pivotFmt>
      <c:pivotFmt>
        <c:idx val="10"/>
        <c:spPr>
          <a:solidFill>
            <a:schemeClr val="accent6">
              <a:lumMod val="20000"/>
              <a:lumOff val="80000"/>
            </a:schemeClr>
          </a:solidFill>
          <a:ln w="25400">
            <a:solidFill>
              <a:schemeClr val="bg1"/>
            </a:solidFill>
          </a:ln>
          <a:effectLst/>
        </c:spPr>
      </c:pivotFmt>
      <c:pivotFmt>
        <c:idx val="11"/>
        <c:spPr>
          <a:solidFill>
            <a:schemeClr val="accent6">
              <a:lumMod val="50000"/>
            </a:scheme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1-600F-458A-A109-8F69BC199DD9}"/>
              </c:ext>
            </c:extLst>
          </c:dPt>
          <c:dPt>
            <c:idx val="1"/>
            <c:invertIfNegative val="0"/>
            <c:bubble3D val="0"/>
            <c:spPr>
              <a:solidFill>
                <a:schemeClr val="accent6">
                  <a:lumMod val="20000"/>
                  <a:lumOff val="80000"/>
                </a:schemeClr>
              </a:solidFill>
              <a:ln w="25400">
                <a:solidFill>
                  <a:schemeClr val="bg1"/>
                </a:solidFill>
              </a:ln>
              <a:effectLst/>
            </c:spPr>
            <c:extLst>
              <c:ext xmlns:c16="http://schemas.microsoft.com/office/drawing/2014/chart" uri="{C3380CC4-5D6E-409C-BE32-E72D297353CC}">
                <c16:uniqueId val="{00000003-600F-458A-A109-8F69BC199DD9}"/>
              </c:ext>
            </c:extLst>
          </c:dPt>
          <c:dPt>
            <c:idx val="2"/>
            <c:invertIfNegative val="0"/>
            <c:bubble3D val="0"/>
            <c:spPr>
              <a:solidFill>
                <a:schemeClr val="accent6">
                  <a:lumMod val="50000"/>
                </a:schemeClr>
              </a:solidFill>
              <a:ln w="25400">
                <a:solidFill>
                  <a:schemeClr val="bg1"/>
                </a:solidFill>
              </a:ln>
              <a:effectLst/>
            </c:spPr>
            <c:extLst>
              <c:ext xmlns:c16="http://schemas.microsoft.com/office/drawing/2014/chart" uri="{C3380CC4-5D6E-409C-BE32-E72D297353CC}">
                <c16:uniqueId val="{00000005-600F-458A-A109-8F69BC199DD9}"/>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600F-458A-A109-8F69BC199DD9}"/>
            </c:ext>
          </c:extLst>
        </c:ser>
        <c:dLbls>
          <c:dLblPos val="outEnd"/>
          <c:showLegendKey val="0"/>
          <c:showVal val="1"/>
          <c:showCatName val="0"/>
          <c:showSerName val="0"/>
          <c:showPercent val="0"/>
          <c:showBubbleSize val="0"/>
        </c:dLbls>
        <c:gapWidth val="182"/>
        <c:axId val="319432943"/>
        <c:axId val="252066319"/>
      </c:barChart>
      <c:catAx>
        <c:axId val="31943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52066319"/>
        <c:crosses val="autoZero"/>
        <c:auto val="1"/>
        <c:lblAlgn val="ctr"/>
        <c:lblOffset val="100"/>
        <c:noMultiLvlLbl val="0"/>
      </c:catAx>
      <c:valAx>
        <c:axId val="252066319"/>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1943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C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 Sales</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chemeClr val="accent6">
              <a:lumMod val="20000"/>
              <a:lumOff val="80000"/>
            </a:schemeClr>
          </a:solidFill>
          <a:ln w="25400">
            <a:solidFill>
              <a:schemeClr val="bg1"/>
            </a:solidFill>
          </a:ln>
          <a:effectLst/>
        </c:spPr>
      </c:pivotFmt>
      <c:pivotFmt>
        <c:idx val="3"/>
        <c:spPr>
          <a:solidFill>
            <a:schemeClr val="accent6">
              <a:lumMod val="60000"/>
              <a:lumOff val="40000"/>
            </a:schemeClr>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25400">
            <a:solidFill>
              <a:schemeClr val="bg1"/>
            </a:solidFill>
          </a:ln>
          <a:effectLst/>
        </c:spPr>
      </c:pivotFmt>
      <c:pivotFmt>
        <c:idx val="6"/>
        <c:spPr>
          <a:solidFill>
            <a:schemeClr val="accent6">
              <a:lumMod val="20000"/>
              <a:lumOff val="80000"/>
            </a:schemeClr>
          </a:solidFill>
          <a:ln w="25400">
            <a:solidFill>
              <a:schemeClr val="bg1"/>
            </a:solidFill>
          </a:ln>
          <a:effectLst/>
        </c:spPr>
      </c:pivotFmt>
      <c:pivotFmt>
        <c:idx val="7"/>
        <c:spPr>
          <a:solidFill>
            <a:schemeClr val="accent6">
              <a:lumMod val="50000"/>
            </a:schemeClr>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5CCF-418C-B658-4896480066A5}"/>
              </c:ext>
            </c:extLst>
          </c:dPt>
          <c:dPt>
            <c:idx val="1"/>
            <c:invertIfNegative val="0"/>
            <c:bubble3D val="0"/>
            <c:extLst>
              <c:ext xmlns:c16="http://schemas.microsoft.com/office/drawing/2014/chart" uri="{C3380CC4-5D6E-409C-BE32-E72D297353CC}">
                <c16:uniqueId val="{00000001-5CCF-418C-B658-4896480066A5}"/>
              </c:ext>
            </c:extLst>
          </c:dPt>
          <c:dPt>
            <c:idx val="2"/>
            <c:invertIfNegative val="0"/>
            <c:bubble3D val="0"/>
            <c:extLst>
              <c:ext xmlns:c16="http://schemas.microsoft.com/office/drawing/2014/chart" uri="{C3380CC4-5D6E-409C-BE32-E72D297353CC}">
                <c16:uniqueId val="{00000002-5CCF-418C-B658-4896480066A5}"/>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5CCF-418C-B658-4896480066A5}"/>
            </c:ext>
          </c:extLst>
        </c:ser>
        <c:dLbls>
          <c:dLblPos val="outEnd"/>
          <c:showLegendKey val="0"/>
          <c:showVal val="1"/>
          <c:showCatName val="0"/>
          <c:showSerName val="0"/>
          <c:showPercent val="0"/>
          <c:showBubbleSize val="0"/>
        </c:dLbls>
        <c:gapWidth val="182"/>
        <c:axId val="319432943"/>
        <c:axId val="252066319"/>
      </c:barChart>
      <c:catAx>
        <c:axId val="31943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52066319"/>
        <c:crosses val="autoZero"/>
        <c:auto val="1"/>
        <c:lblAlgn val="ctr"/>
        <c:lblOffset val="100"/>
        <c:noMultiLvlLbl val="0"/>
      </c:catAx>
      <c:valAx>
        <c:axId val="252066319"/>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1943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C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97971</xdr:colOff>
      <xdr:row>1</xdr:row>
      <xdr:rowOff>126999</xdr:rowOff>
    </xdr:from>
    <xdr:to>
      <xdr:col>20</xdr:col>
      <xdr:colOff>606777</xdr:colOff>
      <xdr:row>33</xdr:row>
      <xdr:rowOff>0</xdr:rowOff>
    </xdr:to>
    <xdr:graphicFrame macro="">
      <xdr:nvGraphicFramePr>
        <xdr:cNvPr id="2" name="Chart 1">
          <a:extLst>
            <a:ext uri="{FF2B5EF4-FFF2-40B4-BE49-F238E27FC236}">
              <a16:creationId xmlns:a16="http://schemas.microsoft.com/office/drawing/2014/main" id="{00A7557F-EB45-BD69-0147-9BE23CF03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133350</xdr:colOff>
      <xdr:row>37</xdr:row>
      <xdr:rowOff>180622</xdr:rowOff>
    </xdr:from>
    <xdr:to>
      <xdr:col>19</xdr:col>
      <xdr:colOff>571500</xdr:colOff>
      <xdr:row>45</xdr:row>
      <xdr:rowOff>84666</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9159C58A-6E45-C959-FE10-D1D9BB9FC50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226072" y="6968066"/>
              <a:ext cx="6505928"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98072</xdr:colOff>
      <xdr:row>47</xdr:row>
      <xdr:rowOff>105129</xdr:rowOff>
    </xdr:from>
    <xdr:to>
      <xdr:col>15</xdr:col>
      <xdr:colOff>106539</xdr:colOff>
      <xdr:row>53</xdr:row>
      <xdr:rowOff>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243823B7-925A-70FA-CFA8-D3E01A65871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011128" y="8727018"/>
              <a:ext cx="1828800" cy="995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519288</xdr:colOff>
      <xdr:row>47</xdr:row>
      <xdr:rowOff>131234</xdr:rowOff>
    </xdr:from>
    <xdr:to>
      <xdr:col>18</xdr:col>
      <xdr:colOff>527755</xdr:colOff>
      <xdr:row>53</xdr:row>
      <xdr:rowOff>155223</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433252A1-BD2A-91A1-90A6-88782C89A50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252677" y="8753123"/>
              <a:ext cx="1828800" cy="1124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723898</xdr:colOff>
      <xdr:row>51</xdr:row>
      <xdr:rowOff>110068</xdr:rowOff>
    </xdr:from>
    <xdr:to>
      <xdr:col>9</xdr:col>
      <xdr:colOff>141110</xdr:colOff>
      <xdr:row>55</xdr:row>
      <xdr:rowOff>155223</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78D2B047-0B0D-90F1-342C-E3C12CE8CC0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4957231" y="9465735"/>
              <a:ext cx="3276601" cy="778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987777</xdr:colOff>
      <xdr:row>9</xdr:row>
      <xdr:rowOff>28222</xdr:rowOff>
    </xdr:from>
    <xdr:to>
      <xdr:col>11</xdr:col>
      <xdr:colOff>585610</xdr:colOff>
      <xdr:row>39</xdr:row>
      <xdr:rowOff>48684</xdr:rowOff>
    </xdr:to>
    <xdr:graphicFrame macro="">
      <xdr:nvGraphicFramePr>
        <xdr:cNvPr id="7" name="Chart 6">
          <a:extLst>
            <a:ext uri="{FF2B5EF4-FFF2-40B4-BE49-F238E27FC236}">
              <a16:creationId xmlns:a16="http://schemas.microsoft.com/office/drawing/2014/main" id="{048E1B3A-3ACD-20B1-3363-7100085EB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987777</xdr:colOff>
      <xdr:row>9</xdr:row>
      <xdr:rowOff>28222</xdr:rowOff>
    </xdr:from>
    <xdr:to>
      <xdr:col>11</xdr:col>
      <xdr:colOff>585610</xdr:colOff>
      <xdr:row>39</xdr:row>
      <xdr:rowOff>48684</xdr:rowOff>
    </xdr:to>
    <xdr:graphicFrame macro="">
      <xdr:nvGraphicFramePr>
        <xdr:cNvPr id="2" name="Chart 1">
          <a:extLst>
            <a:ext uri="{FF2B5EF4-FFF2-40B4-BE49-F238E27FC236}">
              <a16:creationId xmlns:a16="http://schemas.microsoft.com/office/drawing/2014/main" id="{2E1AC384-92EA-4A49-9CFB-5346D20A4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0D228AA8-D7BA-A1C3-B48D-C389808238C6}"/>
            </a:ext>
          </a:extLst>
        </xdr:cNvPr>
        <xdr:cNvSpPr/>
      </xdr:nvSpPr>
      <xdr:spPr>
        <a:xfrm>
          <a:off x="114300" y="63500"/>
          <a:ext cx="15240000" cy="7366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solidFill>
                <a:schemeClr val="bg1"/>
              </a:solidFill>
            </a:rPr>
            <a:t>COFFEE</a:t>
          </a:r>
          <a:r>
            <a:rPr lang="en-US" sz="4400" baseline="0">
              <a:solidFill>
                <a:schemeClr val="bg1"/>
              </a:solidFill>
            </a:rPr>
            <a:t> SALES DASHBOARD</a:t>
          </a:r>
          <a:endParaRPr lang="en-US" sz="4400">
            <a:solidFill>
              <a:schemeClr val="bg1"/>
            </a:solidFill>
          </a:endParaRPr>
        </a:p>
      </xdr:txBody>
    </xdr:sp>
    <xdr:clientData/>
  </xdr:twoCellAnchor>
  <xdr:twoCellAnchor>
    <xdr:from>
      <xdr:col>1</xdr:col>
      <xdr:colOff>0</xdr:colOff>
      <xdr:row>17</xdr:row>
      <xdr:rowOff>-1</xdr:rowOff>
    </xdr:from>
    <xdr:to>
      <xdr:col>14</xdr:col>
      <xdr:colOff>495703</xdr:colOff>
      <xdr:row>40</xdr:row>
      <xdr:rowOff>-1</xdr:rowOff>
    </xdr:to>
    <xdr:graphicFrame macro="">
      <xdr:nvGraphicFramePr>
        <xdr:cNvPr id="4" name="Chart 3">
          <a:extLst>
            <a:ext uri="{FF2B5EF4-FFF2-40B4-BE49-F238E27FC236}">
              <a16:creationId xmlns:a16="http://schemas.microsoft.com/office/drawing/2014/main" id="{28C90489-FF6C-4021-A3FB-295FCBF9C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6</xdr:row>
      <xdr:rowOff>0</xdr:rowOff>
    </xdr:from>
    <xdr:to>
      <xdr:col>18</xdr:col>
      <xdr:colOff>0</xdr:colOff>
      <xdr:row>16</xdr:row>
      <xdr:rowOff>0</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919835C1-1785-4F73-9228-99921533B59B}"/>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4299" y="863600"/>
              <a:ext cx="9867901" cy="1841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5443</xdr:colOff>
      <xdr:row>16</xdr:row>
      <xdr:rowOff>0</xdr:rowOff>
    </xdr:to>
    <mc:AlternateContent xmlns:mc="http://schemas.openxmlformats.org/markup-compatibility/2006">
      <mc:Choice xmlns:a14="http://schemas.microsoft.com/office/drawing/2010/main" Requires="a14">
        <xdr:graphicFrame macro="">
          <xdr:nvGraphicFramePr>
            <xdr:cNvPr id="6" name="Size 1">
              <a:extLst>
                <a:ext uri="{FF2B5EF4-FFF2-40B4-BE49-F238E27FC236}">
                  <a16:creationId xmlns:a16="http://schemas.microsoft.com/office/drawing/2014/main" id="{B5B1B45C-71ED-4E48-ADB9-BBD368242F8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096500" y="1784350"/>
              <a:ext cx="1834243" cy="92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113393</xdr:colOff>
      <xdr:row>11</xdr:row>
      <xdr:rowOff>0</xdr:rowOff>
    </xdr:from>
    <xdr:to>
      <xdr:col>26</xdr:col>
      <xdr:colOff>907</xdr:colOff>
      <xdr:row>16</xdr:row>
      <xdr:rowOff>0</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BF76E50B-B321-4623-9E35-3EDD9BB8AFF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038693" y="1784350"/>
              <a:ext cx="1830614" cy="92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134860</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0CF91698-CA44-4932-8FAA-F8C1D374848D}"/>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096500" y="863600"/>
              <a:ext cx="3771900" cy="871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16</xdr:row>
      <xdr:rowOff>145144</xdr:rowOff>
    </xdr:from>
    <xdr:to>
      <xdr:col>26</xdr:col>
      <xdr:colOff>0</xdr:colOff>
      <xdr:row>28</xdr:row>
      <xdr:rowOff>0</xdr:rowOff>
    </xdr:to>
    <xdr:graphicFrame macro="">
      <xdr:nvGraphicFramePr>
        <xdr:cNvPr id="9" name="Chart 8">
          <a:extLst>
            <a:ext uri="{FF2B5EF4-FFF2-40B4-BE49-F238E27FC236}">
              <a16:creationId xmlns:a16="http://schemas.microsoft.com/office/drawing/2014/main" id="{833E2257-34F6-423C-9CC8-93625FCFB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28</xdr:row>
      <xdr:rowOff>81643</xdr:rowOff>
    </xdr:from>
    <xdr:to>
      <xdr:col>26</xdr:col>
      <xdr:colOff>0</xdr:colOff>
      <xdr:row>40</xdr:row>
      <xdr:rowOff>0</xdr:rowOff>
    </xdr:to>
    <xdr:graphicFrame macro="">
      <xdr:nvGraphicFramePr>
        <xdr:cNvPr id="10" name="Chart 9">
          <a:extLst>
            <a:ext uri="{FF2B5EF4-FFF2-40B4-BE49-F238E27FC236}">
              <a16:creationId xmlns:a16="http://schemas.microsoft.com/office/drawing/2014/main" id="{3DE5473F-7E41-4EF5-BCB2-B3BA6DFBC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mjeed Abdullah" refreshedDate="46289.567033680556" createdVersion="8" refreshedVersion="8" minRefreshableVersion="3" recordCount="1000" xr:uid="{451D124D-B18E-401B-9E10-B7C2E56C0C03}">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ntainsMixedTypes="1" containsNumber="1" containsInteger="1" minValue="0" maxValue="0"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n v="0" u="1"/>
      </sharedItems>
    </cacheField>
    <cacheField name="Email" numFmtId="0">
      <sharedItems/>
    </cacheField>
    <cacheField name="Country" numFmtId="0">
      <sharedItems containsMixedTypes="1" containsNumber="1" containsInteger="1" minValue="0" maxValue="0" count="4">
        <s v="United States"/>
        <s v="Ireland"/>
        <s v="United Kingdom"/>
        <n v="0" u="1"/>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4782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
    <x v="0"/>
    <x v="3"/>
    <s v="D"/>
    <x v="2"/>
    <n v="29.784999999999997"/>
    <n v="89.35499999999999"/>
    <s v="Liberica"/>
    <x v="2"/>
    <x v="1"/>
  </r>
  <r>
    <s v="NOP-21394-646"/>
    <x v="170"/>
    <s v="16982-35708-BZ"/>
    <s v="L-L-0.5"/>
    <n v="4"/>
    <x v="185"/>
    <s v=""/>
    <x v="0"/>
    <x v="3"/>
    <s v="L"/>
    <x v="1"/>
    <n v="9.51"/>
    <n v="38.04"/>
    <s v="Liberica"/>
    <x v="1"/>
    <x v="1"/>
  </r>
  <r>
    <s v="NOP-21394-646"/>
    <x v="170"/>
    <s v="16982-35708-BZ"/>
    <s v="E-M-1"/>
    <n v="3"/>
    <x v="185"/>
    <s v=""/>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
    <x v="0"/>
    <x v="3"/>
    <s v="D"/>
    <x v="1"/>
    <n v="7.77"/>
    <n v="31.08"/>
    <s v="Liberica"/>
    <x v="2"/>
    <x v="1"/>
  </r>
  <r>
    <s v="WNR-71736-993"/>
    <x v="350"/>
    <s v="16880-78077-FB"/>
    <s v="A-D-2.5"/>
    <n v="6"/>
    <x v="347"/>
    <s v=""/>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
    <x v="2"/>
    <x v="3"/>
    <s v="D"/>
    <x v="0"/>
    <n v="12.95"/>
    <n v="51.8"/>
    <s v="Liberica"/>
    <x v="2"/>
    <x v="1"/>
  </r>
  <r>
    <s v="CTE-31437-326"/>
    <x v="6"/>
    <s v="22721-63196-UJ"/>
    <s v="L-L-0.2"/>
    <n v="3"/>
    <x v="467"/>
    <s v=""/>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
    <x v="1"/>
    <x v="2"/>
    <s v="D"/>
    <x v="3"/>
    <n v="2.9849999999999999"/>
    <n v="2.9849999999999999"/>
    <s v="Arabica"/>
    <x v="2"/>
    <x v="0"/>
  </r>
  <r>
    <s v="PKN-19556-918"/>
    <x v="483"/>
    <s v="00445-42781-KX"/>
    <s v="R-D-2.5"/>
    <n v="5"/>
    <x v="579"/>
    <s v=""/>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
    <x v="0"/>
    <x v="2"/>
    <s v="L"/>
    <x v="2"/>
    <n v="29.784999999999997"/>
    <n v="89.35499999999999"/>
    <s v="Arabica"/>
    <x v="1"/>
    <x v="1"/>
  </r>
  <r>
    <s v="CVE-15042-481"/>
    <x v="575"/>
    <s v="24972-55878-KX"/>
    <s v="R-L-1"/>
    <n v="2"/>
    <x v="696"/>
    <s v=""/>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A47812-B949-469F-8894-CA9DBF3AEE32}" name="Total Sales" cacheId="7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3:G49"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6" outline="0" showAll="0" defaultSubtotal="0"/>
    <pivotField dataField="1" compact="0"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8"/>
  </colFields>
  <colItems count="5">
    <i>
      <x/>
    </i>
    <i>
      <x v="1"/>
    </i>
    <i>
      <x v="2"/>
    </i>
    <i>
      <x v="3"/>
    </i>
    <i t="grand">
      <x/>
    </i>
  </colItems>
  <dataFields count="1">
    <dataField name="Sum of Sales" fld="12" baseField="15" baseItem="1" numFmtId="1"/>
  </dataFields>
  <chartFormats count="10">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1" format="4">
      <pivotArea type="data" outline="0" fieldPosition="0">
        <references count="4">
          <reference field="4294967294" count="1" selected="0">
            <x v="0"/>
          </reference>
          <reference field="8" count="1" selected="0">
            <x v="0"/>
          </reference>
          <reference field="16" count="1" selected="0">
            <x v="9"/>
          </reference>
          <reference field="17" count="1" selected="0">
            <x v="3"/>
          </reference>
        </references>
      </pivotArea>
    </chartFormat>
    <chartFormat chart="1" format="5" series="1">
      <pivotArea type="data" outline="0" fieldPosition="0">
        <references count="1">
          <reference field="4294967294" count="1" selected="0">
            <x v="0"/>
          </reference>
        </references>
      </pivotArea>
    </chartFormat>
    <chartFormat chart="5" format="10" series="1">
      <pivotArea type="data" outline="0" fieldPosition="0">
        <references count="2">
          <reference field="4294967294" count="1" selected="0">
            <x v="0"/>
          </reference>
          <reference field="8" count="1" selected="0">
            <x v="0"/>
          </reference>
        </references>
      </pivotArea>
    </chartFormat>
    <chartFormat chart="5" format="11" series="1">
      <pivotArea type="data" outline="0" fieldPosition="0">
        <references count="2">
          <reference field="4294967294" count="1" selected="0">
            <x v="0"/>
          </reference>
          <reference field="8" count="1" selected="0">
            <x v="1"/>
          </reference>
        </references>
      </pivotArea>
    </chartFormat>
    <chartFormat chart="5" format="12" series="1">
      <pivotArea type="data" outline="0" fieldPosition="0">
        <references count="2">
          <reference field="4294967294" count="1" selected="0">
            <x v="0"/>
          </reference>
          <reference field="8" count="1" selected="0">
            <x v="2"/>
          </reference>
        </references>
      </pivotArea>
    </chartFormat>
    <chartFormat chart="5" format="13"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36C620-AC3D-483B-9594-1B38FA2955CE}" name="Total Sales" cacheId="7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4">
        <item m="1" x="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6" outline="0" showAll="0" defaultSubtotal="0"/>
    <pivotField dataField="1" compact="0"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2"/>
    </i>
    <i>
      <x v="1"/>
    </i>
    <i>
      <x v="3"/>
    </i>
  </rowItems>
  <colItems count="1">
    <i/>
  </colItems>
  <dataFields count="1">
    <dataField name="Sum of Sales" fld="12" baseField="7" baseItem="1" numFmtId="167"/>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3"/>
          </reference>
        </references>
      </pivotArea>
    </chartFormat>
    <chartFormat chart="5" format="2">
      <pivotArea type="data" outline="0" fieldPosition="0">
        <references count="2">
          <reference field="4294967294" count="1" selected="0">
            <x v="0"/>
          </reference>
          <reference field="7" count="1" selected="0">
            <x v="1"/>
          </reference>
        </references>
      </pivotArea>
    </chartFormat>
    <chartFormat chart="5" format="3">
      <pivotArea type="data" outline="0" fieldPosition="0">
        <references count="2">
          <reference field="4294967294" count="1" selected="0">
            <x v="0"/>
          </reference>
          <reference field="7"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2"/>
          </reference>
        </references>
      </pivotArea>
    </chartFormat>
    <chartFormat chart="8" format="10">
      <pivotArea type="data" outline="0" fieldPosition="0">
        <references count="2">
          <reference field="4294967294" count="1" selected="0">
            <x v="0"/>
          </reference>
          <reference field="7" count="1" selected="0">
            <x v="1"/>
          </reference>
        </references>
      </pivotArea>
    </chartFormat>
    <chartFormat chart="8" format="11">
      <pivotArea type="data" outline="0" fieldPosition="0">
        <references count="2">
          <reference field="4294967294" count="1" selected="0">
            <x v="0"/>
          </reference>
          <reference field="7"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38560F-5A1A-4AB2-B160-8A0236BCEEC8}" name="Total Sales" cacheId="7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4">
        <item m="1" x="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x="12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6" outline="0" showAll="0" defaultSubtotal="0"/>
    <pivotField dataField="1" compact="0"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9"/>
    </i>
  </rowItems>
  <colItems count="1">
    <i/>
  </colItems>
  <dataFields count="1">
    <dataField name="Sum of Sales" fld="12" baseField="7" baseItem="1" numFmtId="167"/>
  </dataFields>
  <chartFormats count="4">
    <chartFormat chart="4" format="1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E64644B-A9EC-42A8-93B3-C8B83F07CAD5}" sourceName="Size">
  <pivotTables>
    <pivotTable tabId="18" name="Total Sales"/>
    <pivotTable tabId="19" name="Total Sales"/>
    <pivotTable tabId="20" name="Total Sales"/>
  </pivotTables>
  <data>
    <tabular pivotCacheId="1478250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18E2562-0044-4822-81EB-A81572994FB2}" sourceName="Loyalty Card">
  <pivotTables>
    <pivotTable tabId="18" name="Total Sales"/>
    <pivotTable tabId="19" name="Total Sales"/>
    <pivotTable tabId="20" name="Total Sales"/>
  </pivotTables>
  <data>
    <tabular pivotCacheId="1478250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DD8498C-3F12-4828-AFB3-712E3769863C}" sourceName="Roast Type Name">
  <pivotTables>
    <pivotTable tabId="18" name="Total Sales"/>
    <pivotTable tabId="19" name="Total Sales"/>
    <pivotTable tabId="20" name="Total Sales"/>
  </pivotTables>
  <data>
    <tabular pivotCacheId="1478250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6662181-D572-4EC5-8F4C-9EDABCCD68BF}" cache="Slicer_Size" caption="Size" columnCount="2" style="Purple Slicer" rowHeight="241300"/>
  <slicer name="Loyalty Card" xr10:uid="{A6BDDBE7-641C-40D9-8AC2-7C732C45249B}" cache="Slicer_Loyalty_Card" caption="Loyalty Card" style="Purple Slicer" rowHeight="241300"/>
  <slicer name="Roast Type Name" xr10:uid="{A730A5FD-AA4E-47E4-B7AB-B67245B6353E}" cache="Slicer_Roast_Type_Name" caption="Roast Type Name" columnCount="3" style="Purple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9DF61274-F95D-499B-85A7-0A4058CD10C0}" cache="Slicer_Size" caption="Size" columnCount="2" style="Purple Slicer" rowHeight="241300"/>
  <slicer name="Loyalty Card 1" xr10:uid="{E477911E-09A2-4AB0-A200-E19589EE1CC2}" cache="Slicer_Loyalty_Card" caption="Loyalty Card" style="Purple Slicer" rowHeight="241300"/>
  <slicer name="Roast Type Name 1" xr10:uid="{F7F18D74-3026-487F-B1E6-4A5829462029}" cache="Slicer_Roast_Type_Name" caption="Roast Type Name" columnCount="3"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10AFAA-1B6A-4797-A306-5ECE8E999626}" name="Orders" displayName="Orders" ref="A1:P1001" totalsRowShown="0" headerRowDxfId="14">
  <autoFilter ref="A1:P1001" xr:uid="{7E10AFAA-1B6A-4797-A306-5ECE8E999626}"/>
  <tableColumns count="16">
    <tableColumn id="1" xr3:uid="{49729640-D437-44B8-975A-DD11F2D61B6F}" name="Order ID" dataDxfId="13"/>
    <tableColumn id="2" xr3:uid="{DFD167D3-5280-41F3-BA85-269737F864C0}" name="Order Date" dataDxfId="12"/>
    <tableColumn id="3" xr3:uid="{F6A47C39-2E29-4BD1-88F4-4BBD49982D7C}" name="Customer ID" dataDxfId="11"/>
    <tableColumn id="4" xr3:uid="{FF9CA8E6-4126-435F-9470-6ADE97A7E524}" name="Product ID"/>
    <tableColumn id="5" xr3:uid="{D7C33175-C40A-4D51-8EDC-3C97F7801011}" name="Quantity" dataDxfId="10"/>
    <tableColumn id="6" xr3:uid="{CD360ABA-94E9-4EFA-8E38-CF5B917F4B42}" name="Customer Name" dataDxfId="2">
      <calculatedColumnFormula array="1">_xlfn.XLOOKUP(C2, customers!$A$1:A1001, customers!$B$1:B1001, 0)</calculatedColumnFormula>
    </tableColumn>
    <tableColumn id="7" xr3:uid="{2AE0FC1A-402F-41F4-9DCF-1492D3EDC943}" name="Email" dataDxfId="9">
      <calculatedColumnFormula>IF(_xlfn.XLOOKUP(C2, customers!A1:A1001, customers!C1:C1001, 0)=0, "", _xlfn.XLOOKUP(C2, customers!A1:A1001, customers!C1:C1001, 0))</calculatedColumnFormula>
    </tableColumn>
    <tableColumn id="8" xr3:uid="{165BCBE4-9236-45E2-B006-1D4AF4EA7240}" name="Country" dataDxfId="3">
      <calculatedColumnFormula array="1">_xlfn.XLOOKUP(C2, customers!$A$1:A1001, customers!$G$1:G1001,, 0)</calculatedColumnFormula>
    </tableColumn>
    <tableColumn id="9" xr3:uid="{D0957A67-370E-4834-BD47-0FA38C0908F6}" name="Coffee Type">
      <calculatedColumnFormula array="1">_xlfn.XLOOKUP(orders!D2, products!$A$1:A49, products!$B$1:B49, 0)</calculatedColumnFormula>
    </tableColumn>
    <tableColumn id="10" xr3:uid="{62D72E56-465E-42DC-A191-9626CEDAA6AF}" name="Roast Type">
      <calculatedColumnFormula array="1">_xlfn.XLOOKUP(D2, products!$A$1:A49, products!$C$1:C49, 0)</calculatedColumnFormula>
    </tableColumn>
    <tableColumn id="11" xr3:uid="{A208F4BA-2668-4C27-9F03-2E6954AF8416}" name="Size" dataDxfId="8">
      <calculatedColumnFormula array="1">_xlfn.XLOOKUP(D2, products!$A$1:A49, products!$D$1:D49, 0)</calculatedColumnFormula>
    </tableColumn>
    <tableColumn id="12" xr3:uid="{5C688B90-AF61-497D-8F76-4CC7C7FC9C28}" name="Unit Price" dataDxfId="4">
      <calculatedColumnFormula array="1">_xlfn.XLOOKUP(D2, products!$A$1:A49, products!$E$1:E49)</calculatedColumnFormula>
    </tableColumn>
    <tableColumn id="13" xr3:uid="{74D57FB3-AAA5-4A68-80A6-95883F5F8955}" name="Sales">
      <calculatedColumnFormula>L2*E2</calculatedColumnFormula>
    </tableColumn>
    <tableColumn id="14" xr3:uid="{45E913DE-59BB-4E36-9B75-C6B81682EBAD}" name="Coffee Type Name">
      <calculatedColumnFormula>IF(I2="Rob", "Robusta", IF(I2="Exc", "Excelsa", IF(I2="Ara", "Arabica", IF(I2="Lib", "Liberica", ""))))</calculatedColumnFormula>
    </tableColumn>
    <tableColumn id="15" xr3:uid="{2728E2B6-5938-4C6D-9417-7EC87705C069}" name="Roast Type Name">
      <calculatedColumnFormula array="1">_xlfn.IFS(J2="M", "Medium", J2="L", "Light", J2="D", "Dark")</calculatedColumnFormula>
    </tableColumn>
    <tableColumn id="16" xr3:uid="{7424DF95-9DBE-4F8B-A1C2-069930C53F10}" name="Loyalty Card" dataDxfId="7">
      <calculatedColumnFormula>_xlfn.XLOOKUP(Orders[[#This Row],[Customer ID]], customers!$A$2:$A$1001, customers!$I$2:$I$1001, 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66503B0-FA2D-47CB-9621-057699BD5252}" sourceName="Order Date">
  <pivotTables>
    <pivotTable tabId="18" name="Total Sales"/>
    <pivotTable tabId="19" name="Total Sales"/>
    <pivotTable tabId="20" name="Total Sales"/>
  </pivotTables>
  <state minimalRefreshVersion="6" lastRefreshVersion="6" pivotCacheId="1478250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446A467-E083-4E09-B953-0338D0E38FCE}" cache="NativeTimeline_Order_Date" caption="Order Date" level="2" selectionLevel="2" scrollPosition="2021-10-03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9582FD2-FDCB-44FE-B534-FB60A14EE858}" cache="NativeTimeline_Order_Date" caption="Order Date" level="2" selectionLevel="2" scrollPosition="2021-03-26T00:00:00" style="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997CD-13EF-4408-A63F-814CC9C8B08A}">
  <dimension ref="A3:G49"/>
  <sheetViews>
    <sheetView topLeftCell="C2" zoomScale="90" zoomScaleNormal="90" workbookViewId="0">
      <selection activeCell="A6" sqref="A6"/>
    </sheetView>
  </sheetViews>
  <sheetFormatPr defaultRowHeight="14.5" x14ac:dyDescent="0.35"/>
  <cols>
    <col min="1" max="1" width="12.36328125" bestFit="1" customWidth="1"/>
    <col min="2" max="2" width="21.36328125" bestFit="1" customWidth="1"/>
    <col min="3" max="6" width="13.453125" bestFit="1" customWidth="1"/>
    <col min="7" max="7" width="11" bestFit="1" customWidth="1"/>
  </cols>
  <sheetData>
    <row r="3" spans="1:7" x14ac:dyDescent="0.35">
      <c r="A3" s="5" t="s">
        <v>6198</v>
      </c>
      <c r="C3" s="5" t="s">
        <v>9</v>
      </c>
    </row>
    <row r="4" spans="1:7" x14ac:dyDescent="0.35">
      <c r="A4" s="5" t="s">
        <v>6216</v>
      </c>
      <c r="B4" s="5" t="s">
        <v>6217</v>
      </c>
      <c r="C4" t="s">
        <v>6193</v>
      </c>
      <c r="D4" t="s">
        <v>6194</v>
      </c>
      <c r="E4" t="s">
        <v>6195</v>
      </c>
      <c r="F4" t="s">
        <v>6192</v>
      </c>
      <c r="G4" t="s">
        <v>6199</v>
      </c>
    </row>
    <row r="5" spans="1:7" x14ac:dyDescent="0.35">
      <c r="A5" t="s">
        <v>6200</v>
      </c>
      <c r="B5" t="s">
        <v>6204</v>
      </c>
      <c r="C5" s="6">
        <v>186.85499999999999</v>
      </c>
      <c r="D5" s="6">
        <v>305.97000000000003</v>
      </c>
      <c r="E5" s="6">
        <v>213.15999999999997</v>
      </c>
      <c r="F5" s="6">
        <v>123</v>
      </c>
      <c r="G5" s="6">
        <v>828.98500000000001</v>
      </c>
    </row>
    <row r="6" spans="1:7" x14ac:dyDescent="0.35">
      <c r="B6" t="s">
        <v>6205</v>
      </c>
      <c r="C6" s="6">
        <v>251.96499999999997</v>
      </c>
      <c r="D6" s="6">
        <v>129.46</v>
      </c>
      <c r="E6" s="6">
        <v>434.03999999999996</v>
      </c>
      <c r="F6" s="6">
        <v>171.93999999999997</v>
      </c>
      <c r="G6" s="6">
        <v>987.40499999999986</v>
      </c>
    </row>
    <row r="7" spans="1:7" x14ac:dyDescent="0.35">
      <c r="B7" t="s">
        <v>6206</v>
      </c>
      <c r="C7" s="6">
        <v>224.94499999999999</v>
      </c>
      <c r="D7" s="6">
        <v>349.12</v>
      </c>
      <c r="E7" s="6">
        <v>321.04000000000002</v>
      </c>
      <c r="F7" s="6">
        <v>126.035</v>
      </c>
      <c r="G7" s="6">
        <v>1021.14</v>
      </c>
    </row>
    <row r="8" spans="1:7" x14ac:dyDescent="0.35">
      <c r="B8" t="s">
        <v>6207</v>
      </c>
      <c r="C8" s="6">
        <v>307.12</v>
      </c>
      <c r="D8" s="6">
        <v>681.07499999999993</v>
      </c>
      <c r="E8" s="6">
        <v>533.70499999999993</v>
      </c>
      <c r="F8" s="6">
        <v>158.85</v>
      </c>
      <c r="G8" s="6">
        <v>1680.7499999999998</v>
      </c>
    </row>
    <row r="9" spans="1:7" x14ac:dyDescent="0.35">
      <c r="B9" t="s">
        <v>6208</v>
      </c>
      <c r="C9" s="6">
        <v>53.664999999999992</v>
      </c>
      <c r="D9" s="6">
        <v>83.025000000000006</v>
      </c>
      <c r="E9" s="6">
        <v>193.83499999999998</v>
      </c>
      <c r="F9" s="6">
        <v>68.039999999999992</v>
      </c>
      <c r="G9" s="6">
        <v>398.56499999999994</v>
      </c>
    </row>
    <row r="10" spans="1:7" x14ac:dyDescent="0.35">
      <c r="B10" t="s">
        <v>6209</v>
      </c>
      <c r="C10" s="6">
        <v>163.01999999999998</v>
      </c>
      <c r="D10" s="6">
        <v>678.3599999999999</v>
      </c>
      <c r="E10" s="6">
        <v>171.04500000000002</v>
      </c>
      <c r="F10" s="6">
        <v>372.255</v>
      </c>
      <c r="G10" s="6">
        <v>1384.6799999999998</v>
      </c>
    </row>
    <row r="11" spans="1:7" x14ac:dyDescent="0.35">
      <c r="B11" t="s">
        <v>6210</v>
      </c>
      <c r="C11" s="6">
        <v>345.02</v>
      </c>
      <c r="D11" s="6">
        <v>273.86999999999995</v>
      </c>
      <c r="E11" s="6">
        <v>184.12999999999997</v>
      </c>
      <c r="F11" s="6">
        <v>201.11499999999998</v>
      </c>
      <c r="G11" s="6">
        <v>1004.1349999999999</v>
      </c>
    </row>
    <row r="12" spans="1:7" x14ac:dyDescent="0.35">
      <c r="B12" t="s">
        <v>6211</v>
      </c>
      <c r="C12" s="6">
        <v>334.89</v>
      </c>
      <c r="D12" s="6">
        <v>70.95</v>
      </c>
      <c r="E12" s="6">
        <v>134.23000000000002</v>
      </c>
      <c r="F12" s="6">
        <v>166.27499999999998</v>
      </c>
      <c r="G12" s="6">
        <v>706.34499999999991</v>
      </c>
    </row>
    <row r="13" spans="1:7" x14ac:dyDescent="0.35">
      <c r="B13" t="s">
        <v>6212</v>
      </c>
      <c r="C13" s="6">
        <v>178.70999999999998</v>
      </c>
      <c r="D13" s="6">
        <v>166.1</v>
      </c>
      <c r="E13" s="6">
        <v>439.30999999999995</v>
      </c>
      <c r="F13" s="6">
        <v>492.9</v>
      </c>
      <c r="G13" s="6">
        <v>1277.02</v>
      </c>
    </row>
    <row r="14" spans="1:7" x14ac:dyDescent="0.35">
      <c r="B14" t="s">
        <v>6213</v>
      </c>
      <c r="C14" s="6">
        <v>301.98500000000001</v>
      </c>
      <c r="D14" s="6">
        <v>153.76499999999999</v>
      </c>
      <c r="E14" s="6">
        <v>215.55499999999998</v>
      </c>
      <c r="F14" s="6">
        <v>213.66499999999999</v>
      </c>
      <c r="G14" s="6">
        <v>884.96999999999991</v>
      </c>
    </row>
    <row r="15" spans="1:7" x14ac:dyDescent="0.35">
      <c r="B15" t="s">
        <v>6214</v>
      </c>
      <c r="C15" s="6">
        <v>312.83499999999998</v>
      </c>
      <c r="D15" s="6">
        <v>63.249999999999993</v>
      </c>
      <c r="E15" s="6">
        <v>350.89500000000004</v>
      </c>
      <c r="F15" s="6">
        <v>96.405000000000001</v>
      </c>
      <c r="G15" s="6">
        <v>823.38499999999999</v>
      </c>
    </row>
    <row r="16" spans="1:7" x14ac:dyDescent="0.35">
      <c r="B16" t="s">
        <v>6215</v>
      </c>
      <c r="C16" s="6">
        <v>265.62</v>
      </c>
      <c r="D16" s="6">
        <v>526.51499999999987</v>
      </c>
      <c r="E16" s="6">
        <v>187.06</v>
      </c>
      <c r="F16" s="6">
        <v>210.58999999999997</v>
      </c>
      <c r="G16" s="6">
        <v>1189.7849999999999</v>
      </c>
    </row>
    <row r="17" spans="1:7" x14ac:dyDescent="0.35">
      <c r="A17" t="s">
        <v>6201</v>
      </c>
      <c r="B17" t="s">
        <v>6204</v>
      </c>
      <c r="C17" s="6">
        <v>47.25</v>
      </c>
      <c r="D17" s="6">
        <v>65.805000000000007</v>
      </c>
      <c r="E17" s="6">
        <v>274.67500000000001</v>
      </c>
      <c r="F17" s="6">
        <v>179.22</v>
      </c>
      <c r="G17" s="6">
        <v>566.95000000000005</v>
      </c>
    </row>
    <row r="18" spans="1:7" x14ac:dyDescent="0.35">
      <c r="B18" t="s">
        <v>6205</v>
      </c>
      <c r="C18" s="6">
        <v>745.44999999999993</v>
      </c>
      <c r="D18" s="6">
        <v>428.88499999999999</v>
      </c>
      <c r="E18" s="6">
        <v>194.17499999999998</v>
      </c>
      <c r="F18" s="6">
        <v>429.82999999999993</v>
      </c>
      <c r="G18" s="6">
        <v>1798.34</v>
      </c>
    </row>
    <row r="19" spans="1:7" x14ac:dyDescent="0.35">
      <c r="B19" t="s">
        <v>6206</v>
      </c>
      <c r="C19" s="6">
        <v>130.47</v>
      </c>
      <c r="D19" s="6">
        <v>271.48500000000001</v>
      </c>
      <c r="E19" s="6">
        <v>281.20499999999998</v>
      </c>
      <c r="F19" s="6">
        <v>231.63000000000002</v>
      </c>
      <c r="G19" s="6">
        <v>914.79000000000008</v>
      </c>
    </row>
    <row r="20" spans="1:7" x14ac:dyDescent="0.35">
      <c r="B20" t="s">
        <v>6207</v>
      </c>
      <c r="C20" s="6">
        <v>27</v>
      </c>
      <c r="D20" s="6">
        <v>347.26</v>
      </c>
      <c r="E20" s="6">
        <v>147.51</v>
      </c>
      <c r="F20" s="6">
        <v>240.04</v>
      </c>
      <c r="G20" s="6">
        <v>761.81</v>
      </c>
    </row>
    <row r="21" spans="1:7" x14ac:dyDescent="0.35">
      <c r="B21" t="s">
        <v>6208</v>
      </c>
      <c r="C21" s="6">
        <v>255.11499999999995</v>
      </c>
      <c r="D21" s="6">
        <v>541.73</v>
      </c>
      <c r="E21" s="6">
        <v>83.43</v>
      </c>
      <c r="F21" s="6">
        <v>59.079999999999991</v>
      </c>
      <c r="G21" s="6">
        <v>939.35500000000013</v>
      </c>
    </row>
    <row r="22" spans="1:7" x14ac:dyDescent="0.35">
      <c r="B22" t="s">
        <v>6209</v>
      </c>
      <c r="C22" s="6">
        <v>584.78999999999985</v>
      </c>
      <c r="D22" s="6">
        <v>357.42999999999995</v>
      </c>
      <c r="E22" s="6">
        <v>355.34</v>
      </c>
      <c r="F22" s="6">
        <v>140.88</v>
      </c>
      <c r="G22" s="6">
        <v>1438.4399999999996</v>
      </c>
    </row>
    <row r="23" spans="1:7" x14ac:dyDescent="0.35">
      <c r="B23" t="s">
        <v>6210</v>
      </c>
      <c r="C23" s="6">
        <v>430.62</v>
      </c>
      <c r="D23" s="6">
        <v>227.42500000000001</v>
      </c>
      <c r="E23" s="6">
        <v>236.315</v>
      </c>
      <c r="F23" s="6">
        <v>414.58499999999992</v>
      </c>
      <c r="G23" s="6">
        <v>1308.9450000000002</v>
      </c>
    </row>
    <row r="24" spans="1:7" x14ac:dyDescent="0.35">
      <c r="B24" t="s">
        <v>6211</v>
      </c>
      <c r="C24" s="6">
        <v>22.5</v>
      </c>
      <c r="D24" s="6">
        <v>77.72</v>
      </c>
      <c r="E24" s="6">
        <v>60.5</v>
      </c>
      <c r="F24" s="6">
        <v>139.67999999999998</v>
      </c>
      <c r="G24" s="6">
        <v>300.39999999999998</v>
      </c>
    </row>
    <row r="25" spans="1:7" x14ac:dyDescent="0.35">
      <c r="B25" t="s">
        <v>6212</v>
      </c>
      <c r="C25" s="6">
        <v>126.14999999999999</v>
      </c>
      <c r="D25" s="6">
        <v>195.11</v>
      </c>
      <c r="E25" s="6">
        <v>89.13</v>
      </c>
      <c r="F25" s="6">
        <v>302.65999999999997</v>
      </c>
      <c r="G25" s="6">
        <v>713.05</v>
      </c>
    </row>
    <row r="26" spans="1:7" x14ac:dyDescent="0.35">
      <c r="B26" t="s">
        <v>6213</v>
      </c>
      <c r="C26" s="6">
        <v>376.03</v>
      </c>
      <c r="D26" s="6">
        <v>523.24</v>
      </c>
      <c r="E26" s="6">
        <v>440.96499999999997</v>
      </c>
      <c r="F26" s="6">
        <v>174.46999999999997</v>
      </c>
      <c r="G26" s="6">
        <v>1514.7049999999999</v>
      </c>
    </row>
    <row r="27" spans="1:7" x14ac:dyDescent="0.35">
      <c r="B27" t="s">
        <v>6214</v>
      </c>
      <c r="C27" s="6">
        <v>515.17999999999995</v>
      </c>
      <c r="D27" s="6">
        <v>142.56</v>
      </c>
      <c r="E27" s="6">
        <v>347.03999999999996</v>
      </c>
      <c r="F27" s="6">
        <v>104.08499999999999</v>
      </c>
      <c r="G27" s="6">
        <v>1108.865</v>
      </c>
    </row>
    <row r="28" spans="1:7" x14ac:dyDescent="0.35">
      <c r="B28" t="s">
        <v>6215</v>
      </c>
      <c r="C28" s="6">
        <v>95.859999999999985</v>
      </c>
      <c r="D28" s="6">
        <v>484.76</v>
      </c>
      <c r="E28" s="6">
        <v>94.17</v>
      </c>
      <c r="F28" s="6">
        <v>77.10499999999999</v>
      </c>
      <c r="G28" s="6">
        <v>751.89499999999998</v>
      </c>
    </row>
    <row r="29" spans="1:7" x14ac:dyDescent="0.35">
      <c r="A29" t="s">
        <v>6202</v>
      </c>
      <c r="B29" t="s">
        <v>6204</v>
      </c>
      <c r="C29" s="6">
        <v>258.34500000000003</v>
      </c>
      <c r="D29" s="6">
        <v>139.625</v>
      </c>
      <c r="E29" s="6">
        <v>279.52000000000004</v>
      </c>
      <c r="F29" s="6">
        <v>160.19499999999999</v>
      </c>
      <c r="G29" s="6">
        <v>837.68499999999995</v>
      </c>
    </row>
    <row r="30" spans="1:7" x14ac:dyDescent="0.35">
      <c r="B30" t="s">
        <v>6205</v>
      </c>
      <c r="C30" s="6">
        <v>342.2</v>
      </c>
      <c r="D30" s="6">
        <v>284.24999999999994</v>
      </c>
      <c r="E30" s="6">
        <v>251.83</v>
      </c>
      <c r="F30" s="6">
        <v>80.550000000000011</v>
      </c>
      <c r="G30" s="6">
        <v>958.82999999999993</v>
      </c>
    </row>
    <row r="31" spans="1:7" x14ac:dyDescent="0.35">
      <c r="B31" t="s">
        <v>6206</v>
      </c>
      <c r="C31" s="6">
        <v>418.30499999999989</v>
      </c>
      <c r="D31" s="6">
        <v>468.125</v>
      </c>
      <c r="E31" s="6">
        <v>405.05500000000006</v>
      </c>
      <c r="F31" s="6">
        <v>253.15499999999997</v>
      </c>
      <c r="G31" s="6">
        <v>1544.6399999999999</v>
      </c>
    </row>
    <row r="32" spans="1:7" x14ac:dyDescent="0.35">
      <c r="B32" t="s">
        <v>6207</v>
      </c>
      <c r="C32" s="6">
        <v>102.32999999999998</v>
      </c>
      <c r="D32" s="6">
        <v>242.14000000000001</v>
      </c>
      <c r="E32" s="6">
        <v>554.875</v>
      </c>
      <c r="F32" s="6">
        <v>106.23999999999998</v>
      </c>
      <c r="G32" s="6">
        <v>1005.585</v>
      </c>
    </row>
    <row r="33" spans="1:7" x14ac:dyDescent="0.35">
      <c r="B33" t="s">
        <v>6208</v>
      </c>
      <c r="C33" s="6">
        <v>234.71999999999997</v>
      </c>
      <c r="D33" s="6">
        <v>133.08000000000001</v>
      </c>
      <c r="E33" s="6">
        <v>267.2</v>
      </c>
      <c r="F33" s="6">
        <v>272.68999999999994</v>
      </c>
      <c r="G33" s="6">
        <v>907.68999999999994</v>
      </c>
    </row>
    <row r="34" spans="1:7" x14ac:dyDescent="0.35">
      <c r="B34" t="s">
        <v>6209</v>
      </c>
      <c r="C34" s="6">
        <v>430.39</v>
      </c>
      <c r="D34" s="6">
        <v>136.20500000000001</v>
      </c>
      <c r="E34" s="6">
        <v>209.6</v>
      </c>
      <c r="F34" s="6">
        <v>88.334999999999994</v>
      </c>
      <c r="G34" s="6">
        <v>864.53000000000009</v>
      </c>
    </row>
    <row r="35" spans="1:7" x14ac:dyDescent="0.35">
      <c r="B35" t="s">
        <v>6210</v>
      </c>
      <c r="C35" s="6">
        <v>109.005</v>
      </c>
      <c r="D35" s="6">
        <v>393.57499999999999</v>
      </c>
      <c r="E35" s="6">
        <v>61.034999999999997</v>
      </c>
      <c r="F35" s="6">
        <v>199.48999999999998</v>
      </c>
      <c r="G35" s="6">
        <v>763.10500000000002</v>
      </c>
    </row>
    <row r="36" spans="1:7" x14ac:dyDescent="0.35">
      <c r="B36" t="s">
        <v>6211</v>
      </c>
      <c r="C36" s="6">
        <v>287.52499999999998</v>
      </c>
      <c r="D36" s="6">
        <v>288.67</v>
      </c>
      <c r="E36" s="6">
        <v>125.58</v>
      </c>
      <c r="F36" s="6">
        <v>374.13499999999999</v>
      </c>
      <c r="G36" s="6">
        <v>1075.9099999999999</v>
      </c>
    </row>
    <row r="37" spans="1:7" x14ac:dyDescent="0.35">
      <c r="B37" t="s">
        <v>6212</v>
      </c>
      <c r="C37" s="6">
        <v>840.92999999999984</v>
      </c>
      <c r="D37" s="6">
        <v>409.875</v>
      </c>
      <c r="E37" s="6">
        <v>171.32999999999998</v>
      </c>
      <c r="F37" s="6">
        <v>221.43999999999997</v>
      </c>
      <c r="G37" s="6">
        <v>1643.5749999999998</v>
      </c>
    </row>
    <row r="38" spans="1:7" x14ac:dyDescent="0.35">
      <c r="B38" t="s">
        <v>6213</v>
      </c>
      <c r="C38" s="6">
        <v>299.07</v>
      </c>
      <c r="D38" s="6">
        <v>260.32499999999999</v>
      </c>
      <c r="E38" s="6">
        <v>584.64</v>
      </c>
      <c r="F38" s="6">
        <v>256.36500000000001</v>
      </c>
      <c r="G38" s="6">
        <v>1400.3999999999999</v>
      </c>
    </row>
    <row r="39" spans="1:7" x14ac:dyDescent="0.35">
      <c r="B39" t="s">
        <v>6214</v>
      </c>
      <c r="C39" s="6">
        <v>323.32499999999999</v>
      </c>
      <c r="D39" s="6">
        <v>565.57000000000005</v>
      </c>
      <c r="E39" s="6">
        <v>537.80999999999995</v>
      </c>
      <c r="F39" s="6">
        <v>189.47499999999999</v>
      </c>
      <c r="G39" s="6">
        <v>1616.1799999999998</v>
      </c>
    </row>
    <row r="40" spans="1:7" x14ac:dyDescent="0.35">
      <c r="B40" t="s">
        <v>6215</v>
      </c>
      <c r="C40" s="6">
        <v>399.48499999999996</v>
      </c>
      <c r="D40" s="6">
        <v>148.19999999999999</v>
      </c>
      <c r="E40" s="6">
        <v>388.21999999999997</v>
      </c>
      <c r="F40" s="6">
        <v>212.07499999999999</v>
      </c>
      <c r="G40" s="6">
        <v>1147.98</v>
      </c>
    </row>
    <row r="41" spans="1:7" x14ac:dyDescent="0.35">
      <c r="A41" t="s">
        <v>6203</v>
      </c>
      <c r="B41" t="s">
        <v>6204</v>
      </c>
      <c r="C41" s="6">
        <v>112.69499999999999</v>
      </c>
      <c r="D41" s="6">
        <v>166.32</v>
      </c>
      <c r="E41" s="6">
        <v>843.71499999999992</v>
      </c>
      <c r="F41" s="6">
        <v>146.685</v>
      </c>
      <c r="G41" s="6">
        <v>1269.415</v>
      </c>
    </row>
    <row r="42" spans="1:7" x14ac:dyDescent="0.35">
      <c r="B42" t="s">
        <v>6205</v>
      </c>
      <c r="C42" s="6">
        <v>114.87999999999998</v>
      </c>
      <c r="D42" s="6">
        <v>133.815</v>
      </c>
      <c r="E42" s="6">
        <v>91.175000000000011</v>
      </c>
      <c r="F42" s="6">
        <v>53.759999999999991</v>
      </c>
      <c r="G42" s="6">
        <v>393.63</v>
      </c>
    </row>
    <row r="43" spans="1:7" x14ac:dyDescent="0.35">
      <c r="B43" t="s">
        <v>6206</v>
      </c>
      <c r="C43" s="6">
        <v>277.76</v>
      </c>
      <c r="D43" s="6">
        <v>175.41</v>
      </c>
      <c r="E43" s="6">
        <v>462.50999999999993</v>
      </c>
      <c r="F43" s="6">
        <v>399.52499999999998</v>
      </c>
      <c r="G43" s="6">
        <v>1315.2049999999999</v>
      </c>
    </row>
    <row r="44" spans="1:7" x14ac:dyDescent="0.35">
      <c r="B44" t="s">
        <v>6207</v>
      </c>
      <c r="C44" s="6">
        <v>197.89499999999998</v>
      </c>
      <c r="D44" s="6">
        <v>289.755</v>
      </c>
      <c r="E44" s="6">
        <v>88.545000000000002</v>
      </c>
      <c r="F44" s="6">
        <v>200.25499999999997</v>
      </c>
      <c r="G44" s="6">
        <v>776.44999999999993</v>
      </c>
    </row>
    <row r="45" spans="1:7" x14ac:dyDescent="0.35">
      <c r="B45" t="s">
        <v>6208</v>
      </c>
      <c r="C45" s="6">
        <v>193.11499999999998</v>
      </c>
      <c r="D45" s="6">
        <v>212.49499999999998</v>
      </c>
      <c r="E45" s="6">
        <v>292.29000000000002</v>
      </c>
      <c r="F45" s="6">
        <v>304.46999999999997</v>
      </c>
      <c r="G45" s="6">
        <v>1002.3699999999999</v>
      </c>
    </row>
    <row r="46" spans="1:7" x14ac:dyDescent="0.35">
      <c r="B46" t="s">
        <v>6209</v>
      </c>
      <c r="C46" s="6">
        <v>179.79</v>
      </c>
      <c r="D46" s="6">
        <v>426.2</v>
      </c>
      <c r="E46" s="6">
        <v>170.08999999999997</v>
      </c>
      <c r="F46" s="6">
        <v>379.31</v>
      </c>
      <c r="G46" s="6">
        <v>1155.3899999999999</v>
      </c>
    </row>
    <row r="47" spans="1:7" x14ac:dyDescent="0.35">
      <c r="B47" t="s">
        <v>6210</v>
      </c>
      <c r="C47" s="6">
        <v>247.28999999999996</v>
      </c>
      <c r="D47" s="6">
        <v>246.685</v>
      </c>
      <c r="E47" s="6">
        <v>271.05499999999995</v>
      </c>
      <c r="F47" s="6">
        <v>141.69999999999999</v>
      </c>
      <c r="G47" s="6">
        <v>906.73</v>
      </c>
    </row>
    <row r="48" spans="1:7" x14ac:dyDescent="0.35">
      <c r="B48" t="s">
        <v>6211</v>
      </c>
      <c r="C48" s="6">
        <v>116.39499999999998</v>
      </c>
      <c r="D48" s="6">
        <v>41.25</v>
      </c>
      <c r="E48" s="6">
        <v>15.54</v>
      </c>
      <c r="F48" s="6">
        <v>71.06</v>
      </c>
      <c r="G48" s="6">
        <v>244.24499999999998</v>
      </c>
    </row>
    <row r="49" spans="1:7" x14ac:dyDescent="0.35">
      <c r="A49" t="s">
        <v>6199</v>
      </c>
      <c r="C49" s="6">
        <v>11768.495000000003</v>
      </c>
      <c r="D49" s="6">
        <v>12306.440000000002</v>
      </c>
      <c r="E49" s="6">
        <v>12054.075000000003</v>
      </c>
      <c r="F49" s="6">
        <v>9005.244999999999</v>
      </c>
      <c r="G49" s="6">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3ED66-6231-4792-AF75-754463EED388}">
  <dimension ref="A3:B6"/>
  <sheetViews>
    <sheetView zoomScale="90" zoomScaleNormal="90" workbookViewId="0">
      <selection activeCell="A5" sqref="A5"/>
    </sheetView>
  </sheetViews>
  <sheetFormatPr defaultRowHeight="14.5" x14ac:dyDescent="0.35"/>
  <cols>
    <col min="1" max="1" width="14.6328125" bestFit="1" customWidth="1"/>
    <col min="2" max="3" width="11.54296875" bestFit="1" customWidth="1"/>
    <col min="4" max="6" width="13.453125" bestFit="1" customWidth="1"/>
    <col min="7" max="7" width="11" bestFit="1" customWidth="1"/>
  </cols>
  <sheetData>
    <row r="3" spans="1:2" x14ac:dyDescent="0.35">
      <c r="A3" s="5" t="s">
        <v>7</v>
      </c>
      <c r="B3" t="s">
        <v>6198</v>
      </c>
    </row>
    <row r="4" spans="1:2" x14ac:dyDescent="0.35">
      <c r="A4" t="s">
        <v>28</v>
      </c>
      <c r="B4" s="7">
        <v>2798.5050000000001</v>
      </c>
    </row>
    <row r="5" spans="1:2" x14ac:dyDescent="0.35">
      <c r="A5" t="s">
        <v>318</v>
      </c>
      <c r="B5" s="7">
        <v>6696.8649999999989</v>
      </c>
    </row>
    <row r="6" spans="1:2" x14ac:dyDescent="0.35">
      <c r="A6" t="s">
        <v>19</v>
      </c>
      <c r="B6" s="7">
        <v>35638.88499999998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54ABA-CF96-42D2-A7E9-FDF5A3E905E8}">
  <dimension ref="A3:B8"/>
  <sheetViews>
    <sheetView zoomScale="90" zoomScaleNormal="90" workbookViewId="0">
      <selection activeCell="A5" sqref="A5"/>
    </sheetView>
  </sheetViews>
  <sheetFormatPr defaultRowHeight="14.5" x14ac:dyDescent="0.35"/>
  <cols>
    <col min="1" max="1" width="17.1796875" bestFit="1" customWidth="1"/>
    <col min="2" max="3" width="11.54296875" bestFit="1" customWidth="1"/>
    <col min="4" max="6" width="13.453125" bestFit="1" customWidth="1"/>
    <col min="7" max="7" width="11" bestFit="1" customWidth="1"/>
  </cols>
  <sheetData>
    <row r="3" spans="1:2" x14ac:dyDescent="0.35">
      <c r="A3" s="5" t="s">
        <v>4</v>
      </c>
      <c r="B3" t="s">
        <v>6198</v>
      </c>
    </row>
    <row r="4" spans="1:2" x14ac:dyDescent="0.35">
      <c r="A4" t="s">
        <v>3753</v>
      </c>
      <c r="B4" s="7">
        <v>278.01</v>
      </c>
    </row>
    <row r="5" spans="1:2" x14ac:dyDescent="0.35">
      <c r="A5" t="s">
        <v>1598</v>
      </c>
      <c r="B5" s="7">
        <v>281.67499999999995</v>
      </c>
    </row>
    <row r="6" spans="1:2" x14ac:dyDescent="0.35">
      <c r="A6" t="s">
        <v>2587</v>
      </c>
      <c r="B6" s="7">
        <v>289.11</v>
      </c>
    </row>
    <row r="7" spans="1:2" x14ac:dyDescent="0.35">
      <c r="A7" t="s">
        <v>5765</v>
      </c>
      <c r="B7" s="7">
        <v>307.04499999999996</v>
      </c>
    </row>
    <row r="8" spans="1:2" x14ac:dyDescent="0.35">
      <c r="A8" t="s">
        <v>5114</v>
      </c>
      <c r="B8" s="7">
        <v>317.06999999999994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BA422-EDE3-475E-867D-0BDC594C48E3}">
  <dimension ref="A1:A6"/>
  <sheetViews>
    <sheetView showGridLines="0" tabSelected="1" zoomScaleNormal="100" workbookViewId="0">
      <selection activeCell="R50" sqref="R50"/>
    </sheetView>
  </sheetViews>
  <sheetFormatPr defaultRowHeight="14.5" x14ac:dyDescent="0.35"/>
  <cols>
    <col min="1" max="1" width="1.6328125" customWidth="1"/>
    <col min="16" max="16" width="1.6328125" customWidth="1"/>
    <col min="19" max="19" width="1.6328125" customWidth="1"/>
    <col min="23" max="23" width="1.6328125" customWidth="1"/>
  </cols>
  <sheetData>
    <row r="1" ht="5" customHeight="1" x14ac:dyDescent="0.35"/>
    <row r="6"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20" zoomScaleNormal="120" workbookViewId="0">
      <selection activeCell="F3" sqref="F3"/>
    </sheetView>
  </sheetViews>
  <sheetFormatPr defaultRowHeight="14.5" x14ac:dyDescent="0.35"/>
  <cols>
    <col min="1" max="1" width="16.54296875" bestFit="1" customWidth="1"/>
    <col min="2" max="2" width="11.81640625" bestFit="1" customWidth="1"/>
    <col min="3" max="3" width="17.453125" bestFit="1" customWidth="1"/>
    <col min="4" max="4" width="11" customWidth="1"/>
    <col min="5" max="5" width="9.54296875" customWidth="1"/>
    <col min="6" max="6" width="15.54296875" customWidth="1"/>
    <col min="7" max="7" width="36.1796875" bestFit="1" customWidth="1"/>
    <col min="8" max="8" width="11.81640625" bestFit="1" customWidth="1"/>
    <col min="9" max="9" width="12.08984375" customWidth="1"/>
    <col min="10" max="10" width="11.36328125" customWidth="1"/>
    <col min="11" max="11" width="6.6328125" bestFit="1" customWidth="1"/>
    <col min="12" max="12" width="10.26953125" customWidth="1"/>
    <col min="13" max="13" width="6.90625" customWidth="1"/>
    <col min="14" max="14" width="17.36328125" customWidth="1"/>
    <col min="15" max="15" width="16.6328125" customWidth="1"/>
    <col min="16" max="16" width="13.3632812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cm="1">
        <f t="array" ref="F2">_xlfn.XLOOKUP(C2, customers!$A$1:A1001, customers!$B$1:B1001, 0)</f>
        <v>Aloisia Allner</v>
      </c>
      <c r="G2" s="2" t="str">
        <f>IF(_xlfn.XLOOKUP(C2, customers!A1:A1001, customers!C1:C1001, 0)=0, "", _xlfn.XLOOKUP(C2, customers!A1:A1001, customers!C1:C1001, 0))</f>
        <v>aallner0@lulu.com</v>
      </c>
      <c r="H2" s="2" t="str" cm="1">
        <f t="array" ref="H2">_xlfn.XLOOKUP(C2, customers!$A$1:A1001, customers!$G$1:G1001,, 0)</f>
        <v>United States</v>
      </c>
      <c r="I2" t="str" cm="1">
        <f t="array" ref="I2">_xlfn.XLOOKUP(orders!D2, products!$A$1:A49, products!$B$1:B49, 0)</f>
        <v>Rob</v>
      </c>
      <c r="J2" t="str" cm="1">
        <f t="array" ref="J2">_xlfn.XLOOKUP(D2, products!$A$1:A49, products!$C$1:C49, 0)</f>
        <v>M</v>
      </c>
      <c r="K2" s="4" cm="1">
        <f t="array" ref="K2">_xlfn.XLOOKUP(D2, products!$A$1:A49, products!$D$1:D49, 0)</f>
        <v>1</v>
      </c>
      <c r="L2" s="4" cm="1">
        <f t="array" ref="L2">_xlfn.XLOOKUP(D2, products!$A$1:A49, products!$E$1:E49)</f>
        <v>9.9499999999999993</v>
      </c>
      <c r="M2">
        <f>L2*E2</f>
        <v>19.899999999999999</v>
      </c>
      <c r="N2" t="str">
        <f>IF(I2="Rob", "Robusta", IF(I2="Exc", "Excelsa", IF(I2="Ara", "Arabica", IF(I2="Lib", "Liberica", ""))))</f>
        <v>Robusta</v>
      </c>
      <c r="O2" t="str" cm="1">
        <f t="array" ref="O2">_xlfn.IFS(J2="M", "Medium", J2="L", "Light", J2="D", "Dark")</f>
        <v>Medium</v>
      </c>
      <c r="P2" t="str">
        <f>_xlfn.XLOOKUP(Orders[[#This Row],[Customer ID]], customers!$A$2:$A$1001, customers!$I$2:$I$1001, 0)</f>
        <v>Yes</v>
      </c>
    </row>
    <row r="3" spans="1:16" x14ac:dyDescent="0.35">
      <c r="A3" s="2" t="s">
        <v>490</v>
      </c>
      <c r="B3" s="3">
        <v>43713</v>
      </c>
      <c r="C3" s="2" t="s">
        <v>491</v>
      </c>
      <c r="D3" t="s">
        <v>6139</v>
      </c>
      <c r="E3" s="2">
        <v>5</v>
      </c>
      <c r="F3" s="2" t="str" cm="1">
        <f t="array" ref="F3">_xlfn.XLOOKUP(C3, customers!$A$1:A1002, customers!$B$1:B1002, 0)</f>
        <v>Aloisia Allner</v>
      </c>
      <c r="G3" s="2" t="str">
        <f>IF(_xlfn.XLOOKUP(C3, customers!A2:A1002, customers!C2:C1002, 0)=0, "", _xlfn.XLOOKUP(C3, customers!A2:A1002, customers!C2:C1002, 0))</f>
        <v>aallner0@lulu.com</v>
      </c>
      <c r="H3" s="2" t="str" cm="1">
        <f t="array" ref="H3">_xlfn.XLOOKUP(C3, customers!$A$1:A1002, customers!$G$1:G1002,, 0)</f>
        <v>United States</v>
      </c>
      <c r="I3" t="str" cm="1">
        <f t="array" ref="I3">_xlfn.XLOOKUP(orders!D3, products!$A$1:A50, products!$B$1:B50, 0)</f>
        <v>Exc</v>
      </c>
      <c r="J3" t="str" cm="1">
        <f t="array" ref="J3">_xlfn.XLOOKUP(D3, products!$A$1:A50, products!$C$1:C50, 0)</f>
        <v>M</v>
      </c>
      <c r="K3" s="4" cm="1">
        <f t="array" ref="K3">_xlfn.XLOOKUP(D3, products!$A$1:A50, products!$D$1:D50, 0)</f>
        <v>0.5</v>
      </c>
      <c r="L3" s="4" cm="1">
        <f t="array" ref="L3">_xlfn.XLOOKUP(D3, products!$A$1:A50, products!$E$1:E50)</f>
        <v>8.25</v>
      </c>
      <c r="M3">
        <f t="shared" ref="M3:M66" si="0">L3*E3</f>
        <v>41.25</v>
      </c>
      <c r="N3" t="str">
        <f t="shared" ref="N3:N66" si="1">IF(I3="Rob", "Robusta", IF(I3="Exc", "Excelsa", IF(I3="Ara", "Arabica", IF(I3="Lib", "Liberica", ""))))</f>
        <v>Excelsa</v>
      </c>
      <c r="O3" t="str" cm="1">
        <f t="array" ref="O3">_xlfn.IFS(J3="M", "Medium", J3="L", "Light", J3="D", "Dark")</f>
        <v>Medium</v>
      </c>
      <c r="P3" t="str">
        <f>_xlfn.XLOOKUP(Orders[[#This Row],[Customer ID]], customers!$A$2:$A$1001, customers!$I$2:$I$1001, 0)</f>
        <v>Yes</v>
      </c>
    </row>
    <row r="4" spans="1:16" x14ac:dyDescent="0.35">
      <c r="A4" s="2" t="s">
        <v>501</v>
      </c>
      <c r="B4" s="3">
        <v>44364</v>
      </c>
      <c r="C4" s="2" t="s">
        <v>502</v>
      </c>
      <c r="D4" t="s">
        <v>6140</v>
      </c>
      <c r="E4" s="2">
        <v>1</v>
      </c>
      <c r="F4" s="2" t="str" cm="1">
        <f t="array" ref="F4">_xlfn.XLOOKUP(C4, customers!$A$1:A1003, customers!$B$1:B1003, 0)</f>
        <v>Jami Redholes</v>
      </c>
      <c r="G4" s="2" t="str">
        <f>IF(_xlfn.XLOOKUP(C4, customers!A3:A1003, customers!C3:C1003, 0)=0, "", _xlfn.XLOOKUP(C4, customers!A3:A1003, customers!C3:C1003, 0))</f>
        <v>jredholes2@tmall.com</v>
      </c>
      <c r="H4" s="2" t="str" cm="1">
        <f t="array" ref="H4">_xlfn.XLOOKUP(C4, customers!$A$1:A1003, customers!$G$1:G1003,, 0)</f>
        <v>United States</v>
      </c>
      <c r="I4" t="str" cm="1">
        <f t="array" ref="I4">_xlfn.XLOOKUP(orders!D4, products!$A$1:A51, products!$B$1:B51, 0)</f>
        <v>Ara</v>
      </c>
      <c r="J4" t="str" cm="1">
        <f t="array" ref="J4">_xlfn.XLOOKUP(D4, products!$A$1:A51, products!$C$1:C51, 0)</f>
        <v>L</v>
      </c>
      <c r="K4" s="4" cm="1">
        <f t="array" ref="K4">_xlfn.XLOOKUP(D4, products!$A$1:A51, products!$D$1:D51, 0)</f>
        <v>1</v>
      </c>
      <c r="L4" s="4" cm="1">
        <f t="array" ref="L4">_xlfn.XLOOKUP(D4, products!$A$1:A51, products!$E$1:E51)</f>
        <v>12.95</v>
      </c>
      <c r="M4">
        <f t="shared" si="0"/>
        <v>12.95</v>
      </c>
      <c r="N4" t="str">
        <f t="shared" si="1"/>
        <v>Arabica</v>
      </c>
      <c r="O4" t="str" cm="1">
        <f t="array" ref="O4">_xlfn.IFS(J4="M", "Medium", J4="L", "Light", J4="D", "Dark")</f>
        <v>Light</v>
      </c>
      <c r="P4" t="str">
        <f>_xlfn.XLOOKUP(Orders[[#This Row],[Customer ID]], customers!$A$2:$A$1001, customers!$I$2:$I$1001, 0)</f>
        <v>Yes</v>
      </c>
    </row>
    <row r="5" spans="1:16" x14ac:dyDescent="0.35">
      <c r="A5" s="2" t="s">
        <v>512</v>
      </c>
      <c r="B5" s="3">
        <v>44392</v>
      </c>
      <c r="C5" s="2" t="s">
        <v>513</v>
      </c>
      <c r="D5" t="s">
        <v>6141</v>
      </c>
      <c r="E5" s="2">
        <v>2</v>
      </c>
      <c r="F5" s="2" t="str" cm="1">
        <f t="array" ref="F5">_xlfn.XLOOKUP(C5, customers!$A$1:A1004, customers!$B$1:B1004, 0)</f>
        <v>Christoffer O' Shea</v>
      </c>
      <c r="G5" s="2" t="str">
        <f>IF(_xlfn.XLOOKUP(C5, customers!A4:A1004, customers!C4:C1004, 0)=0, "", _xlfn.XLOOKUP(C5, customers!A4:A1004, customers!C4:C1004, 0))</f>
        <v/>
      </c>
      <c r="H5" s="2" t="str" cm="1">
        <f t="array" ref="H5">_xlfn.XLOOKUP(C5, customers!$A$1:A1004, customers!$G$1:G1004,, 0)</f>
        <v>Ireland</v>
      </c>
      <c r="I5" t="str" cm="1">
        <f t="array" ref="I5">_xlfn.XLOOKUP(orders!D5, products!$A$1:A52, products!$B$1:B52, 0)</f>
        <v>Exc</v>
      </c>
      <c r="J5" t="str" cm="1">
        <f t="array" ref="J5">_xlfn.XLOOKUP(D5, products!$A$1:A52, products!$C$1:C52, 0)</f>
        <v>M</v>
      </c>
      <c r="K5" s="4" cm="1">
        <f t="array" ref="K5">_xlfn.XLOOKUP(D5, products!$A$1:A52, products!$D$1:D52, 0)</f>
        <v>1</v>
      </c>
      <c r="L5" s="4" cm="1">
        <f t="array" ref="L5">_xlfn.XLOOKUP(D5, products!$A$1:A52, products!$E$1:E52)</f>
        <v>13.75</v>
      </c>
      <c r="M5">
        <f t="shared" si="0"/>
        <v>27.5</v>
      </c>
      <c r="N5" t="str">
        <f t="shared" si="1"/>
        <v>Excelsa</v>
      </c>
      <c r="O5" t="str" cm="1">
        <f t="array" ref="O5">_xlfn.IFS(J5="M", "Medium", J5="L", "Light", J5="D", "Dark")</f>
        <v>Medium</v>
      </c>
      <c r="P5" t="str">
        <f>_xlfn.XLOOKUP(Orders[[#This Row],[Customer ID]], customers!$A$2:$A$1001, customers!$I$2:$I$1001, 0)</f>
        <v>No</v>
      </c>
    </row>
    <row r="6" spans="1:16" x14ac:dyDescent="0.35">
      <c r="A6" s="2" t="s">
        <v>512</v>
      </c>
      <c r="B6" s="3">
        <v>44392</v>
      </c>
      <c r="C6" s="2" t="s">
        <v>513</v>
      </c>
      <c r="D6" t="s">
        <v>6142</v>
      </c>
      <c r="E6" s="2">
        <v>2</v>
      </c>
      <c r="F6" s="2" t="str" cm="1">
        <f t="array" ref="F6">_xlfn.XLOOKUP(C6, customers!$A$1:A1005, customers!$B$1:B1005, 0)</f>
        <v>Christoffer O' Shea</v>
      </c>
      <c r="G6" s="2" t="str">
        <f>IF(_xlfn.XLOOKUP(C6, customers!A5:A1005, customers!C5:C1005, 0)=0, "", _xlfn.XLOOKUP(C6, customers!A5:A1005, customers!C5:C1005, 0))</f>
        <v/>
      </c>
      <c r="H6" s="2" t="str" cm="1">
        <f t="array" ref="H6">_xlfn.XLOOKUP(C6, customers!$A$1:A1005, customers!$G$1:G1005,, 0)</f>
        <v>Ireland</v>
      </c>
      <c r="I6" t="str" cm="1">
        <f t="array" ref="I6">_xlfn.XLOOKUP(orders!D6, products!$A$1:A53, products!$B$1:B53, 0)</f>
        <v>Rob</v>
      </c>
      <c r="J6" t="str" cm="1">
        <f t="array" ref="J6">_xlfn.XLOOKUP(D6, products!$A$1:A53, products!$C$1:C53, 0)</f>
        <v>L</v>
      </c>
      <c r="K6" s="4" cm="1">
        <f t="array" ref="K6">_xlfn.XLOOKUP(D6, products!$A$1:A53, products!$D$1:D53, 0)</f>
        <v>2.5</v>
      </c>
      <c r="L6" s="4" cm="1">
        <f t="array" ref="L6">_xlfn.XLOOKUP(D6, products!$A$1:A53, products!$E$1:E53)</f>
        <v>27.484999999999996</v>
      </c>
      <c r="M6">
        <f t="shared" si="0"/>
        <v>54.969999999999992</v>
      </c>
      <c r="N6" t="str">
        <f t="shared" si="1"/>
        <v>Robusta</v>
      </c>
      <c r="O6" t="str" cm="1">
        <f t="array" ref="O6">_xlfn.IFS(J6="M", "Medium", J6="L", "Light", J6="D", "Dark")</f>
        <v>Light</v>
      </c>
      <c r="P6" t="str">
        <f>_xlfn.XLOOKUP(Orders[[#This Row],[Customer ID]], customers!$A$2:$A$1001, customers!$I$2:$I$1001, 0)</f>
        <v>No</v>
      </c>
    </row>
    <row r="7" spans="1:16" x14ac:dyDescent="0.35">
      <c r="A7" s="2" t="s">
        <v>519</v>
      </c>
      <c r="B7" s="3">
        <v>44412</v>
      </c>
      <c r="C7" s="2" t="s">
        <v>520</v>
      </c>
      <c r="D7" t="s">
        <v>6143</v>
      </c>
      <c r="E7" s="2">
        <v>3</v>
      </c>
      <c r="F7" s="2" t="str" cm="1">
        <f t="array" ref="F7">_xlfn.XLOOKUP(C7, customers!$A$1:A1006, customers!$B$1:B1006, 0)</f>
        <v>Beryle Cottier</v>
      </c>
      <c r="G7" s="2" t="str">
        <f>IF(_xlfn.XLOOKUP(C7, customers!A6:A1006, customers!C6:C1006, 0)=0, "", _xlfn.XLOOKUP(C7, customers!A6:A1006, customers!C6:C1006, 0))</f>
        <v/>
      </c>
      <c r="H7" s="2" t="str" cm="1">
        <f t="array" ref="H7">_xlfn.XLOOKUP(C7, customers!$A$1:A1006, customers!$G$1:G1006,, 0)</f>
        <v>United States</v>
      </c>
      <c r="I7" t="str" cm="1">
        <f t="array" ref="I7">_xlfn.XLOOKUP(orders!D7, products!$A$1:A54, products!$B$1:B54, 0)</f>
        <v>Lib</v>
      </c>
      <c r="J7" t="str" cm="1">
        <f t="array" ref="J7">_xlfn.XLOOKUP(D7, products!$A$1:A54, products!$C$1:C54, 0)</f>
        <v>D</v>
      </c>
      <c r="K7" s="4" cm="1">
        <f t="array" ref="K7">_xlfn.XLOOKUP(D7, products!$A$1:A54, products!$D$1:D54, 0)</f>
        <v>1</v>
      </c>
      <c r="L7" s="4" cm="1">
        <f t="array" ref="L7">_xlfn.XLOOKUP(D7, products!$A$1:A54, products!$E$1:E54)</f>
        <v>12.95</v>
      </c>
      <c r="M7">
        <f t="shared" si="0"/>
        <v>38.849999999999994</v>
      </c>
      <c r="N7" t="str">
        <f t="shared" si="1"/>
        <v>Liberica</v>
      </c>
      <c r="O7" t="str" cm="1">
        <f t="array" ref="O7">_xlfn.IFS(J7="M", "Medium", J7="L", "Light", J7="D", "Dark")</f>
        <v>Dark</v>
      </c>
      <c r="P7" t="str">
        <f>_xlfn.XLOOKUP(Orders[[#This Row],[Customer ID]], customers!$A$2:$A$1001, customers!$I$2:$I$1001, 0)</f>
        <v>No</v>
      </c>
    </row>
    <row r="8" spans="1:16" x14ac:dyDescent="0.35">
      <c r="A8" s="2" t="s">
        <v>524</v>
      </c>
      <c r="B8" s="3">
        <v>44582</v>
      </c>
      <c r="C8" s="2" t="s">
        <v>525</v>
      </c>
      <c r="D8" t="s">
        <v>6144</v>
      </c>
      <c r="E8" s="2">
        <v>3</v>
      </c>
      <c r="F8" s="2" t="str" cm="1">
        <f t="array" ref="F8">_xlfn.XLOOKUP(C8, customers!$A$1:A1007, customers!$B$1:B1007, 0)</f>
        <v>Shaylynn Lobe</v>
      </c>
      <c r="G8" s="2" t="str">
        <f>IF(_xlfn.XLOOKUP(C8, customers!A7:A1007, customers!C7:C1007, 0)=0, "", _xlfn.XLOOKUP(C8, customers!A7:A1007, customers!C7:C1007, 0))</f>
        <v>slobe6@nifty.com</v>
      </c>
      <c r="H8" s="2" t="str" cm="1">
        <f t="array" ref="H8">_xlfn.XLOOKUP(C8, customers!$A$1:A1007, customers!$G$1:G1007,, 0)</f>
        <v>United States</v>
      </c>
      <c r="I8" t="str" cm="1">
        <f t="array" ref="I8">_xlfn.XLOOKUP(orders!D8, products!$A$1:A55, products!$B$1:B55, 0)</f>
        <v>Exc</v>
      </c>
      <c r="J8" t="str" cm="1">
        <f t="array" ref="J8">_xlfn.XLOOKUP(D8, products!$A$1:A55, products!$C$1:C55, 0)</f>
        <v>D</v>
      </c>
      <c r="K8" s="4" cm="1">
        <f t="array" ref="K8">_xlfn.XLOOKUP(D8, products!$A$1:A55, products!$D$1:D55, 0)</f>
        <v>0.5</v>
      </c>
      <c r="L8" s="4" cm="1">
        <f t="array" ref="L8">_xlfn.XLOOKUP(D8, products!$A$1:A55, products!$E$1:E55)</f>
        <v>7.29</v>
      </c>
      <c r="M8">
        <f t="shared" si="0"/>
        <v>21.87</v>
      </c>
      <c r="N8" t="str">
        <f t="shared" si="1"/>
        <v>Excelsa</v>
      </c>
      <c r="O8" t="str" cm="1">
        <f t="array" ref="O8">_xlfn.IFS(J8="M", "Medium", J8="L", "Light", J8="D", "Dark")</f>
        <v>Dark</v>
      </c>
      <c r="P8" t="str">
        <f>_xlfn.XLOOKUP(Orders[[#This Row],[Customer ID]], customers!$A$2:$A$1001, customers!$I$2:$I$1001, 0)</f>
        <v>Yes</v>
      </c>
    </row>
    <row r="9" spans="1:16" x14ac:dyDescent="0.35">
      <c r="A9" s="2" t="s">
        <v>530</v>
      </c>
      <c r="B9" s="3">
        <v>44701</v>
      </c>
      <c r="C9" s="2" t="s">
        <v>531</v>
      </c>
      <c r="D9" t="s">
        <v>6145</v>
      </c>
      <c r="E9" s="2">
        <v>1</v>
      </c>
      <c r="F9" s="2" t="str" cm="1">
        <f t="array" ref="F9">_xlfn.XLOOKUP(C9, customers!$A$1:A1008, customers!$B$1:B1008, 0)</f>
        <v>Melvin Wharfe</v>
      </c>
      <c r="G9" s="2" t="str">
        <f>IF(_xlfn.XLOOKUP(C9, customers!A8:A1008, customers!C8:C1008, 0)=0, "", _xlfn.XLOOKUP(C9, customers!A8:A1008, customers!C8:C1008, 0))</f>
        <v/>
      </c>
      <c r="H9" s="2" t="str" cm="1">
        <f t="array" ref="H9">_xlfn.XLOOKUP(C9, customers!$A$1:A1008, customers!$G$1:G1008,, 0)</f>
        <v>Ireland</v>
      </c>
      <c r="I9" t="str" cm="1">
        <f t="array" ref="I9">_xlfn.XLOOKUP(orders!D9, products!$A$1:A56, products!$B$1:B56, 0)</f>
        <v>Lib</v>
      </c>
      <c r="J9" t="str" cm="1">
        <f t="array" ref="J9">_xlfn.XLOOKUP(D9, products!$A$1:A56, products!$C$1:C56, 0)</f>
        <v>L</v>
      </c>
      <c r="K9" s="4" cm="1">
        <f t="array" ref="K9">_xlfn.XLOOKUP(D9, products!$A$1:A56, products!$D$1:D56, 0)</f>
        <v>0.2</v>
      </c>
      <c r="L9" s="4" cm="1">
        <f t="array" ref="L9">_xlfn.XLOOKUP(D9, products!$A$1:A56, products!$E$1:E56)</f>
        <v>4.7549999999999999</v>
      </c>
      <c r="M9">
        <f t="shared" si="0"/>
        <v>4.7549999999999999</v>
      </c>
      <c r="N9" t="str">
        <f t="shared" si="1"/>
        <v>Liberica</v>
      </c>
      <c r="O9" t="str" cm="1">
        <f t="array" ref="O9">_xlfn.IFS(J9="M", "Medium", J9="L", "Light", J9="D", "Dark")</f>
        <v>Light</v>
      </c>
      <c r="P9" t="str">
        <f>_xlfn.XLOOKUP(Orders[[#This Row],[Customer ID]], customers!$A$2:$A$1001, customers!$I$2:$I$1001, 0)</f>
        <v>Yes</v>
      </c>
    </row>
    <row r="10" spans="1:16" x14ac:dyDescent="0.35">
      <c r="A10" s="2" t="s">
        <v>535</v>
      </c>
      <c r="B10" s="3">
        <v>43467</v>
      </c>
      <c r="C10" s="2" t="s">
        <v>536</v>
      </c>
      <c r="D10" t="s">
        <v>6146</v>
      </c>
      <c r="E10" s="2">
        <v>3</v>
      </c>
      <c r="F10" s="2" t="str" cm="1">
        <f t="array" ref="F10">_xlfn.XLOOKUP(C10, customers!$A$1:A1009, customers!$B$1:B1009, 0)</f>
        <v>Guthrey Petracci</v>
      </c>
      <c r="G10" s="2" t="str">
        <f>IF(_xlfn.XLOOKUP(C10, customers!A9:A1009, customers!C9:C1009, 0)=0, "", _xlfn.XLOOKUP(C10, customers!A9:A1009, customers!C9:C1009, 0))</f>
        <v>gpetracci8@livejournal.com</v>
      </c>
      <c r="H10" s="2" t="str" cm="1">
        <f t="array" ref="H10">_xlfn.XLOOKUP(C10, customers!$A$1:A1009, customers!$G$1:G1009,, 0)</f>
        <v>United States</v>
      </c>
      <c r="I10" t="str" cm="1">
        <f t="array" ref="I10">_xlfn.XLOOKUP(orders!D10, products!$A$1:A57, products!$B$1:B57, 0)</f>
        <v>Rob</v>
      </c>
      <c r="J10" t="str" cm="1">
        <f t="array" ref="J10">_xlfn.XLOOKUP(D10, products!$A$1:A57, products!$C$1:C57, 0)</f>
        <v>M</v>
      </c>
      <c r="K10" s="4" cm="1">
        <f t="array" ref="K10">_xlfn.XLOOKUP(D10, products!$A$1:A57, products!$D$1:D57, 0)</f>
        <v>0.5</v>
      </c>
      <c r="L10" s="4" cm="1">
        <f t="array" ref="L10">_xlfn.XLOOKUP(D10, products!$A$1:A57, products!$E$1:E57)</f>
        <v>5.97</v>
      </c>
      <c r="M10">
        <f t="shared" si="0"/>
        <v>17.91</v>
      </c>
      <c r="N10" t="str">
        <f t="shared" si="1"/>
        <v>Robusta</v>
      </c>
      <c r="O10" t="str" cm="1">
        <f t="array" ref="O10">_xlfn.IFS(J10="M", "Medium", J10="L", "Light", J10="D", "Dark")</f>
        <v>Medium</v>
      </c>
      <c r="P10" t="str">
        <f>_xlfn.XLOOKUP(Orders[[#This Row],[Customer ID]], customers!$A$2:$A$1001, customers!$I$2:$I$1001, 0)</f>
        <v>No</v>
      </c>
    </row>
    <row r="11" spans="1:16" x14ac:dyDescent="0.35">
      <c r="A11" s="2" t="s">
        <v>541</v>
      </c>
      <c r="B11" s="3">
        <v>43713</v>
      </c>
      <c r="C11" s="2" t="s">
        <v>542</v>
      </c>
      <c r="D11" t="s">
        <v>6146</v>
      </c>
      <c r="E11" s="2">
        <v>1</v>
      </c>
      <c r="F11" s="2" t="str" cm="1">
        <f t="array" ref="F11">_xlfn.XLOOKUP(C11, customers!$A$1:A1010, customers!$B$1:B1010, 0)</f>
        <v>Rodger Raven</v>
      </c>
      <c r="G11" s="2" t="str">
        <f>IF(_xlfn.XLOOKUP(C11, customers!A10:A1010, customers!C10:C1010, 0)=0, "", _xlfn.XLOOKUP(C11, customers!A10:A1010, customers!C10:C1010, 0))</f>
        <v>rraven9@ed.gov</v>
      </c>
      <c r="H11" s="2" t="str" cm="1">
        <f t="array" ref="H11">_xlfn.XLOOKUP(C11, customers!$A$1:A1010, customers!$G$1:G1010,, 0)</f>
        <v>United States</v>
      </c>
      <c r="I11" t="str" cm="1">
        <f t="array" ref="I11">_xlfn.XLOOKUP(orders!D11, products!$A$1:A58, products!$B$1:B58, 0)</f>
        <v>Rob</v>
      </c>
      <c r="J11" t="str" cm="1">
        <f t="array" ref="J11">_xlfn.XLOOKUP(D11, products!$A$1:A58, products!$C$1:C58, 0)</f>
        <v>M</v>
      </c>
      <c r="K11" s="4" cm="1">
        <f t="array" ref="K11">_xlfn.XLOOKUP(D11, products!$A$1:A58, products!$D$1:D58, 0)</f>
        <v>0.5</v>
      </c>
      <c r="L11" s="4" cm="1">
        <f t="array" ref="L11">_xlfn.XLOOKUP(D11, products!$A$1:A58, products!$E$1:E58)</f>
        <v>5.97</v>
      </c>
      <c r="M11">
        <f t="shared" si="0"/>
        <v>5.97</v>
      </c>
      <c r="N11" t="str">
        <f t="shared" si="1"/>
        <v>Robusta</v>
      </c>
      <c r="O11" t="str" cm="1">
        <f t="array" ref="O11">_xlfn.IFS(J11="M", "Medium", J11="L", "Light", J11="D", "Dark")</f>
        <v>Medium</v>
      </c>
      <c r="P11" t="str">
        <f>_xlfn.XLOOKUP(Orders[[#This Row],[Customer ID]], customers!$A$2:$A$1001, customers!$I$2:$I$1001, 0)</f>
        <v>No</v>
      </c>
    </row>
    <row r="12" spans="1:16" x14ac:dyDescent="0.35">
      <c r="A12" s="2" t="s">
        <v>547</v>
      </c>
      <c r="B12" s="3">
        <v>44263</v>
      </c>
      <c r="C12" s="2" t="s">
        <v>548</v>
      </c>
      <c r="D12" t="s">
        <v>6147</v>
      </c>
      <c r="E12" s="2">
        <v>4</v>
      </c>
      <c r="F12" s="2" t="str" cm="1">
        <f t="array" ref="F12">_xlfn.XLOOKUP(C12, customers!$A$1:A1011, customers!$B$1:B1011, 0)</f>
        <v>Ferrell Ferber</v>
      </c>
      <c r="G12" s="2" t="str">
        <f>IF(_xlfn.XLOOKUP(C12, customers!A11:A1011, customers!C11:C1011, 0)=0, "", _xlfn.XLOOKUP(C12, customers!A11:A1011, customers!C11:C1011, 0))</f>
        <v>fferbera@businesswire.com</v>
      </c>
      <c r="H12" s="2" t="str" cm="1">
        <f t="array" ref="H12">_xlfn.XLOOKUP(C12, customers!$A$1:A1011, customers!$G$1:G1011,, 0)</f>
        <v>United States</v>
      </c>
      <c r="I12" t="str" cm="1">
        <f t="array" ref="I12">_xlfn.XLOOKUP(orders!D12, products!$A$1:A59, products!$B$1:B59, 0)</f>
        <v>Ara</v>
      </c>
      <c r="J12" t="str" cm="1">
        <f t="array" ref="J12">_xlfn.XLOOKUP(D12, products!$A$1:A59, products!$C$1:C59, 0)</f>
        <v>D</v>
      </c>
      <c r="K12" s="4" cm="1">
        <f t="array" ref="K12">_xlfn.XLOOKUP(D12, products!$A$1:A59, products!$D$1:D59, 0)</f>
        <v>1</v>
      </c>
      <c r="L12" s="4" cm="1">
        <f t="array" ref="L12">_xlfn.XLOOKUP(D12, products!$A$1:A59, products!$E$1:E59)</f>
        <v>9.9499999999999993</v>
      </c>
      <c r="M12">
        <f t="shared" si="0"/>
        <v>39.799999999999997</v>
      </c>
      <c r="N12" t="str">
        <f t="shared" si="1"/>
        <v>Arabica</v>
      </c>
      <c r="O12" t="str" cm="1">
        <f t="array" ref="O12">_xlfn.IFS(J12="M", "Medium", J12="L", "Light", J12="D", "Dark")</f>
        <v>Dark</v>
      </c>
      <c r="P12" t="str">
        <f>_xlfn.XLOOKUP(Orders[[#This Row],[Customer ID]], customers!$A$2:$A$1001, customers!$I$2:$I$1001, 0)</f>
        <v>No</v>
      </c>
    </row>
    <row r="13" spans="1:16" x14ac:dyDescent="0.35">
      <c r="A13" s="2" t="s">
        <v>553</v>
      </c>
      <c r="B13" s="3">
        <v>44132</v>
      </c>
      <c r="C13" s="2" t="s">
        <v>554</v>
      </c>
      <c r="D13" t="s">
        <v>6148</v>
      </c>
      <c r="E13" s="2">
        <v>5</v>
      </c>
      <c r="F13" s="2" t="str" cm="1">
        <f t="array" ref="F13">_xlfn.XLOOKUP(C13, customers!$A$1:A1012, customers!$B$1:B1012, 0)</f>
        <v>Duky Phizackerly</v>
      </c>
      <c r="G13" s="2" t="str">
        <f>IF(_xlfn.XLOOKUP(C13, customers!A12:A1012, customers!C12:C1012, 0)=0, "", _xlfn.XLOOKUP(C13, customers!A12:A1012, customers!C12:C1012, 0))</f>
        <v>dphizackerlyb@utexas.edu</v>
      </c>
      <c r="H13" s="2" t="str" cm="1">
        <f t="array" ref="H13">_xlfn.XLOOKUP(C13, customers!$A$1:A1012, customers!$G$1:G1012,, 0)</f>
        <v>United States</v>
      </c>
      <c r="I13" t="str" cm="1">
        <f t="array" ref="I13">_xlfn.XLOOKUP(orders!D13, products!$A$1:A60, products!$B$1:B60, 0)</f>
        <v>Exc</v>
      </c>
      <c r="J13" t="str" cm="1">
        <f t="array" ref="J13">_xlfn.XLOOKUP(D13, products!$A$1:A60, products!$C$1:C60, 0)</f>
        <v>L</v>
      </c>
      <c r="K13" s="4" cm="1">
        <f t="array" ref="K13">_xlfn.XLOOKUP(D13, products!$A$1:A60, products!$D$1:D60, 0)</f>
        <v>2.5</v>
      </c>
      <c r="L13" s="4" cm="1">
        <f t="array" ref="L13">_xlfn.XLOOKUP(D13, products!$A$1:A60, products!$E$1:E60)</f>
        <v>34.154999999999994</v>
      </c>
      <c r="M13">
        <f t="shared" si="0"/>
        <v>170.77499999999998</v>
      </c>
      <c r="N13" t="str">
        <f t="shared" si="1"/>
        <v>Excelsa</v>
      </c>
      <c r="O13" t="str" cm="1">
        <f t="array" ref="O13">_xlfn.IFS(J13="M", "Medium", J13="L", "Light", J13="D", "Dark")</f>
        <v>Light</v>
      </c>
      <c r="P13" t="str">
        <f>_xlfn.XLOOKUP(Orders[[#This Row],[Customer ID]], customers!$A$2:$A$1001, customers!$I$2:$I$1001, 0)</f>
        <v>Yes</v>
      </c>
    </row>
    <row r="14" spans="1:16" x14ac:dyDescent="0.35">
      <c r="A14" s="2" t="s">
        <v>559</v>
      </c>
      <c r="B14" s="3">
        <v>44744</v>
      </c>
      <c r="C14" s="2" t="s">
        <v>560</v>
      </c>
      <c r="D14" t="s">
        <v>6138</v>
      </c>
      <c r="E14" s="2">
        <v>5</v>
      </c>
      <c r="F14" s="2" t="str" cm="1">
        <f t="array" ref="F14">_xlfn.XLOOKUP(C14, customers!$A$1:A1013, customers!$B$1:B1013, 0)</f>
        <v>Rosaleen Scholar</v>
      </c>
      <c r="G14" s="2" t="str">
        <f>IF(_xlfn.XLOOKUP(C14, customers!A13:A1013, customers!C13:C1013, 0)=0, "", _xlfn.XLOOKUP(C14, customers!A13:A1013, customers!C13:C1013, 0))</f>
        <v>rscholarc@nyu.edu</v>
      </c>
      <c r="H14" s="2" t="str" cm="1">
        <f t="array" ref="H14">_xlfn.XLOOKUP(C14, customers!$A$1:A1013, customers!$G$1:G1013,, 0)</f>
        <v>United States</v>
      </c>
      <c r="I14" t="str" cm="1">
        <f t="array" ref="I14">_xlfn.XLOOKUP(orders!D14, products!$A$1:A61, products!$B$1:B61, 0)</f>
        <v>Rob</v>
      </c>
      <c r="J14" t="str" cm="1">
        <f t="array" ref="J14">_xlfn.XLOOKUP(D14, products!$A$1:A61, products!$C$1:C61, 0)</f>
        <v>M</v>
      </c>
      <c r="K14" s="4" cm="1">
        <f t="array" ref="K14">_xlfn.XLOOKUP(D14, products!$A$1:A61, products!$D$1:D61, 0)</f>
        <v>1</v>
      </c>
      <c r="L14" s="4" cm="1">
        <f t="array" ref="L14">_xlfn.XLOOKUP(D14, products!$A$1:A61, products!$E$1:E61)</f>
        <v>9.9499999999999993</v>
      </c>
      <c r="M14">
        <f t="shared" si="0"/>
        <v>49.75</v>
      </c>
      <c r="N14" t="str">
        <f t="shared" si="1"/>
        <v>Robusta</v>
      </c>
      <c r="O14" t="str" cm="1">
        <f t="array" ref="O14">_xlfn.IFS(J14="M", "Medium", J14="L", "Light", J14="D", "Dark")</f>
        <v>Medium</v>
      </c>
      <c r="P14" t="str">
        <f>_xlfn.XLOOKUP(Orders[[#This Row],[Customer ID]], customers!$A$2:$A$1001, customers!$I$2:$I$1001, 0)</f>
        <v>No</v>
      </c>
    </row>
    <row r="15" spans="1:16" x14ac:dyDescent="0.35">
      <c r="A15" s="2" t="s">
        <v>565</v>
      </c>
      <c r="B15" s="3">
        <v>43973</v>
      </c>
      <c r="C15" s="2" t="s">
        <v>566</v>
      </c>
      <c r="D15" t="s">
        <v>6149</v>
      </c>
      <c r="E15" s="2">
        <v>2</v>
      </c>
      <c r="F15" s="2" t="str" cm="1">
        <f t="array" ref="F15">_xlfn.XLOOKUP(C15, customers!$A$1:A1014, customers!$B$1:B1014, 0)</f>
        <v>Terence Vanyutin</v>
      </c>
      <c r="G15" s="2" t="str">
        <f>IF(_xlfn.XLOOKUP(C15, customers!A14:A1014, customers!C14:C1014, 0)=0, "", _xlfn.XLOOKUP(C15, customers!A14:A1014, customers!C14:C1014, 0))</f>
        <v>tvanyutind@wix.com</v>
      </c>
      <c r="H15" s="2" t="str" cm="1">
        <f t="array" ref="H15">_xlfn.XLOOKUP(C15, customers!$A$1:A1014, customers!$G$1:G1014,, 0)</f>
        <v>United States</v>
      </c>
      <c r="I15" t="str" cm="1">
        <f t="array" ref="I15">_xlfn.XLOOKUP(orders!D15, products!$A$1:A62, products!$B$1:B62, 0)</f>
        <v>Rob</v>
      </c>
      <c r="J15" t="str" cm="1">
        <f t="array" ref="J15">_xlfn.XLOOKUP(D15, products!$A$1:A62, products!$C$1:C62, 0)</f>
        <v>D</v>
      </c>
      <c r="K15" s="4" cm="1">
        <f t="array" ref="K15">_xlfn.XLOOKUP(D15, products!$A$1:A62, products!$D$1:D62, 0)</f>
        <v>2.5</v>
      </c>
      <c r="L15" s="4" cm="1">
        <f t="array" ref="L15">_xlfn.XLOOKUP(D15, products!$A$1:A62, products!$E$1:E62)</f>
        <v>20.584999999999997</v>
      </c>
      <c r="M15">
        <f t="shared" si="0"/>
        <v>41.169999999999995</v>
      </c>
      <c r="N15" t="str">
        <f t="shared" si="1"/>
        <v>Robusta</v>
      </c>
      <c r="O15" t="str" cm="1">
        <f t="array" ref="O15">_xlfn.IFS(J15="M", "Medium", J15="L", "Light", J15="D", "Dark")</f>
        <v>Dark</v>
      </c>
      <c r="P15" t="str">
        <f>_xlfn.XLOOKUP(Orders[[#This Row],[Customer ID]], customers!$A$2:$A$1001, customers!$I$2:$I$1001, 0)</f>
        <v>No</v>
      </c>
    </row>
    <row r="16" spans="1:16" x14ac:dyDescent="0.35">
      <c r="A16" s="2" t="s">
        <v>570</v>
      </c>
      <c r="B16" s="3">
        <v>44656</v>
      </c>
      <c r="C16" s="2" t="s">
        <v>571</v>
      </c>
      <c r="D16" t="s">
        <v>6150</v>
      </c>
      <c r="E16" s="2">
        <v>3</v>
      </c>
      <c r="F16" s="2" t="str" cm="1">
        <f t="array" ref="F16">_xlfn.XLOOKUP(C16, customers!$A$1:A1015, customers!$B$1:B1015, 0)</f>
        <v>Patrice Trobe</v>
      </c>
      <c r="G16" s="2" t="str">
        <f>IF(_xlfn.XLOOKUP(C16, customers!A15:A1015, customers!C15:C1015, 0)=0, "", _xlfn.XLOOKUP(C16, customers!A15:A1015, customers!C15:C1015, 0))</f>
        <v>ptrobee@wunderground.com</v>
      </c>
      <c r="H16" s="2" t="str" cm="1">
        <f t="array" ref="H16">_xlfn.XLOOKUP(C16, customers!$A$1:A1015, customers!$G$1:G1015,, 0)</f>
        <v>United States</v>
      </c>
      <c r="I16" t="str" cm="1">
        <f t="array" ref="I16">_xlfn.XLOOKUP(orders!D16, products!$A$1:A63, products!$B$1:B63, 0)</f>
        <v>Lib</v>
      </c>
      <c r="J16" t="str" cm="1">
        <f t="array" ref="J16">_xlfn.XLOOKUP(D16, products!$A$1:A63, products!$C$1:C63, 0)</f>
        <v>D</v>
      </c>
      <c r="K16" s="4" cm="1">
        <f t="array" ref="K16">_xlfn.XLOOKUP(D16, products!$A$1:A63, products!$D$1:D63, 0)</f>
        <v>0.2</v>
      </c>
      <c r="L16" s="4" cm="1">
        <f t="array" ref="L16">_xlfn.XLOOKUP(D16, products!$A$1:A63, products!$E$1:E63)</f>
        <v>3.8849999999999998</v>
      </c>
      <c r="M16">
        <f t="shared" si="0"/>
        <v>11.654999999999999</v>
      </c>
      <c r="N16" t="str">
        <f t="shared" si="1"/>
        <v>Liberica</v>
      </c>
      <c r="O16" t="str" cm="1">
        <f t="array" ref="O16">_xlfn.IFS(J16="M", "Medium", J16="L", "Light", J16="D", "Dark")</f>
        <v>Dark</v>
      </c>
      <c r="P16" t="str">
        <f>_xlfn.XLOOKUP(Orders[[#This Row],[Customer ID]], customers!$A$2:$A$1001, customers!$I$2:$I$1001, 0)</f>
        <v>Yes</v>
      </c>
    </row>
    <row r="17" spans="1:16" x14ac:dyDescent="0.35">
      <c r="A17" s="2" t="s">
        <v>576</v>
      </c>
      <c r="B17" s="3">
        <v>44719</v>
      </c>
      <c r="C17" s="2" t="s">
        <v>577</v>
      </c>
      <c r="D17" t="s">
        <v>6151</v>
      </c>
      <c r="E17" s="2">
        <v>5</v>
      </c>
      <c r="F17" s="2" t="str" cm="1">
        <f t="array" ref="F17">_xlfn.XLOOKUP(C17, customers!$A$1:A1016, customers!$B$1:B1016, 0)</f>
        <v>Llywellyn Oscroft</v>
      </c>
      <c r="G17" s="2" t="str">
        <f>IF(_xlfn.XLOOKUP(C17, customers!A16:A1016, customers!C16:C1016, 0)=0, "", _xlfn.XLOOKUP(C17, customers!A16:A1016, customers!C16:C1016, 0))</f>
        <v>loscroftf@ebay.co.uk</v>
      </c>
      <c r="H17" s="2" t="str" cm="1">
        <f t="array" ref="H17">_xlfn.XLOOKUP(C17, customers!$A$1:A1016, customers!$G$1:G1016,, 0)</f>
        <v>United States</v>
      </c>
      <c r="I17" t="str" cm="1">
        <f t="array" ref="I17">_xlfn.XLOOKUP(orders!D17, products!$A$1:A64, products!$B$1:B64, 0)</f>
        <v>Rob</v>
      </c>
      <c r="J17" t="str" cm="1">
        <f t="array" ref="J17">_xlfn.XLOOKUP(D17, products!$A$1:A64, products!$C$1:C64, 0)</f>
        <v>M</v>
      </c>
      <c r="K17" s="4" cm="1">
        <f t="array" ref="K17">_xlfn.XLOOKUP(D17, products!$A$1:A64, products!$D$1:D64, 0)</f>
        <v>2.5</v>
      </c>
      <c r="L17" s="4" cm="1">
        <f t="array" ref="L17">_xlfn.XLOOKUP(D17, products!$A$1:A64, products!$E$1:E64)</f>
        <v>22.884999999999998</v>
      </c>
      <c r="M17">
        <f t="shared" si="0"/>
        <v>114.42499999999998</v>
      </c>
      <c r="N17" t="str">
        <f t="shared" si="1"/>
        <v>Robusta</v>
      </c>
      <c r="O17" t="str" cm="1">
        <f t="array" ref="O17">_xlfn.IFS(J17="M", "Medium", J17="L", "Light", J17="D", "Dark")</f>
        <v>Medium</v>
      </c>
      <c r="P17" t="str">
        <f>_xlfn.XLOOKUP(Orders[[#This Row],[Customer ID]], customers!$A$2:$A$1001, customers!$I$2:$I$1001, 0)</f>
        <v>No</v>
      </c>
    </row>
    <row r="18" spans="1:16" x14ac:dyDescent="0.35">
      <c r="A18" s="2" t="s">
        <v>581</v>
      </c>
      <c r="B18" s="3">
        <v>43544</v>
      </c>
      <c r="C18" s="2" t="s">
        <v>582</v>
      </c>
      <c r="D18" t="s">
        <v>6152</v>
      </c>
      <c r="E18" s="2">
        <v>6</v>
      </c>
      <c r="F18" s="2" t="str" cm="1">
        <f t="array" ref="F18">_xlfn.XLOOKUP(C18, customers!$A$1:A1017, customers!$B$1:B1017, 0)</f>
        <v>Minni Alabaster</v>
      </c>
      <c r="G18" s="2" t="str">
        <f>IF(_xlfn.XLOOKUP(C18, customers!A17:A1017, customers!C17:C1017, 0)=0, "", _xlfn.XLOOKUP(C18, customers!A17:A1017, customers!C17:C1017, 0))</f>
        <v>malabasterg@hexun.com</v>
      </c>
      <c r="H18" s="2" t="str" cm="1">
        <f t="array" ref="H18">_xlfn.XLOOKUP(C18, customers!$A$1:A1017, customers!$G$1:G1017,, 0)</f>
        <v>United States</v>
      </c>
      <c r="I18" t="str" cm="1">
        <f t="array" ref="I18">_xlfn.XLOOKUP(orders!D18, products!$A$1:A65, products!$B$1:B65, 0)</f>
        <v>Ara</v>
      </c>
      <c r="J18" t="str" cm="1">
        <f t="array" ref="J18">_xlfn.XLOOKUP(D18, products!$A$1:A65, products!$C$1:C65, 0)</f>
        <v>M</v>
      </c>
      <c r="K18" s="4" cm="1">
        <f t="array" ref="K18">_xlfn.XLOOKUP(D18, products!$A$1:A65, products!$D$1:D65, 0)</f>
        <v>0.2</v>
      </c>
      <c r="L18" s="4" cm="1">
        <f t="array" ref="L18">_xlfn.XLOOKUP(D18, products!$A$1:A65, products!$E$1:E65)</f>
        <v>3.375</v>
      </c>
      <c r="M18">
        <f t="shared" si="0"/>
        <v>20.25</v>
      </c>
      <c r="N18" t="str">
        <f t="shared" si="1"/>
        <v>Arabica</v>
      </c>
      <c r="O18" t="str" cm="1">
        <f t="array" ref="O18">_xlfn.IFS(J18="M", "Medium", J18="L", "Light", J18="D", "Dark")</f>
        <v>Medium</v>
      </c>
      <c r="P18" t="str">
        <f>_xlfn.XLOOKUP(Orders[[#This Row],[Customer ID]], customers!$A$2:$A$1001, customers!$I$2:$I$1001, 0)</f>
        <v>No</v>
      </c>
    </row>
    <row r="19" spans="1:16" x14ac:dyDescent="0.35">
      <c r="A19" s="2" t="s">
        <v>587</v>
      </c>
      <c r="B19" s="3">
        <v>43757</v>
      </c>
      <c r="C19" s="2" t="s">
        <v>588</v>
      </c>
      <c r="D19" t="s">
        <v>6140</v>
      </c>
      <c r="E19" s="2">
        <v>6</v>
      </c>
      <c r="F19" s="2" t="str" cm="1">
        <f t="array" ref="F19">_xlfn.XLOOKUP(C19, customers!$A$1:A1018, customers!$B$1:B1018, 0)</f>
        <v>Rhianon Broxup</v>
      </c>
      <c r="G19" s="2" t="str">
        <f>IF(_xlfn.XLOOKUP(C19, customers!A18:A1018, customers!C18:C1018, 0)=0, "", _xlfn.XLOOKUP(C19, customers!A18:A1018, customers!C18:C1018, 0))</f>
        <v>rbroxuph@jimdo.com</v>
      </c>
      <c r="H19" s="2" t="str" cm="1">
        <f t="array" ref="H19">_xlfn.XLOOKUP(C19, customers!$A$1:A1018, customers!$G$1:G1018,, 0)</f>
        <v>United States</v>
      </c>
      <c r="I19" t="str" cm="1">
        <f t="array" ref="I19">_xlfn.XLOOKUP(orders!D19, products!$A$1:A66, products!$B$1:B66, 0)</f>
        <v>Ara</v>
      </c>
      <c r="J19" t="str" cm="1">
        <f t="array" ref="J19">_xlfn.XLOOKUP(D19, products!$A$1:A66, products!$C$1:C66, 0)</f>
        <v>L</v>
      </c>
      <c r="K19" s="4" cm="1">
        <f t="array" ref="K19">_xlfn.XLOOKUP(D19, products!$A$1:A66, products!$D$1:D66, 0)</f>
        <v>1</v>
      </c>
      <c r="L19" s="4" cm="1">
        <f t="array" ref="L19">_xlfn.XLOOKUP(D19, products!$A$1:A66, products!$E$1:E66)</f>
        <v>12.95</v>
      </c>
      <c r="M19">
        <f t="shared" si="0"/>
        <v>77.699999999999989</v>
      </c>
      <c r="N19" t="str">
        <f t="shared" si="1"/>
        <v>Arabica</v>
      </c>
      <c r="O19" t="str" cm="1">
        <f t="array" ref="O19">_xlfn.IFS(J19="M", "Medium", J19="L", "Light", J19="D", "Dark")</f>
        <v>Light</v>
      </c>
      <c r="P19" t="str">
        <f>_xlfn.XLOOKUP(Orders[[#This Row],[Customer ID]], customers!$A$2:$A$1001, customers!$I$2:$I$1001, 0)</f>
        <v>No</v>
      </c>
    </row>
    <row r="20" spans="1:16" x14ac:dyDescent="0.35">
      <c r="A20" s="2" t="s">
        <v>593</v>
      </c>
      <c r="B20" s="3">
        <v>43629</v>
      </c>
      <c r="C20" s="2" t="s">
        <v>594</v>
      </c>
      <c r="D20" t="s">
        <v>6149</v>
      </c>
      <c r="E20" s="2">
        <v>4</v>
      </c>
      <c r="F20" s="2" t="str" cm="1">
        <f t="array" ref="F20">_xlfn.XLOOKUP(C20, customers!$A$1:A1019, customers!$B$1:B1019, 0)</f>
        <v>Pall Redford</v>
      </c>
      <c r="G20" s="2" t="str">
        <f>IF(_xlfn.XLOOKUP(C20, customers!A19:A1019, customers!C19:C1019, 0)=0, "", _xlfn.XLOOKUP(C20, customers!A19:A1019, customers!C19:C1019, 0))</f>
        <v>predfordi@ow.ly</v>
      </c>
      <c r="H20" s="2" t="str" cm="1">
        <f t="array" ref="H20">_xlfn.XLOOKUP(C20, customers!$A$1:A1019, customers!$G$1:G1019,, 0)</f>
        <v>Ireland</v>
      </c>
      <c r="I20" t="str" cm="1">
        <f t="array" ref="I20">_xlfn.XLOOKUP(orders!D20, products!$A$1:A67, products!$B$1:B67, 0)</f>
        <v>Rob</v>
      </c>
      <c r="J20" t="str" cm="1">
        <f t="array" ref="J20">_xlfn.XLOOKUP(D20, products!$A$1:A67, products!$C$1:C67, 0)</f>
        <v>D</v>
      </c>
      <c r="K20" s="4" cm="1">
        <f t="array" ref="K20">_xlfn.XLOOKUP(D20, products!$A$1:A67, products!$D$1:D67, 0)</f>
        <v>2.5</v>
      </c>
      <c r="L20" s="4" cm="1">
        <f t="array" ref="L20">_xlfn.XLOOKUP(D20, products!$A$1:A67, products!$E$1:E67)</f>
        <v>20.584999999999997</v>
      </c>
      <c r="M20">
        <f t="shared" si="0"/>
        <v>82.339999999999989</v>
      </c>
      <c r="N20" t="str">
        <f t="shared" si="1"/>
        <v>Robusta</v>
      </c>
      <c r="O20" t="str" cm="1">
        <f t="array" ref="O20">_xlfn.IFS(J20="M", "Medium", J20="L", "Light", J20="D", "Dark")</f>
        <v>Dark</v>
      </c>
      <c r="P20" t="str">
        <f>_xlfn.XLOOKUP(Orders[[#This Row],[Customer ID]], customers!$A$2:$A$1001, customers!$I$2:$I$1001, 0)</f>
        <v>Yes</v>
      </c>
    </row>
    <row r="21" spans="1:16" x14ac:dyDescent="0.35">
      <c r="A21" s="2" t="s">
        <v>598</v>
      </c>
      <c r="B21" s="3">
        <v>44169</v>
      </c>
      <c r="C21" s="2" t="s">
        <v>599</v>
      </c>
      <c r="D21" t="s">
        <v>6152</v>
      </c>
      <c r="E21" s="2">
        <v>5</v>
      </c>
      <c r="F21" s="2" t="str" cm="1">
        <f t="array" ref="F21">_xlfn.XLOOKUP(C21, customers!$A$1:A1020, customers!$B$1:B1020, 0)</f>
        <v>Aurea Corradino</v>
      </c>
      <c r="G21" s="2" t="str">
        <f>IF(_xlfn.XLOOKUP(C21, customers!A20:A1020, customers!C20:C1020, 0)=0, "", _xlfn.XLOOKUP(C21, customers!A20:A1020, customers!C20:C1020, 0))</f>
        <v>acorradinoj@harvard.edu</v>
      </c>
      <c r="H21" s="2" t="str" cm="1">
        <f t="array" ref="H21">_xlfn.XLOOKUP(C21, customers!$A$1:A1020, customers!$G$1:G1020,, 0)</f>
        <v>United States</v>
      </c>
      <c r="I21" t="str" cm="1">
        <f t="array" ref="I21">_xlfn.XLOOKUP(orders!D21, products!$A$1:A68, products!$B$1:B68, 0)</f>
        <v>Ara</v>
      </c>
      <c r="J21" t="str" cm="1">
        <f t="array" ref="J21">_xlfn.XLOOKUP(D21, products!$A$1:A68, products!$C$1:C68, 0)</f>
        <v>M</v>
      </c>
      <c r="K21" s="4" cm="1">
        <f t="array" ref="K21">_xlfn.XLOOKUP(D21, products!$A$1:A68, products!$D$1:D68, 0)</f>
        <v>0.2</v>
      </c>
      <c r="L21" s="4" cm="1">
        <f t="array" ref="L21">_xlfn.XLOOKUP(D21, products!$A$1:A68, products!$E$1:E68)</f>
        <v>3.375</v>
      </c>
      <c r="M21">
        <f t="shared" si="0"/>
        <v>16.875</v>
      </c>
      <c r="N21" t="str">
        <f t="shared" si="1"/>
        <v>Arabica</v>
      </c>
      <c r="O21" t="str" cm="1">
        <f t="array" ref="O21">_xlfn.IFS(J21="M", "Medium", J21="L", "Light", J21="D", "Dark")</f>
        <v>Medium</v>
      </c>
      <c r="P21" t="str">
        <f>_xlfn.XLOOKUP(Orders[[#This Row],[Customer ID]], customers!$A$2:$A$1001, customers!$I$2:$I$1001, 0)</f>
        <v>Yes</v>
      </c>
    </row>
    <row r="22" spans="1:16" x14ac:dyDescent="0.35">
      <c r="A22" s="2" t="s">
        <v>598</v>
      </c>
      <c r="B22" s="3">
        <v>44169</v>
      </c>
      <c r="C22" s="2" t="s">
        <v>599</v>
      </c>
      <c r="D22" t="s">
        <v>6153</v>
      </c>
      <c r="E22" s="2">
        <v>4</v>
      </c>
      <c r="F22" s="2" t="str" cm="1">
        <f t="array" ref="F22">_xlfn.XLOOKUP(C22, customers!$A$1:A1021, customers!$B$1:B1021, 0)</f>
        <v>Aurea Corradino</v>
      </c>
      <c r="G22" s="2" t="str">
        <f>IF(_xlfn.XLOOKUP(C22, customers!A21:A1021, customers!C21:C1021, 0)=0, "", _xlfn.XLOOKUP(C22, customers!A21:A1021, customers!C21:C1021, 0))</f>
        <v>acorradinoj@harvard.edu</v>
      </c>
      <c r="H22" s="2" t="str" cm="1">
        <f t="array" ref="H22">_xlfn.XLOOKUP(C22, customers!$A$1:A1021, customers!$G$1:G1021,, 0)</f>
        <v>United States</v>
      </c>
      <c r="I22" t="str" cm="1">
        <f t="array" ref="I22">_xlfn.XLOOKUP(orders!D22, products!$A$1:A69, products!$B$1:B69, 0)</f>
        <v>Exc</v>
      </c>
      <c r="J22" t="str" cm="1">
        <f t="array" ref="J22">_xlfn.XLOOKUP(D22, products!$A$1:A69, products!$C$1:C69, 0)</f>
        <v>D</v>
      </c>
      <c r="K22" s="4" cm="1">
        <f t="array" ref="K22">_xlfn.XLOOKUP(D22, products!$A$1:A69, products!$D$1:D69, 0)</f>
        <v>0.2</v>
      </c>
      <c r="L22" s="4" cm="1">
        <f t="array" ref="L22">_xlfn.XLOOKUP(D22, products!$A$1:A69, products!$E$1:E69)</f>
        <v>3.645</v>
      </c>
      <c r="M22">
        <f t="shared" si="0"/>
        <v>14.58</v>
      </c>
      <c r="N22" t="str">
        <f t="shared" si="1"/>
        <v>Excelsa</v>
      </c>
      <c r="O22" t="str" cm="1">
        <f t="array" ref="O22">_xlfn.IFS(J22="M", "Medium", J22="L", "Light", J22="D", "Dark")</f>
        <v>Dark</v>
      </c>
      <c r="P22" t="str">
        <f>_xlfn.XLOOKUP(Orders[[#This Row],[Customer ID]], customers!$A$2:$A$1001, customers!$I$2:$I$1001, 0)</f>
        <v>Yes</v>
      </c>
    </row>
    <row r="23" spans="1:16" x14ac:dyDescent="0.35">
      <c r="A23" s="2" t="s">
        <v>608</v>
      </c>
      <c r="B23" s="3">
        <v>44169</v>
      </c>
      <c r="C23" s="2" t="s">
        <v>609</v>
      </c>
      <c r="D23" t="s">
        <v>6154</v>
      </c>
      <c r="E23" s="2">
        <v>6</v>
      </c>
      <c r="F23" s="2" t="str" cm="1">
        <f t="array" ref="F23">_xlfn.XLOOKUP(C23, customers!$A$1:A1022, customers!$B$1:B1022, 0)</f>
        <v>Avrit Davidowsky</v>
      </c>
      <c r="G23" s="2" t="str">
        <f>IF(_xlfn.XLOOKUP(C23, customers!A22:A1022, customers!C22:C1022, 0)=0, "", _xlfn.XLOOKUP(C23, customers!A22:A1022, customers!C22:C1022, 0))</f>
        <v>adavidowskyl@netvibes.com</v>
      </c>
      <c r="H23" s="2" t="str" cm="1">
        <f t="array" ref="H23">_xlfn.XLOOKUP(C23, customers!$A$1:A1022, customers!$G$1:G1022,, 0)</f>
        <v>United States</v>
      </c>
      <c r="I23" t="str" cm="1">
        <f t="array" ref="I23">_xlfn.XLOOKUP(orders!D23, products!$A$1:A70, products!$B$1:B70, 0)</f>
        <v>Ara</v>
      </c>
      <c r="J23" t="str" cm="1">
        <f t="array" ref="J23">_xlfn.XLOOKUP(D23, products!$A$1:A70, products!$C$1:C70, 0)</f>
        <v>D</v>
      </c>
      <c r="K23" s="4" cm="1">
        <f t="array" ref="K23">_xlfn.XLOOKUP(D23, products!$A$1:A70, products!$D$1:D70, 0)</f>
        <v>0.2</v>
      </c>
      <c r="L23" s="4" cm="1">
        <f t="array" ref="L23">_xlfn.XLOOKUP(D23, products!$A$1:A70, products!$E$1:E70)</f>
        <v>2.9849999999999999</v>
      </c>
      <c r="M23">
        <f t="shared" si="0"/>
        <v>17.91</v>
      </c>
      <c r="N23" t="str">
        <f t="shared" si="1"/>
        <v>Arabica</v>
      </c>
      <c r="O23" t="str" cm="1">
        <f t="array" ref="O23">_xlfn.IFS(J23="M", "Medium", J23="L", "Light", J23="D", "Dark")</f>
        <v>Dark</v>
      </c>
      <c r="P23" t="str">
        <f>_xlfn.XLOOKUP(Orders[[#This Row],[Customer ID]], customers!$A$2:$A$1001, customers!$I$2:$I$1001, 0)</f>
        <v>No</v>
      </c>
    </row>
    <row r="24" spans="1:16" x14ac:dyDescent="0.35">
      <c r="A24" s="2" t="s">
        <v>614</v>
      </c>
      <c r="B24" s="3">
        <v>44218</v>
      </c>
      <c r="C24" s="2" t="s">
        <v>615</v>
      </c>
      <c r="D24" t="s">
        <v>6151</v>
      </c>
      <c r="E24" s="2">
        <v>4</v>
      </c>
      <c r="F24" s="2" t="str" cm="1">
        <f t="array" ref="F24">_xlfn.XLOOKUP(C24, customers!$A$1:A1023, customers!$B$1:B1023, 0)</f>
        <v>Annabel Antuk</v>
      </c>
      <c r="G24" s="2" t="str">
        <f>IF(_xlfn.XLOOKUP(C24, customers!A23:A1023, customers!C23:C1023, 0)=0, "", _xlfn.XLOOKUP(C24, customers!A23:A1023, customers!C23:C1023, 0))</f>
        <v>aantukm@kickstarter.com</v>
      </c>
      <c r="H24" s="2" t="str" cm="1">
        <f t="array" ref="H24">_xlfn.XLOOKUP(C24, customers!$A$1:A1023, customers!$G$1:G1023,, 0)</f>
        <v>United States</v>
      </c>
      <c r="I24" t="str" cm="1">
        <f t="array" ref="I24">_xlfn.XLOOKUP(orders!D24, products!$A$1:A71, products!$B$1:B71, 0)</f>
        <v>Rob</v>
      </c>
      <c r="J24" t="str" cm="1">
        <f t="array" ref="J24">_xlfn.XLOOKUP(D24, products!$A$1:A71, products!$C$1:C71, 0)</f>
        <v>M</v>
      </c>
      <c r="K24" s="4" cm="1">
        <f t="array" ref="K24">_xlfn.XLOOKUP(D24, products!$A$1:A71, products!$D$1:D71, 0)</f>
        <v>2.5</v>
      </c>
      <c r="L24" s="4" cm="1">
        <f t="array" ref="L24">_xlfn.XLOOKUP(D24, products!$A$1:A71, products!$E$1:E71)</f>
        <v>22.884999999999998</v>
      </c>
      <c r="M24">
        <f t="shared" si="0"/>
        <v>91.539999999999992</v>
      </c>
      <c r="N24" t="str">
        <f t="shared" si="1"/>
        <v>Robusta</v>
      </c>
      <c r="O24" t="str" cm="1">
        <f t="array" ref="O24">_xlfn.IFS(J24="M", "Medium", J24="L", "Light", J24="D", "Dark")</f>
        <v>Medium</v>
      </c>
      <c r="P24" t="str">
        <f>_xlfn.XLOOKUP(Orders[[#This Row],[Customer ID]], customers!$A$2:$A$1001, customers!$I$2:$I$1001, 0)</f>
        <v>Yes</v>
      </c>
    </row>
    <row r="25" spans="1:16" x14ac:dyDescent="0.35">
      <c r="A25" s="2" t="s">
        <v>620</v>
      </c>
      <c r="B25" s="3">
        <v>44603</v>
      </c>
      <c r="C25" s="2" t="s">
        <v>621</v>
      </c>
      <c r="D25" t="s">
        <v>6154</v>
      </c>
      <c r="E25" s="2">
        <v>4</v>
      </c>
      <c r="F25" s="2" t="str" cm="1">
        <f t="array" ref="F25">_xlfn.XLOOKUP(C25, customers!$A$1:A1024, customers!$B$1:B1024, 0)</f>
        <v>Iorgo Kleinert</v>
      </c>
      <c r="G25" s="2" t="str">
        <f>IF(_xlfn.XLOOKUP(C25, customers!A24:A1024, customers!C24:C1024, 0)=0, "", _xlfn.XLOOKUP(C25, customers!A24:A1024, customers!C24:C1024, 0))</f>
        <v>ikleinertn@timesonline.co.uk</v>
      </c>
      <c r="H25" s="2" t="str" cm="1">
        <f t="array" ref="H25">_xlfn.XLOOKUP(C25, customers!$A$1:A1024, customers!$G$1:G1024,, 0)</f>
        <v>United States</v>
      </c>
      <c r="I25" t="str" cm="1">
        <f t="array" ref="I25">_xlfn.XLOOKUP(orders!D25, products!$A$1:A72, products!$B$1:B72, 0)</f>
        <v>Ara</v>
      </c>
      <c r="J25" t="str" cm="1">
        <f t="array" ref="J25">_xlfn.XLOOKUP(D25, products!$A$1:A72, products!$C$1:C72, 0)</f>
        <v>D</v>
      </c>
      <c r="K25" s="4" cm="1">
        <f t="array" ref="K25">_xlfn.XLOOKUP(D25, products!$A$1:A72, products!$D$1:D72, 0)</f>
        <v>0.2</v>
      </c>
      <c r="L25" s="4" cm="1">
        <f t="array" ref="L25">_xlfn.XLOOKUP(D25, products!$A$1:A72, products!$E$1:E72)</f>
        <v>2.9849999999999999</v>
      </c>
      <c r="M25">
        <f t="shared" si="0"/>
        <v>11.94</v>
      </c>
      <c r="N25" t="str">
        <f t="shared" si="1"/>
        <v>Arabica</v>
      </c>
      <c r="O25" t="str" cm="1">
        <f t="array" ref="O25">_xlfn.IFS(J25="M", "Medium", J25="L", "Light", J25="D", "Dark")</f>
        <v>Dark</v>
      </c>
      <c r="P25" t="str">
        <f>_xlfn.XLOOKUP(Orders[[#This Row],[Customer ID]], customers!$A$2:$A$1001, customers!$I$2:$I$1001, 0)</f>
        <v>Yes</v>
      </c>
    </row>
    <row r="26" spans="1:16" x14ac:dyDescent="0.35">
      <c r="A26" s="2" t="s">
        <v>626</v>
      </c>
      <c r="B26" s="3">
        <v>44454</v>
      </c>
      <c r="C26" s="2" t="s">
        <v>627</v>
      </c>
      <c r="D26" t="s">
        <v>6155</v>
      </c>
      <c r="E26" s="2">
        <v>1</v>
      </c>
      <c r="F26" s="2" t="str" cm="1">
        <f t="array" ref="F26">_xlfn.XLOOKUP(C26, customers!$A$1:A1025, customers!$B$1:B1025, 0)</f>
        <v>Chrisy Blofeld</v>
      </c>
      <c r="G26" s="2" t="str">
        <f>IF(_xlfn.XLOOKUP(C26, customers!A25:A1025, customers!C25:C1025, 0)=0, "", _xlfn.XLOOKUP(C26, customers!A25:A1025, customers!C25:C1025, 0))</f>
        <v>cblofeldo@amazon.co.uk</v>
      </c>
      <c r="H26" s="2" t="str" cm="1">
        <f t="array" ref="H26">_xlfn.XLOOKUP(C26, customers!$A$1:A1025, customers!$G$1:G1025,, 0)</f>
        <v>United States</v>
      </c>
      <c r="I26" t="str" cm="1">
        <f t="array" ref="I26">_xlfn.XLOOKUP(orders!D26, products!$A$1:A73, products!$B$1:B73, 0)</f>
        <v>Ara</v>
      </c>
      <c r="J26" t="str" cm="1">
        <f t="array" ref="J26">_xlfn.XLOOKUP(D26, products!$A$1:A73, products!$C$1:C73, 0)</f>
        <v>M</v>
      </c>
      <c r="K26" s="4" cm="1">
        <f t="array" ref="K26">_xlfn.XLOOKUP(D26, products!$A$1:A73, products!$D$1:D73, 0)</f>
        <v>1</v>
      </c>
      <c r="L26" s="4" cm="1">
        <f t="array" ref="L26">_xlfn.XLOOKUP(D26, products!$A$1:A73, products!$E$1:E73)</f>
        <v>11.25</v>
      </c>
      <c r="M26">
        <f t="shared" si="0"/>
        <v>11.25</v>
      </c>
      <c r="N26" t="str">
        <f t="shared" si="1"/>
        <v>Arabica</v>
      </c>
      <c r="O26" t="str" cm="1">
        <f t="array" ref="O26">_xlfn.IFS(J26="M", "Medium", J26="L", "Light", J26="D", "Dark")</f>
        <v>Medium</v>
      </c>
      <c r="P26" t="str">
        <f>_xlfn.XLOOKUP(Orders[[#This Row],[Customer ID]], customers!$A$2:$A$1001, customers!$I$2:$I$1001, 0)</f>
        <v>No</v>
      </c>
    </row>
    <row r="27" spans="1:16" x14ac:dyDescent="0.35">
      <c r="A27" s="2" t="s">
        <v>632</v>
      </c>
      <c r="B27" s="3">
        <v>44128</v>
      </c>
      <c r="C27" s="2" t="s">
        <v>633</v>
      </c>
      <c r="D27" t="s">
        <v>6156</v>
      </c>
      <c r="E27" s="2">
        <v>3</v>
      </c>
      <c r="F27" s="2" t="str" cm="1">
        <f t="array" ref="F27">_xlfn.XLOOKUP(C27, customers!$A$1:A1026, customers!$B$1:B1026, 0)</f>
        <v>Culley Farris</v>
      </c>
      <c r="G27" s="2" t="str">
        <f>IF(_xlfn.XLOOKUP(C27, customers!A26:A1026, customers!C26:C1026, 0)=0, "", _xlfn.XLOOKUP(C27, customers!A26:A1026, customers!C26:C1026, 0))</f>
        <v/>
      </c>
      <c r="H27" s="2" t="str" cm="1">
        <f t="array" ref="H27">_xlfn.XLOOKUP(C27, customers!$A$1:A1026, customers!$G$1:G1026,, 0)</f>
        <v>United States</v>
      </c>
      <c r="I27" t="str" cm="1">
        <f t="array" ref="I27">_xlfn.XLOOKUP(orders!D27, products!$A$1:A74, products!$B$1:B74, 0)</f>
        <v>Exc</v>
      </c>
      <c r="J27" t="str" cm="1">
        <f t="array" ref="J27">_xlfn.XLOOKUP(D27, products!$A$1:A74, products!$C$1:C74, 0)</f>
        <v>M</v>
      </c>
      <c r="K27" s="4" cm="1">
        <f t="array" ref="K27">_xlfn.XLOOKUP(D27, products!$A$1:A74, products!$D$1:D74, 0)</f>
        <v>0.2</v>
      </c>
      <c r="L27" s="4" cm="1">
        <f t="array" ref="L27">_xlfn.XLOOKUP(D27, products!$A$1:A74, products!$E$1:E74)</f>
        <v>4.125</v>
      </c>
      <c r="M27">
        <f t="shared" si="0"/>
        <v>12.375</v>
      </c>
      <c r="N27" t="str">
        <f t="shared" si="1"/>
        <v>Excelsa</v>
      </c>
      <c r="O27" t="str" cm="1">
        <f t="array" ref="O27">_xlfn.IFS(J27="M", "Medium", J27="L", "Light", J27="D", "Dark")</f>
        <v>Medium</v>
      </c>
      <c r="P27" t="str">
        <f>_xlfn.XLOOKUP(Orders[[#This Row],[Customer ID]], customers!$A$2:$A$1001, customers!$I$2:$I$1001, 0)</f>
        <v>Yes</v>
      </c>
    </row>
    <row r="28" spans="1:16" x14ac:dyDescent="0.35">
      <c r="A28" s="2" t="s">
        <v>637</v>
      </c>
      <c r="B28" s="3">
        <v>43516</v>
      </c>
      <c r="C28" s="2" t="s">
        <v>638</v>
      </c>
      <c r="D28" t="s">
        <v>6157</v>
      </c>
      <c r="E28" s="2">
        <v>4</v>
      </c>
      <c r="F28" s="2" t="str" cm="1">
        <f t="array" ref="F28">_xlfn.XLOOKUP(C28, customers!$A$1:A1027, customers!$B$1:B1027, 0)</f>
        <v>Selene Shales</v>
      </c>
      <c r="G28" s="2" t="str">
        <f>IF(_xlfn.XLOOKUP(C28, customers!A27:A1027, customers!C27:C1027, 0)=0, "", _xlfn.XLOOKUP(C28, customers!A27:A1027, customers!C27:C1027, 0))</f>
        <v>sshalesq@umich.edu</v>
      </c>
      <c r="H28" s="2" t="str" cm="1">
        <f t="array" ref="H28">_xlfn.XLOOKUP(C28, customers!$A$1:A1027, customers!$G$1:G1027,, 0)</f>
        <v>United States</v>
      </c>
      <c r="I28" t="str" cm="1">
        <f t="array" ref="I28">_xlfn.XLOOKUP(orders!D28, products!$A$1:A75, products!$B$1:B75, 0)</f>
        <v>Ara</v>
      </c>
      <c r="J28" t="str" cm="1">
        <f t="array" ref="J28">_xlfn.XLOOKUP(D28, products!$A$1:A75, products!$C$1:C75, 0)</f>
        <v>M</v>
      </c>
      <c r="K28" s="4" cm="1">
        <f t="array" ref="K28">_xlfn.XLOOKUP(D28, products!$A$1:A75, products!$D$1:D75, 0)</f>
        <v>0.5</v>
      </c>
      <c r="L28" s="4" cm="1">
        <f t="array" ref="L28">_xlfn.XLOOKUP(D28, products!$A$1:A75, products!$E$1:E75)</f>
        <v>6.75</v>
      </c>
      <c r="M28">
        <f t="shared" si="0"/>
        <v>27</v>
      </c>
      <c r="N28" t="str">
        <f t="shared" si="1"/>
        <v>Arabica</v>
      </c>
      <c r="O28" t="str" cm="1">
        <f t="array" ref="O28">_xlfn.IFS(J28="M", "Medium", J28="L", "Light", J28="D", "Dark")</f>
        <v>Medium</v>
      </c>
      <c r="P28" t="str">
        <f>_xlfn.XLOOKUP(Orders[[#This Row],[Customer ID]], customers!$A$2:$A$1001, customers!$I$2:$I$1001, 0)</f>
        <v>Yes</v>
      </c>
    </row>
    <row r="29" spans="1:16" x14ac:dyDescent="0.35">
      <c r="A29" s="2" t="s">
        <v>643</v>
      </c>
      <c r="B29" s="3">
        <v>43746</v>
      </c>
      <c r="C29" s="2" t="s">
        <v>644</v>
      </c>
      <c r="D29" t="s">
        <v>6152</v>
      </c>
      <c r="E29" s="2">
        <v>5</v>
      </c>
      <c r="F29" s="2" t="str" cm="1">
        <f t="array" ref="F29">_xlfn.XLOOKUP(C29, customers!$A$1:A1028, customers!$B$1:B1028, 0)</f>
        <v>Vivie Danneil</v>
      </c>
      <c r="G29" s="2" t="str">
        <f>IF(_xlfn.XLOOKUP(C29, customers!A28:A1028, customers!C28:C1028, 0)=0, "", _xlfn.XLOOKUP(C29, customers!A28:A1028, customers!C28:C1028, 0))</f>
        <v>vdanneilr@mtv.com</v>
      </c>
      <c r="H29" s="2" t="str" cm="1">
        <f t="array" ref="H29">_xlfn.XLOOKUP(C29, customers!$A$1:A1028, customers!$G$1:G1028,, 0)</f>
        <v>Ireland</v>
      </c>
      <c r="I29" t="str" cm="1">
        <f t="array" ref="I29">_xlfn.XLOOKUP(orders!D29, products!$A$1:A76, products!$B$1:B76, 0)</f>
        <v>Ara</v>
      </c>
      <c r="J29" t="str" cm="1">
        <f t="array" ref="J29">_xlfn.XLOOKUP(D29, products!$A$1:A76, products!$C$1:C76, 0)</f>
        <v>M</v>
      </c>
      <c r="K29" s="4" cm="1">
        <f t="array" ref="K29">_xlfn.XLOOKUP(D29, products!$A$1:A76, products!$D$1:D76, 0)</f>
        <v>0.2</v>
      </c>
      <c r="L29" s="4" cm="1">
        <f t="array" ref="L29">_xlfn.XLOOKUP(D29, products!$A$1:A76, products!$E$1:E76)</f>
        <v>3.375</v>
      </c>
      <c r="M29">
        <f t="shared" si="0"/>
        <v>16.875</v>
      </c>
      <c r="N29" t="str">
        <f t="shared" si="1"/>
        <v>Arabica</v>
      </c>
      <c r="O29" t="str" cm="1">
        <f t="array" ref="O29">_xlfn.IFS(J29="M", "Medium", J29="L", "Light", J29="D", "Dark")</f>
        <v>Medium</v>
      </c>
      <c r="P29" t="str">
        <f>_xlfn.XLOOKUP(Orders[[#This Row],[Customer ID]], customers!$A$2:$A$1001, customers!$I$2:$I$1001, 0)</f>
        <v>No</v>
      </c>
    </row>
    <row r="30" spans="1:16" x14ac:dyDescent="0.35">
      <c r="A30" s="2" t="s">
        <v>649</v>
      </c>
      <c r="B30" s="3">
        <v>44775</v>
      </c>
      <c r="C30" s="2" t="s">
        <v>650</v>
      </c>
      <c r="D30" t="s">
        <v>6158</v>
      </c>
      <c r="E30" s="2">
        <v>3</v>
      </c>
      <c r="F30" s="2" t="str" cm="1">
        <f t="array" ref="F30">_xlfn.XLOOKUP(C30, customers!$A$1:A1029, customers!$B$1:B1029, 0)</f>
        <v>Theresita Newbury</v>
      </c>
      <c r="G30" s="2" t="str">
        <f>IF(_xlfn.XLOOKUP(C30, customers!A29:A1029, customers!C29:C1029, 0)=0, "", _xlfn.XLOOKUP(C30, customers!A29:A1029, customers!C29:C1029, 0))</f>
        <v>tnewburys@usda.gov</v>
      </c>
      <c r="H30" s="2" t="str" cm="1">
        <f t="array" ref="H30">_xlfn.XLOOKUP(C30, customers!$A$1:A1029, customers!$G$1:G1029,, 0)</f>
        <v>Ireland</v>
      </c>
      <c r="I30" t="str" cm="1">
        <f t="array" ref="I30">_xlfn.XLOOKUP(orders!D30, products!$A$1:A77, products!$B$1:B77, 0)</f>
        <v>Ara</v>
      </c>
      <c r="J30" t="str" cm="1">
        <f t="array" ref="J30">_xlfn.XLOOKUP(D30, products!$A$1:A77, products!$C$1:C77, 0)</f>
        <v>D</v>
      </c>
      <c r="K30" s="4" cm="1">
        <f t="array" ref="K30">_xlfn.XLOOKUP(D30, products!$A$1:A77, products!$D$1:D77, 0)</f>
        <v>0.5</v>
      </c>
      <c r="L30" s="4" cm="1">
        <f t="array" ref="L30">_xlfn.XLOOKUP(D30, products!$A$1:A77, products!$E$1:E77)</f>
        <v>5.97</v>
      </c>
      <c r="M30">
        <f t="shared" si="0"/>
        <v>17.91</v>
      </c>
      <c r="N30" t="str">
        <f t="shared" si="1"/>
        <v>Arabica</v>
      </c>
      <c r="O30" t="str" cm="1">
        <f t="array" ref="O30">_xlfn.IFS(J30="M", "Medium", J30="L", "Light", J30="D", "Dark")</f>
        <v>Dark</v>
      </c>
      <c r="P30" t="str">
        <f>_xlfn.XLOOKUP(Orders[[#This Row],[Customer ID]], customers!$A$2:$A$1001, customers!$I$2:$I$1001, 0)</f>
        <v>No</v>
      </c>
    </row>
    <row r="31" spans="1:16" x14ac:dyDescent="0.35">
      <c r="A31" s="2" t="s">
        <v>655</v>
      </c>
      <c r="B31" s="3">
        <v>43516</v>
      </c>
      <c r="C31" s="2" t="s">
        <v>656</v>
      </c>
      <c r="D31" t="s">
        <v>6147</v>
      </c>
      <c r="E31" s="2">
        <v>4</v>
      </c>
      <c r="F31" s="2" t="str" cm="1">
        <f t="array" ref="F31">_xlfn.XLOOKUP(C31, customers!$A$1:A1030, customers!$B$1:B1030, 0)</f>
        <v>Mozelle Calcutt</v>
      </c>
      <c r="G31" s="2" t="str">
        <f>IF(_xlfn.XLOOKUP(C31, customers!A30:A1030, customers!C30:C1030, 0)=0, "", _xlfn.XLOOKUP(C31, customers!A30:A1030, customers!C30:C1030, 0))</f>
        <v>mcalcuttt@baidu.com</v>
      </c>
      <c r="H31" s="2" t="str" cm="1">
        <f t="array" ref="H31">_xlfn.XLOOKUP(C31, customers!$A$1:A1030, customers!$G$1:G1030,, 0)</f>
        <v>Ireland</v>
      </c>
      <c r="I31" t="str" cm="1">
        <f t="array" ref="I31">_xlfn.XLOOKUP(orders!D31, products!$A$1:A78, products!$B$1:B78, 0)</f>
        <v>Ara</v>
      </c>
      <c r="J31" t="str" cm="1">
        <f t="array" ref="J31">_xlfn.XLOOKUP(D31, products!$A$1:A78, products!$C$1:C78, 0)</f>
        <v>D</v>
      </c>
      <c r="K31" s="4" cm="1">
        <f t="array" ref="K31">_xlfn.XLOOKUP(D31, products!$A$1:A78, products!$D$1:D78, 0)</f>
        <v>1</v>
      </c>
      <c r="L31" s="4" cm="1">
        <f t="array" ref="L31">_xlfn.XLOOKUP(D31, products!$A$1:A78, products!$E$1:E78)</f>
        <v>9.9499999999999993</v>
      </c>
      <c r="M31">
        <f t="shared" si="0"/>
        <v>39.799999999999997</v>
      </c>
      <c r="N31" t="str">
        <f t="shared" si="1"/>
        <v>Arabica</v>
      </c>
      <c r="O31" t="str" cm="1">
        <f t="array" ref="O31">_xlfn.IFS(J31="M", "Medium", J31="L", "Light", J31="D", "Dark")</f>
        <v>Dark</v>
      </c>
      <c r="P31" t="str">
        <f>_xlfn.XLOOKUP(Orders[[#This Row],[Customer ID]], customers!$A$2:$A$1001, customers!$I$2:$I$1001, 0)</f>
        <v>Yes</v>
      </c>
    </row>
    <row r="32" spans="1:16" x14ac:dyDescent="0.35">
      <c r="A32" s="2" t="s">
        <v>661</v>
      </c>
      <c r="B32" s="3">
        <v>44464</v>
      </c>
      <c r="C32" s="2" t="s">
        <v>662</v>
      </c>
      <c r="D32" t="s">
        <v>6159</v>
      </c>
      <c r="E32" s="2">
        <v>5</v>
      </c>
      <c r="F32" s="2" t="str" cm="1">
        <f t="array" ref="F32">_xlfn.XLOOKUP(C32, customers!$A$1:A1031, customers!$B$1:B1031, 0)</f>
        <v>Adrian Swaine</v>
      </c>
      <c r="G32" s="2" t="str">
        <f>IF(_xlfn.XLOOKUP(C32, customers!A31:A1031, customers!C31:C1031, 0)=0, "", _xlfn.XLOOKUP(C32, customers!A31:A1031, customers!C31:C1031, 0))</f>
        <v/>
      </c>
      <c r="H32" s="2" t="str" cm="1">
        <f t="array" ref="H32">_xlfn.XLOOKUP(C32, customers!$A$1:A1031, customers!$G$1:G1031,, 0)</f>
        <v>United States</v>
      </c>
      <c r="I32" t="str" cm="1">
        <f t="array" ref="I32">_xlfn.XLOOKUP(orders!D32, products!$A$1:A79, products!$B$1:B79, 0)</f>
        <v>Lib</v>
      </c>
      <c r="J32" t="str" cm="1">
        <f t="array" ref="J32">_xlfn.XLOOKUP(D32, products!$A$1:A79, products!$C$1:C79, 0)</f>
        <v>M</v>
      </c>
      <c r="K32" s="4" cm="1">
        <f t="array" ref="K32">_xlfn.XLOOKUP(D32, products!$A$1:A79, products!$D$1:D79, 0)</f>
        <v>0.2</v>
      </c>
      <c r="L32" s="4" cm="1">
        <f t="array" ref="L32">_xlfn.XLOOKUP(D32, products!$A$1:A79, products!$E$1:E79)</f>
        <v>4.3650000000000002</v>
      </c>
      <c r="M32">
        <f t="shared" si="0"/>
        <v>21.825000000000003</v>
      </c>
      <c r="N32" t="str">
        <f t="shared" si="1"/>
        <v>Liberica</v>
      </c>
      <c r="O32" t="str" cm="1">
        <f t="array" ref="O32">_xlfn.IFS(J32="M", "Medium", J32="L", "Light", J32="D", "Dark")</f>
        <v>Medium</v>
      </c>
      <c r="P32" t="str">
        <f>_xlfn.XLOOKUP(Orders[[#This Row],[Customer ID]], customers!$A$2:$A$1001, customers!$I$2:$I$1001, 0)</f>
        <v>No</v>
      </c>
    </row>
    <row r="33" spans="1:16" x14ac:dyDescent="0.35">
      <c r="A33" s="2" t="s">
        <v>661</v>
      </c>
      <c r="B33" s="3">
        <v>44464</v>
      </c>
      <c r="C33" s="2" t="s">
        <v>662</v>
      </c>
      <c r="D33" t="s">
        <v>6158</v>
      </c>
      <c r="E33" s="2">
        <v>6</v>
      </c>
      <c r="F33" s="2" t="str" cm="1">
        <f t="array" ref="F33">_xlfn.XLOOKUP(C33, customers!$A$1:A1032, customers!$B$1:B1032, 0)</f>
        <v>Adrian Swaine</v>
      </c>
      <c r="G33" s="2" t="str">
        <f>IF(_xlfn.XLOOKUP(C33, customers!A32:A1032, customers!C32:C1032, 0)=0, "", _xlfn.XLOOKUP(C33, customers!A32:A1032, customers!C32:C1032, 0))</f>
        <v/>
      </c>
      <c r="H33" s="2" t="str" cm="1">
        <f t="array" ref="H33">_xlfn.XLOOKUP(C33, customers!$A$1:A1032, customers!$G$1:G1032,, 0)</f>
        <v>United States</v>
      </c>
      <c r="I33" t="str" cm="1">
        <f t="array" ref="I33">_xlfn.XLOOKUP(orders!D33, products!$A$1:A80, products!$B$1:B80, 0)</f>
        <v>Ara</v>
      </c>
      <c r="J33" t="str" cm="1">
        <f t="array" ref="J33">_xlfn.XLOOKUP(D33, products!$A$1:A80, products!$C$1:C80, 0)</f>
        <v>D</v>
      </c>
      <c r="K33" s="4" cm="1">
        <f t="array" ref="K33">_xlfn.XLOOKUP(D33, products!$A$1:A80, products!$D$1:D80, 0)</f>
        <v>0.5</v>
      </c>
      <c r="L33" s="4" cm="1">
        <f t="array" ref="L33">_xlfn.XLOOKUP(D33, products!$A$1:A80, products!$E$1:E80)</f>
        <v>5.97</v>
      </c>
      <c r="M33">
        <f t="shared" si="0"/>
        <v>35.82</v>
      </c>
      <c r="N33" t="str">
        <f t="shared" si="1"/>
        <v>Arabica</v>
      </c>
      <c r="O33" t="str" cm="1">
        <f t="array" ref="O33">_xlfn.IFS(J33="M", "Medium", J33="L", "Light", J33="D", "Dark")</f>
        <v>Dark</v>
      </c>
      <c r="P33" t="str">
        <f>_xlfn.XLOOKUP(Orders[[#This Row],[Customer ID]], customers!$A$2:$A$1001, customers!$I$2:$I$1001, 0)</f>
        <v>No</v>
      </c>
    </row>
    <row r="34" spans="1:16" x14ac:dyDescent="0.35">
      <c r="A34" s="2" t="s">
        <v>661</v>
      </c>
      <c r="B34" s="3">
        <v>44464</v>
      </c>
      <c r="C34" s="2" t="s">
        <v>662</v>
      </c>
      <c r="D34" t="s">
        <v>6160</v>
      </c>
      <c r="E34" s="2">
        <v>6</v>
      </c>
      <c r="F34" s="2" t="str" cm="1">
        <f t="array" ref="F34">_xlfn.XLOOKUP(C34, customers!$A$1:A1033, customers!$B$1:B1033, 0)</f>
        <v>Adrian Swaine</v>
      </c>
      <c r="G34" s="2" t="str">
        <f>IF(_xlfn.XLOOKUP(C34, customers!A33:A1033, customers!C33:C1033, 0)=0, "", _xlfn.XLOOKUP(C34, customers!A33:A1033, customers!C33:C1033, 0))</f>
        <v/>
      </c>
      <c r="H34" s="2" t="str" cm="1">
        <f t="array" ref="H34">_xlfn.XLOOKUP(C34, customers!$A$1:A1033, customers!$G$1:G1033,, 0)</f>
        <v>United States</v>
      </c>
      <c r="I34" t="str" cm="1">
        <f t="array" ref="I34">_xlfn.XLOOKUP(orders!D34, products!$A$1:A81, products!$B$1:B81, 0)</f>
        <v>Lib</v>
      </c>
      <c r="J34" t="str" cm="1">
        <f t="array" ref="J34">_xlfn.XLOOKUP(D34, products!$A$1:A81, products!$C$1:C81, 0)</f>
        <v>M</v>
      </c>
      <c r="K34" s="4" cm="1">
        <f t="array" ref="K34">_xlfn.XLOOKUP(D34, products!$A$1:A81, products!$D$1:D81, 0)</f>
        <v>0.5</v>
      </c>
      <c r="L34" s="4" cm="1">
        <f t="array" ref="L34">_xlfn.XLOOKUP(D34, products!$A$1:A81, products!$E$1:E81)</f>
        <v>8.73</v>
      </c>
      <c r="M34">
        <f t="shared" si="0"/>
        <v>52.38</v>
      </c>
      <c r="N34" t="str">
        <f t="shared" si="1"/>
        <v>Liberica</v>
      </c>
      <c r="O34" t="str" cm="1">
        <f t="array" ref="O34">_xlfn.IFS(J34="M", "Medium", J34="L", "Light", J34="D", "Dark")</f>
        <v>Medium</v>
      </c>
      <c r="P34" t="str">
        <f>_xlfn.XLOOKUP(Orders[[#This Row],[Customer ID]], customers!$A$2:$A$1001, customers!$I$2:$I$1001, 0)</f>
        <v>No</v>
      </c>
    </row>
    <row r="35" spans="1:16" x14ac:dyDescent="0.35">
      <c r="A35" s="2" t="s">
        <v>676</v>
      </c>
      <c r="B35" s="3">
        <v>44394</v>
      </c>
      <c r="C35" s="2" t="s">
        <v>677</v>
      </c>
      <c r="D35" t="s">
        <v>6145</v>
      </c>
      <c r="E35" s="2">
        <v>5</v>
      </c>
      <c r="F35" s="2" t="str" cm="1">
        <f t="array" ref="F35">_xlfn.XLOOKUP(C35, customers!$A$1:A1034, customers!$B$1:B1034, 0)</f>
        <v>Gallard Gatheral</v>
      </c>
      <c r="G35" s="2" t="str">
        <f>IF(_xlfn.XLOOKUP(C35, customers!A34:A1034, customers!C34:C1034, 0)=0, "", _xlfn.XLOOKUP(C35, customers!A34:A1034, customers!C34:C1034, 0))</f>
        <v>ggatheralx@123-reg.co.uk</v>
      </c>
      <c r="H35" s="2" t="str" cm="1">
        <f t="array" ref="H35">_xlfn.XLOOKUP(C35, customers!$A$1:A1034, customers!$G$1:G1034,, 0)</f>
        <v>United States</v>
      </c>
      <c r="I35" t="str" cm="1">
        <f t="array" ref="I35">_xlfn.XLOOKUP(orders!D35, products!$A$1:A82, products!$B$1:B82, 0)</f>
        <v>Lib</v>
      </c>
      <c r="J35" t="str" cm="1">
        <f t="array" ref="J35">_xlfn.XLOOKUP(D35, products!$A$1:A82, products!$C$1:C82, 0)</f>
        <v>L</v>
      </c>
      <c r="K35" s="4" cm="1">
        <f t="array" ref="K35">_xlfn.XLOOKUP(D35, products!$A$1:A82, products!$D$1:D82, 0)</f>
        <v>0.2</v>
      </c>
      <c r="L35" s="4" cm="1">
        <f t="array" ref="L35">_xlfn.XLOOKUP(D35, products!$A$1:A82, products!$E$1:E82)</f>
        <v>4.7549999999999999</v>
      </c>
      <c r="M35">
        <f t="shared" si="0"/>
        <v>23.774999999999999</v>
      </c>
      <c r="N35" t="str">
        <f t="shared" si="1"/>
        <v>Liberica</v>
      </c>
      <c r="O35" t="str" cm="1">
        <f t="array" ref="O35">_xlfn.IFS(J35="M", "Medium", J35="L", "Light", J35="D", "Dark")</f>
        <v>Light</v>
      </c>
      <c r="P35" t="str">
        <f>_xlfn.XLOOKUP(Orders[[#This Row],[Customer ID]], customers!$A$2:$A$1001, customers!$I$2:$I$1001, 0)</f>
        <v>No</v>
      </c>
    </row>
    <row r="36" spans="1:16" x14ac:dyDescent="0.35">
      <c r="A36" s="2" t="s">
        <v>681</v>
      </c>
      <c r="B36" s="3">
        <v>44011</v>
      </c>
      <c r="C36" s="2" t="s">
        <v>682</v>
      </c>
      <c r="D36" t="s">
        <v>6161</v>
      </c>
      <c r="E36" s="2">
        <v>6</v>
      </c>
      <c r="F36" s="2" t="str" cm="1">
        <f t="array" ref="F36">_xlfn.XLOOKUP(C36, customers!$A$1:A1035, customers!$B$1:B1035, 0)</f>
        <v>Una Welberry</v>
      </c>
      <c r="G36" s="2" t="str">
        <f>IF(_xlfn.XLOOKUP(C36, customers!A35:A1035, customers!C35:C1035, 0)=0, "", _xlfn.XLOOKUP(C36, customers!A35:A1035, customers!C35:C1035, 0))</f>
        <v>uwelberryy@ebay.co.uk</v>
      </c>
      <c r="H36" s="2" t="str" cm="1">
        <f t="array" ref="H36">_xlfn.XLOOKUP(C36, customers!$A$1:A1035, customers!$G$1:G1035,, 0)</f>
        <v>United Kingdom</v>
      </c>
      <c r="I36" t="str" cm="1">
        <f t="array" ref="I36">_xlfn.XLOOKUP(orders!D36, products!$A$1:A83, products!$B$1:B83, 0)</f>
        <v>Lib</v>
      </c>
      <c r="J36" t="str" cm="1">
        <f t="array" ref="J36">_xlfn.XLOOKUP(D36, products!$A$1:A83, products!$C$1:C83, 0)</f>
        <v>L</v>
      </c>
      <c r="K36" s="4" cm="1">
        <f t="array" ref="K36">_xlfn.XLOOKUP(D36, products!$A$1:A83, products!$D$1:D83, 0)</f>
        <v>0.5</v>
      </c>
      <c r="L36" s="4" cm="1">
        <f t="array" ref="L36">_xlfn.XLOOKUP(D36, products!$A$1:A83, products!$E$1:E83)</f>
        <v>9.51</v>
      </c>
      <c r="M36">
        <f t="shared" si="0"/>
        <v>57.06</v>
      </c>
      <c r="N36" t="str">
        <f t="shared" si="1"/>
        <v>Liberica</v>
      </c>
      <c r="O36" t="str" cm="1">
        <f t="array" ref="O36">_xlfn.IFS(J36="M", "Medium", J36="L", "Light", J36="D", "Dark")</f>
        <v>Light</v>
      </c>
      <c r="P36" t="str">
        <f>_xlfn.XLOOKUP(Orders[[#This Row],[Customer ID]], customers!$A$2:$A$1001, customers!$I$2:$I$1001, 0)</f>
        <v>Yes</v>
      </c>
    </row>
    <row r="37" spans="1:16" x14ac:dyDescent="0.35">
      <c r="A37" s="2" t="s">
        <v>687</v>
      </c>
      <c r="B37" s="3">
        <v>44348</v>
      </c>
      <c r="C37" s="2" t="s">
        <v>688</v>
      </c>
      <c r="D37" t="s">
        <v>6158</v>
      </c>
      <c r="E37" s="2">
        <v>6</v>
      </c>
      <c r="F37" s="2" t="str" cm="1">
        <f t="array" ref="F37">_xlfn.XLOOKUP(C37, customers!$A$1:A1036, customers!$B$1:B1036, 0)</f>
        <v>Faber Eilhart</v>
      </c>
      <c r="G37" s="2" t="str">
        <f>IF(_xlfn.XLOOKUP(C37, customers!A36:A1036, customers!C36:C1036, 0)=0, "", _xlfn.XLOOKUP(C37, customers!A36:A1036, customers!C36:C1036, 0))</f>
        <v>feilhartz@who.int</v>
      </c>
      <c r="H37" s="2" t="str" cm="1">
        <f t="array" ref="H37">_xlfn.XLOOKUP(C37, customers!$A$1:A1036, customers!$G$1:G1036,, 0)</f>
        <v>United States</v>
      </c>
      <c r="I37" t="str" cm="1">
        <f t="array" ref="I37">_xlfn.XLOOKUP(orders!D37, products!$A$1:A84, products!$B$1:B84, 0)</f>
        <v>Ara</v>
      </c>
      <c r="J37" t="str" cm="1">
        <f t="array" ref="J37">_xlfn.XLOOKUP(D37, products!$A$1:A84, products!$C$1:C84, 0)</f>
        <v>D</v>
      </c>
      <c r="K37" s="4" cm="1">
        <f t="array" ref="K37">_xlfn.XLOOKUP(D37, products!$A$1:A84, products!$D$1:D84, 0)</f>
        <v>0.5</v>
      </c>
      <c r="L37" s="4" cm="1">
        <f t="array" ref="L37">_xlfn.XLOOKUP(D37, products!$A$1:A84, products!$E$1:E84)</f>
        <v>5.97</v>
      </c>
      <c r="M37">
        <f t="shared" si="0"/>
        <v>35.82</v>
      </c>
      <c r="N37" t="str">
        <f t="shared" si="1"/>
        <v>Arabica</v>
      </c>
      <c r="O37" t="str" cm="1">
        <f t="array" ref="O37">_xlfn.IFS(J37="M", "Medium", J37="L", "Light", J37="D", "Dark")</f>
        <v>Dark</v>
      </c>
      <c r="P37" t="str">
        <f>_xlfn.XLOOKUP(Orders[[#This Row],[Customer ID]], customers!$A$2:$A$1001, customers!$I$2:$I$1001, 0)</f>
        <v>No</v>
      </c>
    </row>
    <row r="38" spans="1:16" x14ac:dyDescent="0.35">
      <c r="A38" s="2" t="s">
        <v>693</v>
      </c>
      <c r="B38" s="3">
        <v>44233</v>
      </c>
      <c r="C38" s="2" t="s">
        <v>694</v>
      </c>
      <c r="D38" t="s">
        <v>6159</v>
      </c>
      <c r="E38" s="2">
        <v>2</v>
      </c>
      <c r="F38" s="2" t="str" cm="1">
        <f t="array" ref="F38">_xlfn.XLOOKUP(C38, customers!$A$1:A1037, customers!$B$1:B1037, 0)</f>
        <v>Zorina Ponting</v>
      </c>
      <c r="G38" s="2" t="str">
        <f>IF(_xlfn.XLOOKUP(C38, customers!A37:A1037, customers!C37:C1037, 0)=0, "", _xlfn.XLOOKUP(C38, customers!A37:A1037, customers!C37:C1037, 0))</f>
        <v>zponting10@altervista.org</v>
      </c>
      <c r="H38" s="2" t="str" cm="1">
        <f t="array" ref="H38">_xlfn.XLOOKUP(C38, customers!$A$1:A1037, customers!$G$1:G1037,, 0)</f>
        <v>United States</v>
      </c>
      <c r="I38" t="str" cm="1">
        <f t="array" ref="I38">_xlfn.XLOOKUP(orders!D38, products!$A$1:A85, products!$B$1:B85, 0)</f>
        <v>Lib</v>
      </c>
      <c r="J38" t="str" cm="1">
        <f t="array" ref="J38">_xlfn.XLOOKUP(D38, products!$A$1:A85, products!$C$1:C85, 0)</f>
        <v>M</v>
      </c>
      <c r="K38" s="4" cm="1">
        <f t="array" ref="K38">_xlfn.XLOOKUP(D38, products!$A$1:A85, products!$D$1:D85, 0)</f>
        <v>0.2</v>
      </c>
      <c r="L38" s="4" cm="1">
        <f t="array" ref="L38">_xlfn.XLOOKUP(D38, products!$A$1:A85, products!$E$1:E85)</f>
        <v>4.3650000000000002</v>
      </c>
      <c r="M38">
        <f t="shared" si="0"/>
        <v>8.73</v>
      </c>
      <c r="N38" t="str">
        <f t="shared" si="1"/>
        <v>Liberica</v>
      </c>
      <c r="O38" t="str" cm="1">
        <f t="array" ref="O38">_xlfn.IFS(J38="M", "Medium", J38="L", "Light", J38="D", "Dark")</f>
        <v>Medium</v>
      </c>
      <c r="P38" t="str">
        <f>_xlfn.XLOOKUP(Orders[[#This Row],[Customer ID]], customers!$A$2:$A$1001, customers!$I$2:$I$1001, 0)</f>
        <v>No</v>
      </c>
    </row>
    <row r="39" spans="1:16" x14ac:dyDescent="0.35">
      <c r="A39" s="2" t="s">
        <v>699</v>
      </c>
      <c r="B39" s="3">
        <v>43580</v>
      </c>
      <c r="C39" s="2" t="s">
        <v>700</v>
      </c>
      <c r="D39" t="s">
        <v>6161</v>
      </c>
      <c r="E39" s="2">
        <v>3</v>
      </c>
      <c r="F39" s="2" t="str" cm="1">
        <f t="array" ref="F39">_xlfn.XLOOKUP(C39, customers!$A$1:A1038, customers!$B$1:B1038, 0)</f>
        <v>Silvio Strase</v>
      </c>
      <c r="G39" s="2" t="str">
        <f>IF(_xlfn.XLOOKUP(C39, customers!A38:A1038, customers!C38:C1038, 0)=0, "", _xlfn.XLOOKUP(C39, customers!A38:A1038, customers!C38:C1038, 0))</f>
        <v>sstrase11@booking.com</v>
      </c>
      <c r="H39" s="2" t="str" cm="1">
        <f t="array" ref="H39">_xlfn.XLOOKUP(C39, customers!$A$1:A1038, customers!$G$1:G1038,, 0)</f>
        <v>United States</v>
      </c>
      <c r="I39" t="str" cm="1">
        <f t="array" ref="I39">_xlfn.XLOOKUP(orders!D39, products!$A$1:A86, products!$B$1:B86, 0)</f>
        <v>Lib</v>
      </c>
      <c r="J39" t="str" cm="1">
        <f t="array" ref="J39">_xlfn.XLOOKUP(D39, products!$A$1:A86, products!$C$1:C86, 0)</f>
        <v>L</v>
      </c>
      <c r="K39" s="4" cm="1">
        <f t="array" ref="K39">_xlfn.XLOOKUP(D39, products!$A$1:A86, products!$D$1:D86, 0)</f>
        <v>0.5</v>
      </c>
      <c r="L39" s="4" cm="1">
        <f t="array" ref="L39">_xlfn.XLOOKUP(D39, products!$A$1:A86, products!$E$1:E86)</f>
        <v>9.51</v>
      </c>
      <c r="M39">
        <f t="shared" si="0"/>
        <v>28.53</v>
      </c>
      <c r="N39" t="str">
        <f t="shared" si="1"/>
        <v>Liberica</v>
      </c>
      <c r="O39" t="str" cm="1">
        <f t="array" ref="O39">_xlfn.IFS(J39="M", "Medium", J39="L", "Light", J39="D", "Dark")</f>
        <v>Light</v>
      </c>
      <c r="P39" t="str">
        <f>_xlfn.XLOOKUP(Orders[[#This Row],[Customer ID]], customers!$A$2:$A$1001, customers!$I$2:$I$1001, 0)</f>
        <v>No</v>
      </c>
    </row>
    <row r="40" spans="1:16" x14ac:dyDescent="0.35">
      <c r="A40" s="2" t="s">
        <v>705</v>
      </c>
      <c r="B40" s="3">
        <v>43946</v>
      </c>
      <c r="C40" s="2" t="s">
        <v>706</v>
      </c>
      <c r="D40" t="s">
        <v>6151</v>
      </c>
      <c r="E40" s="2">
        <v>5</v>
      </c>
      <c r="F40" s="2" t="str" cm="1">
        <f t="array" ref="F40">_xlfn.XLOOKUP(C40, customers!$A$1:A1039, customers!$B$1:B1039, 0)</f>
        <v>Dorie de la Tremoille</v>
      </c>
      <c r="G40" s="2" t="str">
        <f>IF(_xlfn.XLOOKUP(C40, customers!A39:A1039, customers!C39:C1039, 0)=0, "", _xlfn.XLOOKUP(C40, customers!A39:A1039, customers!C39:C1039, 0))</f>
        <v>dde12@unesco.org</v>
      </c>
      <c r="H40" s="2" t="str" cm="1">
        <f t="array" ref="H40">_xlfn.XLOOKUP(C40, customers!$A$1:A1039, customers!$G$1:G1039,, 0)</f>
        <v>United States</v>
      </c>
      <c r="I40" t="str" cm="1">
        <f t="array" ref="I40">_xlfn.XLOOKUP(orders!D40, products!$A$1:A87, products!$B$1:B87, 0)</f>
        <v>Rob</v>
      </c>
      <c r="J40" t="str" cm="1">
        <f t="array" ref="J40">_xlfn.XLOOKUP(D40, products!$A$1:A87, products!$C$1:C87, 0)</f>
        <v>M</v>
      </c>
      <c r="K40" s="4" cm="1">
        <f t="array" ref="K40">_xlfn.XLOOKUP(D40, products!$A$1:A87, products!$D$1:D87, 0)</f>
        <v>2.5</v>
      </c>
      <c r="L40" s="4" cm="1">
        <f t="array" ref="L40">_xlfn.XLOOKUP(D40, products!$A$1:A87, products!$E$1:E87)</f>
        <v>22.884999999999998</v>
      </c>
      <c r="M40">
        <f t="shared" si="0"/>
        <v>114.42499999999998</v>
      </c>
      <c r="N40" t="str">
        <f t="shared" si="1"/>
        <v>Robusta</v>
      </c>
      <c r="O40" t="str" cm="1">
        <f t="array" ref="O40">_xlfn.IFS(J40="M", "Medium", J40="L", "Light", J40="D", "Dark")</f>
        <v>Medium</v>
      </c>
      <c r="P40" t="str">
        <f>_xlfn.XLOOKUP(Orders[[#This Row],[Customer ID]], customers!$A$2:$A$1001, customers!$I$2:$I$1001, 0)</f>
        <v>No</v>
      </c>
    </row>
    <row r="41" spans="1:16" x14ac:dyDescent="0.35">
      <c r="A41" s="2" t="s">
        <v>711</v>
      </c>
      <c r="B41" s="3">
        <v>44524</v>
      </c>
      <c r="C41" s="2" t="s">
        <v>712</v>
      </c>
      <c r="D41" t="s">
        <v>6138</v>
      </c>
      <c r="E41" s="2">
        <v>6</v>
      </c>
      <c r="F41" s="2" t="str" cm="1">
        <f t="array" ref="F41">_xlfn.XLOOKUP(C41, customers!$A$1:A1040, customers!$B$1:B1040, 0)</f>
        <v>Hy Zanetto</v>
      </c>
      <c r="G41" s="2" t="str">
        <f>IF(_xlfn.XLOOKUP(C41, customers!A40:A1040, customers!C40:C1040, 0)=0, "", _xlfn.XLOOKUP(C41, customers!A40:A1040, customers!C40:C1040, 0))</f>
        <v/>
      </c>
      <c r="H41" s="2" t="str" cm="1">
        <f t="array" ref="H41">_xlfn.XLOOKUP(C41, customers!$A$1:A1040, customers!$G$1:G1040,, 0)</f>
        <v>United States</v>
      </c>
      <c r="I41" t="str" cm="1">
        <f t="array" ref="I41">_xlfn.XLOOKUP(orders!D41, products!$A$1:A88, products!$B$1:B88, 0)</f>
        <v>Rob</v>
      </c>
      <c r="J41" t="str" cm="1">
        <f t="array" ref="J41">_xlfn.XLOOKUP(D41, products!$A$1:A88, products!$C$1:C88, 0)</f>
        <v>M</v>
      </c>
      <c r="K41" s="4" cm="1">
        <f t="array" ref="K41">_xlfn.XLOOKUP(D41, products!$A$1:A88, products!$D$1:D88, 0)</f>
        <v>1</v>
      </c>
      <c r="L41" s="4" cm="1">
        <f t="array" ref="L41">_xlfn.XLOOKUP(D41, products!$A$1:A88, products!$E$1:E88)</f>
        <v>9.9499999999999993</v>
      </c>
      <c r="M41">
        <f t="shared" si="0"/>
        <v>59.699999999999996</v>
      </c>
      <c r="N41" t="str">
        <f t="shared" si="1"/>
        <v>Robusta</v>
      </c>
      <c r="O41" t="str" cm="1">
        <f t="array" ref="O41">_xlfn.IFS(J41="M", "Medium", J41="L", "Light", J41="D", "Dark")</f>
        <v>Medium</v>
      </c>
      <c r="P41" t="str">
        <f>_xlfn.XLOOKUP(Orders[[#This Row],[Customer ID]], customers!$A$2:$A$1001, customers!$I$2:$I$1001, 0)</f>
        <v>Yes</v>
      </c>
    </row>
    <row r="42" spans="1:16" x14ac:dyDescent="0.35">
      <c r="A42" s="2" t="s">
        <v>715</v>
      </c>
      <c r="B42" s="3">
        <v>44305</v>
      </c>
      <c r="C42" s="2" t="s">
        <v>716</v>
      </c>
      <c r="D42" t="s">
        <v>6162</v>
      </c>
      <c r="E42" s="2">
        <v>3</v>
      </c>
      <c r="F42" s="2" t="str" cm="1">
        <f t="array" ref="F42">_xlfn.XLOOKUP(C42, customers!$A$1:A1041, customers!$B$1:B1041, 0)</f>
        <v>Jessica McNess</v>
      </c>
      <c r="G42" s="2" t="str">
        <f>IF(_xlfn.XLOOKUP(C42, customers!A41:A1041, customers!C41:C1041, 0)=0, "", _xlfn.XLOOKUP(C42, customers!A41:A1041, customers!C41:C1041, 0))</f>
        <v/>
      </c>
      <c r="H42" s="2" t="str" cm="1">
        <f t="array" ref="H42">_xlfn.XLOOKUP(C42, customers!$A$1:A1041, customers!$G$1:G1041,, 0)</f>
        <v>United States</v>
      </c>
      <c r="I42" t="str" cm="1">
        <f t="array" ref="I42">_xlfn.XLOOKUP(orders!D42, products!$A$1:A89, products!$B$1:B89, 0)</f>
        <v>Lib</v>
      </c>
      <c r="J42" t="str" cm="1">
        <f t="array" ref="J42">_xlfn.XLOOKUP(D42, products!$A$1:A89, products!$C$1:C89, 0)</f>
        <v>M</v>
      </c>
      <c r="K42" s="4" cm="1">
        <f t="array" ref="K42">_xlfn.XLOOKUP(D42, products!$A$1:A89, products!$D$1:D89, 0)</f>
        <v>1</v>
      </c>
      <c r="L42" s="4" cm="1">
        <f t="array" ref="L42">_xlfn.XLOOKUP(D42, products!$A$1:A89, products!$E$1:E89)</f>
        <v>14.55</v>
      </c>
      <c r="M42">
        <f t="shared" si="0"/>
        <v>43.650000000000006</v>
      </c>
      <c r="N42" t="str">
        <f t="shared" si="1"/>
        <v>Liberica</v>
      </c>
      <c r="O42" t="str" cm="1">
        <f t="array" ref="O42">_xlfn.IFS(J42="M", "Medium", J42="L", "Light", J42="D", "Dark")</f>
        <v>Medium</v>
      </c>
      <c r="P42" t="str">
        <f>_xlfn.XLOOKUP(Orders[[#This Row],[Customer ID]], customers!$A$2:$A$1001, customers!$I$2:$I$1001, 0)</f>
        <v>No</v>
      </c>
    </row>
    <row r="43" spans="1:16" x14ac:dyDescent="0.35">
      <c r="A43" s="2" t="s">
        <v>720</v>
      </c>
      <c r="B43" s="3">
        <v>44749</v>
      </c>
      <c r="C43" s="2" t="s">
        <v>721</v>
      </c>
      <c r="D43" t="s">
        <v>6153</v>
      </c>
      <c r="E43" s="2">
        <v>2</v>
      </c>
      <c r="F43" s="2" t="str" cm="1">
        <f t="array" ref="F43">_xlfn.XLOOKUP(C43, customers!$A$1:A1042, customers!$B$1:B1042, 0)</f>
        <v>Lorenzo Yeoland</v>
      </c>
      <c r="G43" s="2" t="str">
        <f>IF(_xlfn.XLOOKUP(C43, customers!A42:A1042, customers!C42:C1042, 0)=0, "", _xlfn.XLOOKUP(C43, customers!A42:A1042, customers!C42:C1042, 0))</f>
        <v>lyeoland15@pbs.org</v>
      </c>
      <c r="H43" s="2" t="str" cm="1">
        <f t="array" ref="H43">_xlfn.XLOOKUP(C43, customers!$A$1:A1042, customers!$G$1:G1042,, 0)</f>
        <v>United States</v>
      </c>
      <c r="I43" t="str" cm="1">
        <f t="array" ref="I43">_xlfn.XLOOKUP(orders!D43, products!$A$1:A90, products!$B$1:B90, 0)</f>
        <v>Exc</v>
      </c>
      <c r="J43" t="str" cm="1">
        <f t="array" ref="J43">_xlfn.XLOOKUP(D43, products!$A$1:A90, products!$C$1:C90, 0)</f>
        <v>D</v>
      </c>
      <c r="K43" s="4" cm="1">
        <f t="array" ref="K43">_xlfn.XLOOKUP(D43, products!$A$1:A90, products!$D$1:D90, 0)</f>
        <v>0.2</v>
      </c>
      <c r="L43" s="4" cm="1">
        <f t="array" ref="L43">_xlfn.XLOOKUP(D43, products!$A$1:A90, products!$E$1:E90)</f>
        <v>3.645</v>
      </c>
      <c r="M43">
        <f t="shared" si="0"/>
        <v>7.29</v>
      </c>
      <c r="N43" t="str">
        <f t="shared" si="1"/>
        <v>Excelsa</v>
      </c>
      <c r="O43" t="str" cm="1">
        <f t="array" ref="O43">_xlfn.IFS(J43="M", "Medium", J43="L", "Light", J43="D", "Dark")</f>
        <v>Dark</v>
      </c>
      <c r="P43" t="str">
        <f>_xlfn.XLOOKUP(Orders[[#This Row],[Customer ID]], customers!$A$2:$A$1001, customers!$I$2:$I$1001, 0)</f>
        <v>Yes</v>
      </c>
    </row>
    <row r="44" spans="1:16" x14ac:dyDescent="0.35">
      <c r="A44" s="2" t="s">
        <v>726</v>
      </c>
      <c r="B44" s="3">
        <v>43607</v>
      </c>
      <c r="C44" s="2" t="s">
        <v>727</v>
      </c>
      <c r="D44" t="s">
        <v>6163</v>
      </c>
      <c r="E44" s="2">
        <v>3</v>
      </c>
      <c r="F44" s="2" t="str" cm="1">
        <f t="array" ref="F44">_xlfn.XLOOKUP(C44, customers!$A$1:A1043, customers!$B$1:B1043, 0)</f>
        <v>Abigail Tolworthy</v>
      </c>
      <c r="G44" s="2" t="str">
        <f>IF(_xlfn.XLOOKUP(C44, customers!A43:A1043, customers!C43:C1043, 0)=0, "", _xlfn.XLOOKUP(C44, customers!A43:A1043, customers!C43:C1043, 0))</f>
        <v>atolworthy16@toplist.cz</v>
      </c>
      <c r="H44" s="2" t="str" cm="1">
        <f t="array" ref="H44">_xlfn.XLOOKUP(C44, customers!$A$1:A1043, customers!$G$1:G1043,, 0)</f>
        <v>United States</v>
      </c>
      <c r="I44" t="str" cm="1">
        <f t="array" ref="I44">_xlfn.XLOOKUP(orders!D44, products!$A$1:A91, products!$B$1:B91, 0)</f>
        <v>Rob</v>
      </c>
      <c r="J44" t="str" cm="1">
        <f t="array" ref="J44">_xlfn.XLOOKUP(D44, products!$A$1:A91, products!$C$1:C91, 0)</f>
        <v>D</v>
      </c>
      <c r="K44" s="4" cm="1">
        <f t="array" ref="K44">_xlfn.XLOOKUP(D44, products!$A$1:A91, products!$D$1:D91, 0)</f>
        <v>0.2</v>
      </c>
      <c r="L44" s="4" cm="1">
        <f t="array" ref="L44">_xlfn.XLOOKUP(D44, products!$A$1:A91, products!$E$1:E91)</f>
        <v>2.6849999999999996</v>
      </c>
      <c r="M44">
        <f t="shared" si="0"/>
        <v>8.0549999999999997</v>
      </c>
      <c r="N44" t="str">
        <f t="shared" si="1"/>
        <v>Robusta</v>
      </c>
      <c r="O44" t="str" cm="1">
        <f t="array" ref="O44">_xlfn.IFS(J44="M", "Medium", J44="L", "Light", J44="D", "Dark")</f>
        <v>Dark</v>
      </c>
      <c r="P44" t="str">
        <f>_xlfn.XLOOKUP(Orders[[#This Row],[Customer ID]], customers!$A$2:$A$1001, customers!$I$2:$I$1001, 0)</f>
        <v>Yes</v>
      </c>
    </row>
    <row r="45" spans="1:16" x14ac:dyDescent="0.35">
      <c r="A45" s="2" t="s">
        <v>733</v>
      </c>
      <c r="B45" s="3">
        <v>44473</v>
      </c>
      <c r="C45" s="2" t="s">
        <v>734</v>
      </c>
      <c r="D45" t="s">
        <v>6164</v>
      </c>
      <c r="E45" s="2">
        <v>2</v>
      </c>
      <c r="F45" s="2" t="str" cm="1">
        <f t="array" ref="F45">_xlfn.XLOOKUP(C45, customers!$A$1:A1044, customers!$B$1:B1044, 0)</f>
        <v>Maurie Bartol</v>
      </c>
      <c r="G45" s="2" t="str">
        <f>IF(_xlfn.XLOOKUP(C45, customers!A44:A1044, customers!C44:C1044, 0)=0, "", _xlfn.XLOOKUP(C45, customers!A44:A1044, customers!C44:C1044, 0))</f>
        <v/>
      </c>
      <c r="H45" s="2" t="str" cm="1">
        <f t="array" ref="H45">_xlfn.XLOOKUP(C45, customers!$A$1:A1044, customers!$G$1:G1044,, 0)</f>
        <v>United States</v>
      </c>
      <c r="I45" t="str" cm="1">
        <f t="array" ref="I45">_xlfn.XLOOKUP(orders!D45, products!$A$1:A92, products!$B$1:B92, 0)</f>
        <v>Lib</v>
      </c>
      <c r="J45" t="str" cm="1">
        <f t="array" ref="J45">_xlfn.XLOOKUP(D45, products!$A$1:A92, products!$C$1:C92, 0)</f>
        <v>L</v>
      </c>
      <c r="K45" s="4" cm="1">
        <f t="array" ref="K45">_xlfn.XLOOKUP(D45, products!$A$1:A92, products!$D$1:D92, 0)</f>
        <v>2.5</v>
      </c>
      <c r="L45" s="4" cm="1">
        <f t="array" ref="L45">_xlfn.XLOOKUP(D45, products!$A$1:A92, products!$E$1:E92)</f>
        <v>36.454999999999998</v>
      </c>
      <c r="M45">
        <f t="shared" si="0"/>
        <v>72.91</v>
      </c>
      <c r="N45" t="str">
        <f t="shared" si="1"/>
        <v>Liberica</v>
      </c>
      <c r="O45" t="str" cm="1">
        <f t="array" ref="O45">_xlfn.IFS(J45="M", "Medium", J45="L", "Light", J45="D", "Dark")</f>
        <v>Light</v>
      </c>
      <c r="P45" t="str">
        <f>_xlfn.XLOOKUP(Orders[[#This Row],[Customer ID]], customers!$A$2:$A$1001, customers!$I$2:$I$1001, 0)</f>
        <v>No</v>
      </c>
    </row>
    <row r="46" spans="1:16" x14ac:dyDescent="0.35">
      <c r="A46" s="2" t="s">
        <v>738</v>
      </c>
      <c r="B46" s="3">
        <v>43932</v>
      </c>
      <c r="C46" s="2" t="s">
        <v>739</v>
      </c>
      <c r="D46" t="s">
        <v>6139</v>
      </c>
      <c r="E46" s="2">
        <v>2</v>
      </c>
      <c r="F46" s="2" t="str" cm="1">
        <f t="array" ref="F46">_xlfn.XLOOKUP(C46, customers!$A$1:A1045, customers!$B$1:B1045, 0)</f>
        <v>Olag Baudassi</v>
      </c>
      <c r="G46" s="2" t="str">
        <f>IF(_xlfn.XLOOKUP(C46, customers!A45:A1045, customers!C45:C1045, 0)=0, "", _xlfn.XLOOKUP(C46, customers!A45:A1045, customers!C45:C1045, 0))</f>
        <v>obaudassi18@seesaa.net</v>
      </c>
      <c r="H46" s="2" t="str" cm="1">
        <f t="array" ref="H46">_xlfn.XLOOKUP(C46, customers!$A$1:A1045, customers!$G$1:G1045,, 0)</f>
        <v>United States</v>
      </c>
      <c r="I46" t="str" cm="1">
        <f t="array" ref="I46">_xlfn.XLOOKUP(orders!D46, products!$A$1:A93, products!$B$1:B93, 0)</f>
        <v>Exc</v>
      </c>
      <c r="J46" t="str" cm="1">
        <f t="array" ref="J46">_xlfn.XLOOKUP(D46, products!$A$1:A93, products!$C$1:C93, 0)</f>
        <v>M</v>
      </c>
      <c r="K46" s="4" cm="1">
        <f t="array" ref="K46">_xlfn.XLOOKUP(D46, products!$A$1:A93, products!$D$1:D93, 0)</f>
        <v>0.5</v>
      </c>
      <c r="L46" s="4" cm="1">
        <f t="array" ref="L46">_xlfn.XLOOKUP(D46, products!$A$1:A93, products!$E$1:E93)</f>
        <v>8.25</v>
      </c>
      <c r="M46">
        <f t="shared" si="0"/>
        <v>16.5</v>
      </c>
      <c r="N46" t="str">
        <f t="shared" si="1"/>
        <v>Excelsa</v>
      </c>
      <c r="O46" t="str" cm="1">
        <f t="array" ref="O46">_xlfn.IFS(J46="M", "Medium", J46="L", "Light", J46="D", "Dark")</f>
        <v>Medium</v>
      </c>
      <c r="P46" t="str">
        <f>_xlfn.XLOOKUP(Orders[[#This Row],[Customer ID]], customers!$A$2:$A$1001, customers!$I$2:$I$1001, 0)</f>
        <v>Yes</v>
      </c>
    </row>
    <row r="47" spans="1:16" x14ac:dyDescent="0.35">
      <c r="A47" s="2" t="s">
        <v>744</v>
      </c>
      <c r="B47" s="3">
        <v>44592</v>
      </c>
      <c r="C47" s="2" t="s">
        <v>745</v>
      </c>
      <c r="D47" t="s">
        <v>6165</v>
      </c>
      <c r="E47" s="2">
        <v>6</v>
      </c>
      <c r="F47" s="2" t="str" cm="1">
        <f t="array" ref="F47">_xlfn.XLOOKUP(C47, customers!$A$1:A1046, customers!$B$1:B1046, 0)</f>
        <v>Petey Kingsbury</v>
      </c>
      <c r="G47" s="2" t="str">
        <f>IF(_xlfn.XLOOKUP(C47, customers!A46:A1046, customers!C46:C1046, 0)=0, "", _xlfn.XLOOKUP(C47, customers!A46:A1046, customers!C46:C1046, 0))</f>
        <v>pkingsbury19@comcast.net</v>
      </c>
      <c r="H47" s="2" t="str" cm="1">
        <f t="array" ref="H47">_xlfn.XLOOKUP(C47, customers!$A$1:A1046, customers!$G$1:G1046,, 0)</f>
        <v>United States</v>
      </c>
      <c r="I47" t="str" cm="1">
        <f t="array" ref="I47">_xlfn.XLOOKUP(orders!D47, products!$A$1:A94, products!$B$1:B94, 0)</f>
        <v>Lib</v>
      </c>
      <c r="J47" t="str" cm="1">
        <f t="array" ref="J47">_xlfn.XLOOKUP(D47, products!$A$1:A94, products!$C$1:C94, 0)</f>
        <v>D</v>
      </c>
      <c r="K47" s="4" cm="1">
        <f t="array" ref="K47">_xlfn.XLOOKUP(D47, products!$A$1:A94, products!$D$1:D94, 0)</f>
        <v>2.5</v>
      </c>
      <c r="L47" s="4" cm="1">
        <f t="array" ref="L47">_xlfn.XLOOKUP(D47, products!$A$1:A94, products!$E$1:E94)</f>
        <v>29.784999999999997</v>
      </c>
      <c r="M47">
        <f t="shared" si="0"/>
        <v>178.70999999999998</v>
      </c>
      <c r="N47" t="str">
        <f t="shared" si="1"/>
        <v>Liberica</v>
      </c>
      <c r="O47" t="str" cm="1">
        <f t="array" ref="O47">_xlfn.IFS(J47="M", "Medium", J47="L", "Light", J47="D", "Dark")</f>
        <v>Dark</v>
      </c>
      <c r="P47" t="str">
        <f>_xlfn.XLOOKUP(Orders[[#This Row],[Customer ID]], customers!$A$2:$A$1001, customers!$I$2:$I$1001, 0)</f>
        <v>No</v>
      </c>
    </row>
    <row r="48" spans="1:16" x14ac:dyDescent="0.35">
      <c r="A48" s="2" t="s">
        <v>750</v>
      </c>
      <c r="B48" s="3">
        <v>43776</v>
      </c>
      <c r="C48" s="2" t="s">
        <v>751</v>
      </c>
      <c r="D48" t="s">
        <v>6166</v>
      </c>
      <c r="E48" s="2">
        <v>2</v>
      </c>
      <c r="F48" s="2" t="str" cm="1">
        <f t="array" ref="F48">_xlfn.XLOOKUP(C48, customers!$A$1:A1047, customers!$B$1:B1047, 0)</f>
        <v>Donna Baskeyfied</v>
      </c>
      <c r="G48" s="2" t="str">
        <f>IF(_xlfn.XLOOKUP(C48, customers!A47:A1047, customers!C47:C1047, 0)=0, "", _xlfn.XLOOKUP(C48, customers!A47:A1047, customers!C47:C1047, 0))</f>
        <v/>
      </c>
      <c r="H48" s="2" t="str" cm="1">
        <f t="array" ref="H48">_xlfn.XLOOKUP(C48, customers!$A$1:A1047, customers!$G$1:G1047,, 0)</f>
        <v>United States</v>
      </c>
      <c r="I48" t="str" cm="1">
        <f t="array" ref="I48">_xlfn.XLOOKUP(orders!D48, products!$A$1:A95, products!$B$1:B95, 0)</f>
        <v>Exc</v>
      </c>
      <c r="J48" t="str" cm="1">
        <f t="array" ref="J48">_xlfn.XLOOKUP(D48, products!$A$1:A95, products!$C$1:C95, 0)</f>
        <v>M</v>
      </c>
      <c r="K48" s="4" cm="1">
        <f t="array" ref="K48">_xlfn.XLOOKUP(D48, products!$A$1:A95, products!$D$1:D95, 0)</f>
        <v>2.5</v>
      </c>
      <c r="L48" s="4" cm="1">
        <f t="array" ref="L48">_xlfn.XLOOKUP(D48, products!$A$1:A95, products!$E$1:E95)</f>
        <v>31.624999999999996</v>
      </c>
      <c r="M48">
        <f t="shared" si="0"/>
        <v>63.249999999999993</v>
      </c>
      <c r="N48" t="str">
        <f t="shared" si="1"/>
        <v>Excelsa</v>
      </c>
      <c r="O48" t="str" cm="1">
        <f t="array" ref="O48">_xlfn.IFS(J48="M", "Medium", J48="L", "Light", J48="D", "Dark")</f>
        <v>Medium</v>
      </c>
      <c r="P48" t="str">
        <f>_xlfn.XLOOKUP(Orders[[#This Row],[Customer ID]], customers!$A$2:$A$1001, customers!$I$2:$I$1001, 0)</f>
        <v>Yes</v>
      </c>
    </row>
    <row r="49" spans="1:16" x14ac:dyDescent="0.35">
      <c r="A49" s="2" t="s">
        <v>755</v>
      </c>
      <c r="B49" s="3">
        <v>43644</v>
      </c>
      <c r="C49" s="2" t="s">
        <v>756</v>
      </c>
      <c r="D49" t="s">
        <v>6167</v>
      </c>
      <c r="E49" s="2">
        <v>2</v>
      </c>
      <c r="F49" s="2" t="str" cm="1">
        <f t="array" ref="F49">_xlfn.XLOOKUP(C49, customers!$A$1:A1048, customers!$B$1:B1048, 0)</f>
        <v>Arda Curley</v>
      </c>
      <c r="G49" s="2" t="str">
        <f>IF(_xlfn.XLOOKUP(C49, customers!A48:A1048, customers!C48:C1048, 0)=0, "", _xlfn.XLOOKUP(C49, customers!A48:A1048, customers!C48:C1048, 0))</f>
        <v>acurley1b@hao123.com</v>
      </c>
      <c r="H49" s="2" t="str" cm="1">
        <f t="array" ref="H49">_xlfn.XLOOKUP(C49, customers!$A$1:A1048, customers!$G$1:G1048,, 0)</f>
        <v>United States</v>
      </c>
      <c r="I49" t="str" cm="1">
        <f t="array" ref="I49">_xlfn.XLOOKUP(orders!D49, products!$A$1:A96, products!$B$1:B96, 0)</f>
        <v>Ara</v>
      </c>
      <c r="J49" t="str" cm="1">
        <f t="array" ref="J49">_xlfn.XLOOKUP(D49, products!$A$1:A96, products!$C$1:C96, 0)</f>
        <v>L</v>
      </c>
      <c r="K49" s="4" cm="1">
        <f t="array" ref="K49">_xlfn.XLOOKUP(D49, products!$A$1:A96, products!$D$1:D96, 0)</f>
        <v>0.2</v>
      </c>
      <c r="L49" s="4" cm="1">
        <f t="array" ref="L49">_xlfn.XLOOKUP(D49, products!$A$1:A96, products!$E$1:E96)</f>
        <v>3.8849999999999998</v>
      </c>
      <c r="M49">
        <f t="shared" si="0"/>
        <v>7.77</v>
      </c>
      <c r="N49" t="str">
        <f t="shared" si="1"/>
        <v>Arabica</v>
      </c>
      <c r="O49" t="str" cm="1">
        <f t="array" ref="O49">_xlfn.IFS(J49="M", "Medium", J49="L", "Light", J49="D", "Dark")</f>
        <v>Light</v>
      </c>
      <c r="P49" t="str">
        <f>_xlfn.XLOOKUP(Orders[[#This Row],[Customer ID]], customers!$A$2:$A$1001, customers!$I$2:$I$1001, 0)</f>
        <v>Yes</v>
      </c>
    </row>
    <row r="50" spans="1:16" x14ac:dyDescent="0.35">
      <c r="A50" s="2" t="s">
        <v>761</v>
      </c>
      <c r="B50" s="3">
        <v>44085</v>
      </c>
      <c r="C50" s="2" t="s">
        <v>762</v>
      </c>
      <c r="D50" t="s">
        <v>6168</v>
      </c>
      <c r="E50" s="2">
        <v>4</v>
      </c>
      <c r="F50" s="2" t="str" cm="1">
        <f t="array" ref="F50">_xlfn.XLOOKUP(C50, customers!$A$1:A1049, customers!$B$1:B1049, 0)</f>
        <v>Raynor McGilvary</v>
      </c>
      <c r="G50" s="2" t="str">
        <f>IF(_xlfn.XLOOKUP(C50, customers!A49:A1049, customers!C49:C1049, 0)=0, "", _xlfn.XLOOKUP(C50, customers!A49:A1049, customers!C49:C1049, 0))</f>
        <v>rmcgilvary1c@tamu.edu</v>
      </c>
      <c r="H50" s="2" t="str" cm="1">
        <f t="array" ref="H50">_xlfn.XLOOKUP(C50, customers!$A$1:A1049, customers!$G$1:G1049,, 0)</f>
        <v>United States</v>
      </c>
      <c r="I50" t="str" cm="1">
        <f t="array" ref="I50">_xlfn.XLOOKUP(orders!D50, products!$A$1:A97, products!$B$1:B97, 0)</f>
        <v>Ara</v>
      </c>
      <c r="J50" t="str" cm="1">
        <f t="array" ref="J50">_xlfn.XLOOKUP(D50, products!$A$1:A97, products!$C$1:C97, 0)</f>
        <v>D</v>
      </c>
      <c r="K50" s="4" cm="1">
        <f t="array" ref="K50">_xlfn.XLOOKUP(D50, products!$A$1:A97, products!$D$1:D97, 0)</f>
        <v>2.5</v>
      </c>
      <c r="L50" s="4" cm="1">
        <f t="array" ref="L50">_xlfn.XLOOKUP(D50, products!$A$1:A97, products!$E$1:E97)</f>
        <v>22.884999999999998</v>
      </c>
      <c r="M50">
        <f t="shared" si="0"/>
        <v>91.539999999999992</v>
      </c>
      <c r="N50" t="str">
        <f t="shared" si="1"/>
        <v>Arabica</v>
      </c>
      <c r="O50" t="str" cm="1">
        <f t="array" ref="O50">_xlfn.IFS(J50="M", "Medium", J50="L", "Light", J50="D", "Dark")</f>
        <v>Dark</v>
      </c>
      <c r="P50" t="str">
        <f>_xlfn.XLOOKUP(Orders[[#This Row],[Customer ID]], customers!$A$2:$A$1001, customers!$I$2:$I$1001, 0)</f>
        <v>No</v>
      </c>
    </row>
    <row r="51" spans="1:16" x14ac:dyDescent="0.35">
      <c r="A51" s="2" t="s">
        <v>766</v>
      </c>
      <c r="B51" s="3">
        <v>44790</v>
      </c>
      <c r="C51" s="2" t="s">
        <v>767</v>
      </c>
      <c r="D51" t="s">
        <v>6140</v>
      </c>
      <c r="E51" s="2">
        <v>3</v>
      </c>
      <c r="F51" s="2" t="str" cm="1">
        <f t="array" ref="F51">_xlfn.XLOOKUP(C51, customers!$A$1:A1050, customers!$B$1:B1050, 0)</f>
        <v>Isis Pikett</v>
      </c>
      <c r="G51" s="2" t="str">
        <f>IF(_xlfn.XLOOKUP(C51, customers!A50:A1050, customers!C50:C1050, 0)=0, "", _xlfn.XLOOKUP(C51, customers!A50:A1050, customers!C50:C1050, 0))</f>
        <v>ipikett1d@xinhuanet.com</v>
      </c>
      <c r="H51" s="2" t="str" cm="1">
        <f t="array" ref="H51">_xlfn.XLOOKUP(C51, customers!$A$1:A1050, customers!$G$1:G1050,, 0)</f>
        <v>United States</v>
      </c>
      <c r="I51" t="str" cm="1">
        <f t="array" ref="I51">_xlfn.XLOOKUP(orders!D51, products!$A$1:A98, products!$B$1:B98, 0)</f>
        <v>Ara</v>
      </c>
      <c r="J51" t="str" cm="1">
        <f t="array" ref="J51">_xlfn.XLOOKUP(D51, products!$A$1:A98, products!$C$1:C98, 0)</f>
        <v>L</v>
      </c>
      <c r="K51" s="4" cm="1">
        <f t="array" ref="K51">_xlfn.XLOOKUP(D51, products!$A$1:A98, products!$D$1:D98, 0)</f>
        <v>1</v>
      </c>
      <c r="L51" s="4" cm="1">
        <f t="array" ref="L51">_xlfn.XLOOKUP(D51, products!$A$1:A98, products!$E$1:E98)</f>
        <v>12.95</v>
      </c>
      <c r="M51">
        <f t="shared" si="0"/>
        <v>38.849999999999994</v>
      </c>
      <c r="N51" t="str">
        <f t="shared" si="1"/>
        <v>Arabica</v>
      </c>
      <c r="O51" t="str" cm="1">
        <f t="array" ref="O51">_xlfn.IFS(J51="M", "Medium", J51="L", "Light", J51="D", "Dark")</f>
        <v>Light</v>
      </c>
      <c r="P51" t="str">
        <f>_xlfn.XLOOKUP(Orders[[#This Row],[Customer ID]], customers!$A$2:$A$1001, customers!$I$2:$I$1001, 0)</f>
        <v>No</v>
      </c>
    </row>
    <row r="52" spans="1:16" x14ac:dyDescent="0.35">
      <c r="A52" s="2" t="s">
        <v>772</v>
      </c>
      <c r="B52" s="3">
        <v>44792</v>
      </c>
      <c r="C52" s="2" t="s">
        <v>773</v>
      </c>
      <c r="D52" t="s">
        <v>6169</v>
      </c>
      <c r="E52" s="2">
        <v>2</v>
      </c>
      <c r="F52" s="2" t="str" cm="1">
        <f t="array" ref="F52">_xlfn.XLOOKUP(C52, customers!$A$1:A1051, customers!$B$1:B1051, 0)</f>
        <v>Inger Bouldon</v>
      </c>
      <c r="G52" s="2" t="str">
        <f>IF(_xlfn.XLOOKUP(C52, customers!A51:A1051, customers!C51:C1051, 0)=0, "", _xlfn.XLOOKUP(C52, customers!A51:A1051, customers!C51:C1051, 0))</f>
        <v>ibouldon1e@gizmodo.com</v>
      </c>
      <c r="H52" s="2" t="str" cm="1">
        <f t="array" ref="H52">_xlfn.XLOOKUP(C52, customers!$A$1:A1051, customers!$G$1:G1051,, 0)</f>
        <v>United States</v>
      </c>
      <c r="I52" t="str" cm="1">
        <f t="array" ref="I52">_xlfn.XLOOKUP(orders!D52, products!$A$1:A99, products!$B$1:B99, 0)</f>
        <v>Lib</v>
      </c>
      <c r="J52" t="str" cm="1">
        <f t="array" ref="J52">_xlfn.XLOOKUP(D52, products!$A$1:A99, products!$C$1:C99, 0)</f>
        <v>D</v>
      </c>
      <c r="K52" s="4" cm="1">
        <f t="array" ref="K52">_xlfn.XLOOKUP(D52, products!$A$1:A99, products!$D$1:D99, 0)</f>
        <v>0.5</v>
      </c>
      <c r="L52" s="4" cm="1">
        <f t="array" ref="L52">_xlfn.XLOOKUP(D52, products!$A$1:A99, products!$E$1:E99)</f>
        <v>7.77</v>
      </c>
      <c r="M52">
        <f t="shared" si="0"/>
        <v>15.54</v>
      </c>
      <c r="N52" t="str">
        <f t="shared" si="1"/>
        <v>Liberica</v>
      </c>
      <c r="O52" t="str" cm="1">
        <f t="array" ref="O52">_xlfn.IFS(J52="M", "Medium", J52="L", "Light", J52="D", "Dark")</f>
        <v>Dark</v>
      </c>
      <c r="P52" t="str">
        <f>_xlfn.XLOOKUP(Orders[[#This Row],[Customer ID]], customers!$A$2:$A$1001, customers!$I$2:$I$1001, 0)</f>
        <v>No</v>
      </c>
    </row>
    <row r="53" spans="1:16" x14ac:dyDescent="0.35">
      <c r="A53" s="2" t="s">
        <v>778</v>
      </c>
      <c r="B53" s="3">
        <v>43600</v>
      </c>
      <c r="C53" s="2" t="s">
        <v>779</v>
      </c>
      <c r="D53" t="s">
        <v>6164</v>
      </c>
      <c r="E53" s="2">
        <v>4</v>
      </c>
      <c r="F53" s="2" t="str" cm="1">
        <f t="array" ref="F53">_xlfn.XLOOKUP(C53, customers!$A$1:A1052, customers!$B$1:B1052, 0)</f>
        <v>Karry Flanders</v>
      </c>
      <c r="G53" s="2" t="str">
        <f>IF(_xlfn.XLOOKUP(C53, customers!A52:A1052, customers!C52:C1052, 0)=0, "", _xlfn.XLOOKUP(C53, customers!A52:A1052, customers!C52:C1052, 0))</f>
        <v>kflanders1f@over-blog.com</v>
      </c>
      <c r="H53" s="2" t="str" cm="1">
        <f t="array" ref="H53">_xlfn.XLOOKUP(C53, customers!$A$1:A1052, customers!$G$1:G1052,, 0)</f>
        <v>Ireland</v>
      </c>
      <c r="I53" t="str" cm="1">
        <f t="array" ref="I53">_xlfn.XLOOKUP(orders!D53, products!$A$1:A100, products!$B$1:B100, 0)</f>
        <v>Lib</v>
      </c>
      <c r="J53" t="str" cm="1">
        <f t="array" ref="J53">_xlfn.XLOOKUP(D53, products!$A$1:A100, products!$C$1:C100, 0)</f>
        <v>L</v>
      </c>
      <c r="K53" s="4" cm="1">
        <f t="array" ref="K53">_xlfn.XLOOKUP(D53, products!$A$1:A100, products!$D$1:D100, 0)</f>
        <v>2.5</v>
      </c>
      <c r="L53" s="4" cm="1">
        <f t="array" ref="L53">_xlfn.XLOOKUP(D53, products!$A$1:A100, products!$E$1:E100)</f>
        <v>36.454999999999998</v>
      </c>
      <c r="M53">
        <f t="shared" si="0"/>
        <v>145.82</v>
      </c>
      <c r="N53" t="str">
        <f t="shared" si="1"/>
        <v>Liberica</v>
      </c>
      <c r="O53" t="str" cm="1">
        <f t="array" ref="O53">_xlfn.IFS(J53="M", "Medium", J53="L", "Light", J53="D", "Dark")</f>
        <v>Light</v>
      </c>
      <c r="P53" t="str">
        <f>_xlfn.XLOOKUP(Orders[[#This Row],[Customer ID]], customers!$A$2:$A$1001, customers!$I$2:$I$1001, 0)</f>
        <v>Yes</v>
      </c>
    </row>
    <row r="54" spans="1:16" x14ac:dyDescent="0.35">
      <c r="A54" s="2" t="s">
        <v>784</v>
      </c>
      <c r="B54" s="3">
        <v>43719</v>
      </c>
      <c r="C54" s="2" t="s">
        <v>785</v>
      </c>
      <c r="D54" t="s">
        <v>6146</v>
      </c>
      <c r="E54" s="2">
        <v>5</v>
      </c>
      <c r="F54" s="2" t="str" cm="1">
        <f t="array" ref="F54">_xlfn.XLOOKUP(C54, customers!$A$1:A1053, customers!$B$1:B1053, 0)</f>
        <v>Hartley Mattioli</v>
      </c>
      <c r="G54" s="2" t="str">
        <f>IF(_xlfn.XLOOKUP(C54, customers!A53:A1053, customers!C53:C1053, 0)=0, "", _xlfn.XLOOKUP(C54, customers!A53:A1053, customers!C53:C1053, 0))</f>
        <v>hmattioli1g@webmd.com</v>
      </c>
      <c r="H54" s="2" t="str" cm="1">
        <f t="array" ref="H54">_xlfn.XLOOKUP(C54, customers!$A$1:A1053, customers!$G$1:G1053,, 0)</f>
        <v>United Kingdom</v>
      </c>
      <c r="I54" t="str" cm="1">
        <f t="array" ref="I54">_xlfn.XLOOKUP(orders!D54, products!$A$1:A101, products!$B$1:B101, 0)</f>
        <v>Rob</v>
      </c>
      <c r="J54" t="str" cm="1">
        <f t="array" ref="J54">_xlfn.XLOOKUP(D54, products!$A$1:A101, products!$C$1:C101, 0)</f>
        <v>M</v>
      </c>
      <c r="K54" s="4" cm="1">
        <f t="array" ref="K54">_xlfn.XLOOKUP(D54, products!$A$1:A101, products!$D$1:D101, 0)</f>
        <v>0.5</v>
      </c>
      <c r="L54" s="4" cm="1">
        <f t="array" ref="L54">_xlfn.XLOOKUP(D54, products!$A$1:A101, products!$E$1:E101)</f>
        <v>5.97</v>
      </c>
      <c r="M54">
        <f t="shared" si="0"/>
        <v>29.849999999999998</v>
      </c>
      <c r="N54" t="str">
        <f t="shared" si="1"/>
        <v>Robusta</v>
      </c>
      <c r="O54" t="str" cm="1">
        <f t="array" ref="O54">_xlfn.IFS(J54="M", "Medium", J54="L", "Light", J54="D", "Dark")</f>
        <v>Medium</v>
      </c>
      <c r="P54" t="str">
        <f>_xlfn.XLOOKUP(Orders[[#This Row],[Customer ID]], customers!$A$2:$A$1001, customers!$I$2:$I$1001, 0)</f>
        <v>No</v>
      </c>
    </row>
    <row r="55" spans="1:16" x14ac:dyDescent="0.35">
      <c r="A55" s="2" t="s">
        <v>784</v>
      </c>
      <c r="B55" s="3">
        <v>43719</v>
      </c>
      <c r="C55" s="2" t="s">
        <v>785</v>
      </c>
      <c r="D55" t="s">
        <v>6164</v>
      </c>
      <c r="E55" s="2">
        <v>2</v>
      </c>
      <c r="F55" s="2" t="str" cm="1">
        <f t="array" ref="F55">_xlfn.XLOOKUP(C55, customers!$A$1:A1054, customers!$B$1:B1054, 0)</f>
        <v>Hartley Mattioli</v>
      </c>
      <c r="G55" s="2" t="str">
        <f>IF(_xlfn.XLOOKUP(C55, customers!A54:A1054, customers!C54:C1054, 0)=0, "", _xlfn.XLOOKUP(C55, customers!A54:A1054, customers!C54:C1054, 0))</f>
        <v>hmattioli1g@webmd.com</v>
      </c>
      <c r="H55" s="2" t="str" cm="1">
        <f t="array" ref="H55">_xlfn.XLOOKUP(C55, customers!$A$1:A1054, customers!$G$1:G1054,, 0)</f>
        <v>United Kingdom</v>
      </c>
      <c r="I55" t="str" cm="1">
        <f t="array" ref="I55">_xlfn.XLOOKUP(orders!D55, products!$A$1:A102, products!$B$1:B102, 0)</f>
        <v>Lib</v>
      </c>
      <c r="J55" t="str" cm="1">
        <f t="array" ref="J55">_xlfn.XLOOKUP(D55, products!$A$1:A102, products!$C$1:C102, 0)</f>
        <v>L</v>
      </c>
      <c r="K55" s="4" cm="1">
        <f t="array" ref="K55">_xlfn.XLOOKUP(D55, products!$A$1:A102, products!$D$1:D102, 0)</f>
        <v>2.5</v>
      </c>
      <c r="L55" s="4" cm="1">
        <f t="array" ref="L55">_xlfn.XLOOKUP(D55, products!$A$1:A102, products!$E$1:E102)</f>
        <v>36.454999999999998</v>
      </c>
      <c r="M55">
        <f t="shared" si="0"/>
        <v>72.91</v>
      </c>
      <c r="N55" t="str">
        <f t="shared" si="1"/>
        <v>Liberica</v>
      </c>
      <c r="O55" t="str" cm="1">
        <f t="array" ref="O55">_xlfn.IFS(J55="M", "Medium", J55="L", "Light", J55="D", "Dark")</f>
        <v>Light</v>
      </c>
      <c r="P55" t="str">
        <f>_xlfn.XLOOKUP(Orders[[#This Row],[Customer ID]], customers!$A$2:$A$1001, customers!$I$2:$I$1001, 0)</f>
        <v>No</v>
      </c>
    </row>
    <row r="56" spans="1:16" x14ac:dyDescent="0.35">
      <c r="A56" s="2" t="s">
        <v>794</v>
      </c>
      <c r="B56" s="3">
        <v>44271</v>
      </c>
      <c r="C56" s="2" t="s">
        <v>795</v>
      </c>
      <c r="D56" t="s">
        <v>6162</v>
      </c>
      <c r="E56" s="2">
        <v>5</v>
      </c>
      <c r="F56" s="2" t="str" cm="1">
        <f t="array" ref="F56">_xlfn.XLOOKUP(C56, customers!$A$1:A1055, customers!$B$1:B1055, 0)</f>
        <v>Archambault Gillard</v>
      </c>
      <c r="G56" s="2" t="str">
        <f>IF(_xlfn.XLOOKUP(C56, customers!A55:A1055, customers!C55:C1055, 0)=0, "", _xlfn.XLOOKUP(C56, customers!A55:A1055, customers!C55:C1055, 0))</f>
        <v>agillard1i@issuu.com</v>
      </c>
      <c r="H56" s="2" t="str" cm="1">
        <f t="array" ref="H56">_xlfn.XLOOKUP(C56, customers!$A$1:A1055, customers!$G$1:G1055,, 0)</f>
        <v>United States</v>
      </c>
      <c r="I56" t="str" cm="1">
        <f t="array" ref="I56">_xlfn.XLOOKUP(orders!D56, products!$A$1:A103, products!$B$1:B103, 0)</f>
        <v>Lib</v>
      </c>
      <c r="J56" t="str" cm="1">
        <f t="array" ref="J56">_xlfn.XLOOKUP(D56, products!$A$1:A103, products!$C$1:C103, 0)</f>
        <v>M</v>
      </c>
      <c r="K56" s="4" cm="1">
        <f t="array" ref="K56">_xlfn.XLOOKUP(D56, products!$A$1:A103, products!$D$1:D103, 0)</f>
        <v>1</v>
      </c>
      <c r="L56" s="4" cm="1">
        <f t="array" ref="L56">_xlfn.XLOOKUP(D56, products!$A$1:A103, products!$E$1:E103)</f>
        <v>14.55</v>
      </c>
      <c r="M56">
        <f t="shared" si="0"/>
        <v>72.75</v>
      </c>
      <c r="N56" t="str">
        <f t="shared" si="1"/>
        <v>Liberica</v>
      </c>
      <c r="O56" t="str" cm="1">
        <f t="array" ref="O56">_xlfn.IFS(J56="M", "Medium", J56="L", "Light", J56="D", "Dark")</f>
        <v>Medium</v>
      </c>
      <c r="P56" t="str">
        <f>_xlfn.XLOOKUP(Orders[[#This Row],[Customer ID]], customers!$A$2:$A$1001, customers!$I$2:$I$1001, 0)</f>
        <v>No</v>
      </c>
    </row>
    <row r="57" spans="1:16" x14ac:dyDescent="0.35">
      <c r="A57" s="2" t="s">
        <v>800</v>
      </c>
      <c r="B57" s="3">
        <v>44168</v>
      </c>
      <c r="C57" s="2" t="s">
        <v>801</v>
      </c>
      <c r="D57" t="s">
        <v>6170</v>
      </c>
      <c r="E57" s="2">
        <v>3</v>
      </c>
      <c r="F57" s="2" t="str" cm="1">
        <f t="array" ref="F57">_xlfn.XLOOKUP(C57, customers!$A$1:A1056, customers!$B$1:B1056, 0)</f>
        <v>Salomo Cushworth</v>
      </c>
      <c r="G57" s="2" t="str">
        <f>IF(_xlfn.XLOOKUP(C57, customers!A56:A1056, customers!C56:C1056, 0)=0, "", _xlfn.XLOOKUP(C57, customers!A56:A1056, customers!C56:C1056, 0))</f>
        <v/>
      </c>
      <c r="H57" s="2" t="str" cm="1">
        <f t="array" ref="H57">_xlfn.XLOOKUP(C57, customers!$A$1:A1056, customers!$G$1:G1056,, 0)</f>
        <v>United States</v>
      </c>
      <c r="I57" t="str" cm="1">
        <f t="array" ref="I57">_xlfn.XLOOKUP(orders!D57, products!$A$1:A104, products!$B$1:B104, 0)</f>
        <v>Lib</v>
      </c>
      <c r="J57" t="str" cm="1">
        <f t="array" ref="J57">_xlfn.XLOOKUP(D57, products!$A$1:A104, products!$C$1:C104, 0)</f>
        <v>L</v>
      </c>
      <c r="K57" s="4" cm="1">
        <f t="array" ref="K57">_xlfn.XLOOKUP(D57, products!$A$1:A104, products!$D$1:D104, 0)</f>
        <v>1</v>
      </c>
      <c r="L57" s="4" cm="1">
        <f t="array" ref="L57">_xlfn.XLOOKUP(D57, products!$A$1:A104, products!$E$1:E104)</f>
        <v>15.85</v>
      </c>
      <c r="M57">
        <f t="shared" si="0"/>
        <v>47.55</v>
      </c>
      <c r="N57" t="str">
        <f t="shared" si="1"/>
        <v>Liberica</v>
      </c>
      <c r="O57" t="str" cm="1">
        <f t="array" ref="O57">_xlfn.IFS(J57="M", "Medium", J57="L", "Light", J57="D", "Dark")</f>
        <v>Light</v>
      </c>
      <c r="P57" t="str">
        <f>_xlfn.XLOOKUP(Orders[[#This Row],[Customer ID]], customers!$A$2:$A$1001, customers!$I$2:$I$1001, 0)</f>
        <v>No</v>
      </c>
    </row>
    <row r="58" spans="1:16" x14ac:dyDescent="0.35">
      <c r="A58" s="2" t="s">
        <v>805</v>
      </c>
      <c r="B58" s="3">
        <v>43857</v>
      </c>
      <c r="C58" s="2" t="s">
        <v>806</v>
      </c>
      <c r="D58" t="s">
        <v>6153</v>
      </c>
      <c r="E58" s="2">
        <v>3</v>
      </c>
      <c r="F58" s="2" t="str" cm="1">
        <f t="array" ref="F58">_xlfn.XLOOKUP(C58, customers!$A$1:A1057, customers!$B$1:B1057, 0)</f>
        <v>Theda Grizard</v>
      </c>
      <c r="G58" s="2" t="str">
        <f>IF(_xlfn.XLOOKUP(C58, customers!A57:A1057, customers!C57:C1057, 0)=0, "", _xlfn.XLOOKUP(C58, customers!A57:A1057, customers!C57:C1057, 0))</f>
        <v>tgrizard1k@odnoklassniki.ru</v>
      </c>
      <c r="H58" s="2" t="str" cm="1">
        <f t="array" ref="H58">_xlfn.XLOOKUP(C58, customers!$A$1:A1057, customers!$G$1:G1057,, 0)</f>
        <v>United States</v>
      </c>
      <c r="I58" t="str" cm="1">
        <f t="array" ref="I58">_xlfn.XLOOKUP(orders!D58, products!$A$1:A105, products!$B$1:B105, 0)</f>
        <v>Exc</v>
      </c>
      <c r="J58" t="str" cm="1">
        <f t="array" ref="J58">_xlfn.XLOOKUP(D58, products!$A$1:A105, products!$C$1:C105, 0)</f>
        <v>D</v>
      </c>
      <c r="K58" s="4" cm="1">
        <f t="array" ref="K58">_xlfn.XLOOKUP(D58, products!$A$1:A105, products!$D$1:D105, 0)</f>
        <v>0.2</v>
      </c>
      <c r="L58" s="4" cm="1">
        <f t="array" ref="L58">_xlfn.XLOOKUP(D58, products!$A$1:A105, products!$E$1:E105)</f>
        <v>3.645</v>
      </c>
      <c r="M58">
        <f t="shared" si="0"/>
        <v>10.935</v>
      </c>
      <c r="N58" t="str">
        <f t="shared" si="1"/>
        <v>Excelsa</v>
      </c>
      <c r="O58" t="str" cm="1">
        <f t="array" ref="O58">_xlfn.IFS(J58="M", "Medium", J58="L", "Light", J58="D", "Dark")</f>
        <v>Dark</v>
      </c>
      <c r="P58" t="str">
        <f>_xlfn.XLOOKUP(Orders[[#This Row],[Customer ID]], customers!$A$2:$A$1001, customers!$I$2:$I$1001, 0)</f>
        <v>Yes</v>
      </c>
    </row>
    <row r="59" spans="1:16" x14ac:dyDescent="0.35">
      <c r="A59" s="2" t="s">
        <v>811</v>
      </c>
      <c r="B59" s="3">
        <v>44759</v>
      </c>
      <c r="C59" s="2" t="s">
        <v>812</v>
      </c>
      <c r="D59" t="s">
        <v>6171</v>
      </c>
      <c r="E59" s="2">
        <v>4</v>
      </c>
      <c r="F59" s="2" t="str" cm="1">
        <f t="array" ref="F59">_xlfn.XLOOKUP(C59, customers!$A$1:A1058, customers!$B$1:B1058, 0)</f>
        <v>Rozele Relton</v>
      </c>
      <c r="G59" s="2" t="str">
        <f>IF(_xlfn.XLOOKUP(C59, customers!A58:A1058, customers!C58:C1058, 0)=0, "", _xlfn.XLOOKUP(C59, customers!A58:A1058, customers!C58:C1058, 0))</f>
        <v>rrelton1l@stanford.edu</v>
      </c>
      <c r="H59" s="2" t="str" cm="1">
        <f t="array" ref="H59">_xlfn.XLOOKUP(C59, customers!$A$1:A1058, customers!$G$1:G1058,, 0)</f>
        <v>United States</v>
      </c>
      <c r="I59" t="str" cm="1">
        <f t="array" ref="I59">_xlfn.XLOOKUP(orders!D59, products!$A$1:A106, products!$B$1:B106, 0)</f>
        <v>Exc</v>
      </c>
      <c r="J59" t="str" cm="1">
        <f t="array" ref="J59">_xlfn.XLOOKUP(D59, products!$A$1:A106, products!$C$1:C106, 0)</f>
        <v>L</v>
      </c>
      <c r="K59" s="4" cm="1">
        <f t="array" ref="K59">_xlfn.XLOOKUP(D59, products!$A$1:A106, products!$D$1:D106, 0)</f>
        <v>1</v>
      </c>
      <c r="L59" s="4" cm="1">
        <f t="array" ref="L59">_xlfn.XLOOKUP(D59, products!$A$1:A106, products!$E$1:E106)</f>
        <v>14.85</v>
      </c>
      <c r="M59">
        <f t="shared" si="0"/>
        <v>59.4</v>
      </c>
      <c r="N59" t="str">
        <f t="shared" si="1"/>
        <v>Excelsa</v>
      </c>
      <c r="O59" t="str" cm="1">
        <f t="array" ref="O59">_xlfn.IFS(J59="M", "Medium", J59="L", "Light", J59="D", "Dark")</f>
        <v>Light</v>
      </c>
      <c r="P59" t="str">
        <f>_xlfn.XLOOKUP(Orders[[#This Row],[Customer ID]], customers!$A$2:$A$1001, customers!$I$2:$I$1001, 0)</f>
        <v>No</v>
      </c>
    </row>
    <row r="60" spans="1:16" x14ac:dyDescent="0.35">
      <c r="A60" s="2" t="s">
        <v>817</v>
      </c>
      <c r="B60" s="3">
        <v>44624</v>
      </c>
      <c r="C60" s="2" t="s">
        <v>818</v>
      </c>
      <c r="D60" t="s">
        <v>6165</v>
      </c>
      <c r="E60" s="2">
        <v>3</v>
      </c>
      <c r="F60" s="2" t="str" cm="1">
        <f t="array" ref="F60">_xlfn.XLOOKUP(C60, customers!$A$1:A1059, customers!$B$1:B1059, 0)</f>
        <v>Willa Rolling</v>
      </c>
      <c r="G60" s="2" t="str">
        <f>IF(_xlfn.XLOOKUP(C60, customers!A59:A1059, customers!C59:C1059, 0)=0, "", _xlfn.XLOOKUP(C60, customers!A59:A1059, customers!C59:C1059, 0))</f>
        <v/>
      </c>
      <c r="H60" s="2" t="str" cm="1">
        <f t="array" ref="H60">_xlfn.XLOOKUP(C60, customers!$A$1:A1059, customers!$G$1:G1059,, 0)</f>
        <v>United States</v>
      </c>
      <c r="I60" t="str" cm="1">
        <f t="array" ref="I60">_xlfn.XLOOKUP(orders!D60, products!$A$1:A107, products!$B$1:B107, 0)</f>
        <v>Lib</v>
      </c>
      <c r="J60" t="str" cm="1">
        <f t="array" ref="J60">_xlfn.XLOOKUP(D60, products!$A$1:A107, products!$C$1:C107, 0)</f>
        <v>D</v>
      </c>
      <c r="K60" s="4" cm="1">
        <f t="array" ref="K60">_xlfn.XLOOKUP(D60, products!$A$1:A107, products!$D$1:D107, 0)</f>
        <v>2.5</v>
      </c>
      <c r="L60" s="4" cm="1">
        <f t="array" ref="L60">_xlfn.XLOOKUP(D60, products!$A$1:A107, products!$E$1:E107)</f>
        <v>29.784999999999997</v>
      </c>
      <c r="M60">
        <f t="shared" si="0"/>
        <v>89.35499999999999</v>
      </c>
      <c r="N60" t="str">
        <f t="shared" si="1"/>
        <v>Liberica</v>
      </c>
      <c r="O60" t="str" cm="1">
        <f t="array" ref="O60">_xlfn.IFS(J60="M", "Medium", J60="L", "Light", J60="D", "Dark")</f>
        <v>Dark</v>
      </c>
      <c r="P60" t="str">
        <f>_xlfn.XLOOKUP(Orders[[#This Row],[Customer ID]], customers!$A$2:$A$1001, customers!$I$2:$I$1001, 0)</f>
        <v>Yes</v>
      </c>
    </row>
    <row r="61" spans="1:16" x14ac:dyDescent="0.35">
      <c r="A61" s="2" t="s">
        <v>822</v>
      </c>
      <c r="B61" s="3">
        <v>44537</v>
      </c>
      <c r="C61" s="2" t="s">
        <v>823</v>
      </c>
      <c r="D61" t="s">
        <v>6160</v>
      </c>
      <c r="E61" s="2">
        <v>3</v>
      </c>
      <c r="F61" s="2" t="str" cm="1">
        <f t="array" ref="F61">_xlfn.XLOOKUP(C61, customers!$A$1:A1060, customers!$B$1:B1060, 0)</f>
        <v>Stanislaus Gilroy</v>
      </c>
      <c r="G61" s="2" t="str">
        <f>IF(_xlfn.XLOOKUP(C61, customers!A60:A1060, customers!C60:C1060, 0)=0, "", _xlfn.XLOOKUP(C61, customers!A60:A1060, customers!C60:C1060, 0))</f>
        <v>sgilroy1n@eepurl.com</v>
      </c>
      <c r="H61" s="2" t="str" cm="1">
        <f t="array" ref="H61">_xlfn.XLOOKUP(C61, customers!$A$1:A1060, customers!$G$1:G1060,, 0)</f>
        <v>United States</v>
      </c>
      <c r="I61" t="str" cm="1">
        <f t="array" ref="I61">_xlfn.XLOOKUP(orders!D61, products!$A$1:A108, products!$B$1:B108, 0)</f>
        <v>Lib</v>
      </c>
      <c r="J61" t="str" cm="1">
        <f t="array" ref="J61">_xlfn.XLOOKUP(D61, products!$A$1:A108, products!$C$1:C108, 0)</f>
        <v>M</v>
      </c>
      <c r="K61" s="4" cm="1">
        <f t="array" ref="K61">_xlfn.XLOOKUP(D61, products!$A$1:A108, products!$D$1:D108, 0)</f>
        <v>0.5</v>
      </c>
      <c r="L61" s="4" cm="1">
        <f t="array" ref="L61">_xlfn.XLOOKUP(D61, products!$A$1:A108, products!$E$1:E108)</f>
        <v>8.73</v>
      </c>
      <c r="M61">
        <f t="shared" si="0"/>
        <v>26.19</v>
      </c>
      <c r="N61" t="str">
        <f t="shared" si="1"/>
        <v>Liberica</v>
      </c>
      <c r="O61" t="str" cm="1">
        <f t="array" ref="O61">_xlfn.IFS(J61="M", "Medium", J61="L", "Light", J61="D", "Dark")</f>
        <v>Medium</v>
      </c>
      <c r="P61" t="str">
        <f>_xlfn.XLOOKUP(Orders[[#This Row],[Customer ID]], customers!$A$2:$A$1001, customers!$I$2:$I$1001, 0)</f>
        <v>Yes</v>
      </c>
    </row>
    <row r="62" spans="1:16" x14ac:dyDescent="0.35">
      <c r="A62" s="2" t="s">
        <v>827</v>
      </c>
      <c r="B62" s="3">
        <v>44252</v>
      </c>
      <c r="C62" s="2" t="s">
        <v>828</v>
      </c>
      <c r="D62" t="s">
        <v>6168</v>
      </c>
      <c r="E62" s="2">
        <v>5</v>
      </c>
      <c r="F62" s="2" t="str" cm="1">
        <f t="array" ref="F62">_xlfn.XLOOKUP(C62, customers!$A$1:A1061, customers!$B$1:B1061, 0)</f>
        <v>Correy Cottingham</v>
      </c>
      <c r="G62" s="2" t="str">
        <f>IF(_xlfn.XLOOKUP(C62, customers!A61:A1061, customers!C61:C1061, 0)=0, "", _xlfn.XLOOKUP(C62, customers!A61:A1061, customers!C61:C1061, 0))</f>
        <v>ccottingham1o@wikipedia.org</v>
      </c>
      <c r="H62" s="2" t="str" cm="1">
        <f t="array" ref="H62">_xlfn.XLOOKUP(C62, customers!$A$1:A1061, customers!$G$1:G1061,, 0)</f>
        <v>United States</v>
      </c>
      <c r="I62" t="str" cm="1">
        <f t="array" ref="I62">_xlfn.XLOOKUP(orders!D62, products!$A$1:A109, products!$B$1:B109, 0)</f>
        <v>Ara</v>
      </c>
      <c r="J62" t="str" cm="1">
        <f t="array" ref="J62">_xlfn.XLOOKUP(D62, products!$A$1:A109, products!$C$1:C109, 0)</f>
        <v>D</v>
      </c>
      <c r="K62" s="4" cm="1">
        <f t="array" ref="K62">_xlfn.XLOOKUP(D62, products!$A$1:A109, products!$D$1:D109, 0)</f>
        <v>2.5</v>
      </c>
      <c r="L62" s="4" cm="1">
        <f t="array" ref="L62">_xlfn.XLOOKUP(D62, products!$A$1:A109, products!$E$1:E109)</f>
        <v>22.884999999999998</v>
      </c>
      <c r="M62">
        <f t="shared" si="0"/>
        <v>114.42499999999998</v>
      </c>
      <c r="N62" t="str">
        <f t="shared" si="1"/>
        <v>Arabica</v>
      </c>
      <c r="O62" t="str" cm="1">
        <f t="array" ref="O62">_xlfn.IFS(J62="M", "Medium", J62="L", "Light", J62="D", "Dark")</f>
        <v>Dark</v>
      </c>
      <c r="P62" t="str">
        <f>_xlfn.XLOOKUP(Orders[[#This Row],[Customer ID]], customers!$A$2:$A$1001, customers!$I$2:$I$1001, 0)</f>
        <v>No</v>
      </c>
    </row>
    <row r="63" spans="1:16" x14ac:dyDescent="0.35">
      <c r="A63" s="2" t="s">
        <v>833</v>
      </c>
      <c r="B63" s="3">
        <v>43521</v>
      </c>
      <c r="C63" s="2" t="s">
        <v>834</v>
      </c>
      <c r="D63" t="s">
        <v>6172</v>
      </c>
      <c r="E63" s="2">
        <v>5</v>
      </c>
      <c r="F63" s="2" t="str" cm="1">
        <f t="array" ref="F63">_xlfn.XLOOKUP(C63, customers!$A$1:A1062, customers!$B$1:B1062, 0)</f>
        <v>Pammi Endacott</v>
      </c>
      <c r="G63" s="2" t="str">
        <f>IF(_xlfn.XLOOKUP(C63, customers!A62:A1062, customers!C62:C1062, 0)=0, "", _xlfn.XLOOKUP(C63, customers!A62:A1062, customers!C62:C1062, 0))</f>
        <v/>
      </c>
      <c r="H63" s="2" t="str" cm="1">
        <f t="array" ref="H63">_xlfn.XLOOKUP(C63, customers!$A$1:A1062, customers!$G$1:G1062,, 0)</f>
        <v>United Kingdom</v>
      </c>
      <c r="I63" t="str" cm="1">
        <f t="array" ref="I63">_xlfn.XLOOKUP(orders!D63, products!$A$1:A110, products!$B$1:B110, 0)</f>
        <v>Rob</v>
      </c>
      <c r="J63" t="str" cm="1">
        <f t="array" ref="J63">_xlfn.XLOOKUP(D63, products!$A$1:A110, products!$C$1:C110, 0)</f>
        <v>D</v>
      </c>
      <c r="K63" s="4" cm="1">
        <f t="array" ref="K63">_xlfn.XLOOKUP(D63, products!$A$1:A110, products!$D$1:D110, 0)</f>
        <v>0.5</v>
      </c>
      <c r="L63" s="4" cm="1">
        <f t="array" ref="L63">_xlfn.XLOOKUP(D63, products!$A$1:A110, products!$E$1:E110)</f>
        <v>5.3699999999999992</v>
      </c>
      <c r="M63">
        <f t="shared" si="0"/>
        <v>26.849999999999994</v>
      </c>
      <c r="N63" t="str">
        <f t="shared" si="1"/>
        <v>Robusta</v>
      </c>
      <c r="O63" t="str" cm="1">
        <f t="array" ref="O63">_xlfn.IFS(J63="M", "Medium", J63="L", "Light", J63="D", "Dark")</f>
        <v>Dark</v>
      </c>
      <c r="P63" t="str">
        <f>_xlfn.XLOOKUP(Orders[[#This Row],[Customer ID]], customers!$A$2:$A$1001, customers!$I$2:$I$1001, 0)</f>
        <v>Yes</v>
      </c>
    </row>
    <row r="64" spans="1:16" x14ac:dyDescent="0.35">
      <c r="A64" s="2" t="s">
        <v>838</v>
      </c>
      <c r="B64" s="3">
        <v>43505</v>
      </c>
      <c r="C64" s="2" t="s">
        <v>839</v>
      </c>
      <c r="D64" t="s">
        <v>6145</v>
      </c>
      <c r="E64" s="2">
        <v>5</v>
      </c>
      <c r="F64" s="2" t="str" cm="1">
        <f t="array" ref="F64">_xlfn.XLOOKUP(C64, customers!$A$1:A1063, customers!$B$1:B1063, 0)</f>
        <v>Nona Linklater</v>
      </c>
      <c r="G64" s="2" t="str">
        <f>IF(_xlfn.XLOOKUP(C64, customers!A63:A1063, customers!C63:C1063, 0)=0, "", _xlfn.XLOOKUP(C64, customers!A63:A1063, customers!C63:C1063, 0))</f>
        <v/>
      </c>
      <c r="H64" s="2" t="str" cm="1">
        <f t="array" ref="H64">_xlfn.XLOOKUP(C64, customers!$A$1:A1063, customers!$G$1:G1063,, 0)</f>
        <v>United States</v>
      </c>
      <c r="I64" t="str" cm="1">
        <f t="array" ref="I64">_xlfn.XLOOKUP(orders!D64, products!$A$1:A111, products!$B$1:B111, 0)</f>
        <v>Lib</v>
      </c>
      <c r="J64" t="str" cm="1">
        <f t="array" ref="J64">_xlfn.XLOOKUP(D64, products!$A$1:A111, products!$C$1:C111, 0)</f>
        <v>L</v>
      </c>
      <c r="K64" s="4" cm="1">
        <f t="array" ref="K64">_xlfn.XLOOKUP(D64, products!$A$1:A111, products!$D$1:D111, 0)</f>
        <v>0.2</v>
      </c>
      <c r="L64" s="4" cm="1">
        <f t="array" ref="L64">_xlfn.XLOOKUP(D64, products!$A$1:A111, products!$E$1:E111)</f>
        <v>4.7549999999999999</v>
      </c>
      <c r="M64">
        <f t="shared" si="0"/>
        <v>23.774999999999999</v>
      </c>
      <c r="N64" t="str">
        <f t="shared" si="1"/>
        <v>Liberica</v>
      </c>
      <c r="O64" t="str" cm="1">
        <f t="array" ref="O64">_xlfn.IFS(J64="M", "Medium", J64="L", "Light", J64="D", "Dark")</f>
        <v>Light</v>
      </c>
      <c r="P64" t="str">
        <f>_xlfn.XLOOKUP(Orders[[#This Row],[Customer ID]], customers!$A$2:$A$1001, customers!$I$2:$I$1001, 0)</f>
        <v>Yes</v>
      </c>
    </row>
    <row r="65" spans="1:16" x14ac:dyDescent="0.35">
      <c r="A65" s="2" t="s">
        <v>843</v>
      </c>
      <c r="B65" s="3">
        <v>43868</v>
      </c>
      <c r="C65" s="2" t="s">
        <v>844</v>
      </c>
      <c r="D65" t="s">
        <v>6157</v>
      </c>
      <c r="E65" s="2">
        <v>1</v>
      </c>
      <c r="F65" s="2" t="str" cm="1">
        <f t="array" ref="F65">_xlfn.XLOOKUP(C65, customers!$A$1:A1064, customers!$B$1:B1064, 0)</f>
        <v>Annadiane Dykes</v>
      </c>
      <c r="G65" s="2" t="str">
        <f>IF(_xlfn.XLOOKUP(C65, customers!A64:A1064, customers!C64:C1064, 0)=0, "", _xlfn.XLOOKUP(C65, customers!A64:A1064, customers!C64:C1064, 0))</f>
        <v>adykes1r@eventbrite.com</v>
      </c>
      <c r="H65" s="2" t="str" cm="1">
        <f t="array" ref="H65">_xlfn.XLOOKUP(C65, customers!$A$1:A1064, customers!$G$1:G1064,, 0)</f>
        <v>United States</v>
      </c>
      <c r="I65" t="str" cm="1">
        <f t="array" ref="I65">_xlfn.XLOOKUP(orders!D65, products!$A$1:A112, products!$B$1:B112, 0)</f>
        <v>Ara</v>
      </c>
      <c r="J65" t="str" cm="1">
        <f t="array" ref="J65">_xlfn.XLOOKUP(D65, products!$A$1:A112, products!$C$1:C112, 0)</f>
        <v>M</v>
      </c>
      <c r="K65" s="4" cm="1">
        <f t="array" ref="K65">_xlfn.XLOOKUP(D65, products!$A$1:A112, products!$D$1:D112, 0)</f>
        <v>0.5</v>
      </c>
      <c r="L65" s="4" cm="1">
        <f t="array" ref="L65">_xlfn.XLOOKUP(D65, products!$A$1:A112, products!$E$1:E112)</f>
        <v>6.75</v>
      </c>
      <c r="M65">
        <f t="shared" si="0"/>
        <v>6.75</v>
      </c>
      <c r="N65" t="str">
        <f t="shared" si="1"/>
        <v>Arabica</v>
      </c>
      <c r="O65" t="str" cm="1">
        <f t="array" ref="O65">_xlfn.IFS(J65="M", "Medium", J65="L", "Light", J65="D", "Dark")</f>
        <v>Medium</v>
      </c>
      <c r="P65" t="str">
        <f>_xlfn.XLOOKUP(Orders[[#This Row],[Customer ID]], customers!$A$2:$A$1001, customers!$I$2:$I$1001, 0)</f>
        <v>No</v>
      </c>
    </row>
    <row r="66" spans="1:16" x14ac:dyDescent="0.35">
      <c r="A66" s="2" t="s">
        <v>849</v>
      </c>
      <c r="B66" s="3">
        <v>43913</v>
      </c>
      <c r="C66" s="2" t="s">
        <v>850</v>
      </c>
      <c r="D66" t="s">
        <v>6146</v>
      </c>
      <c r="E66" s="2">
        <v>6</v>
      </c>
      <c r="F66" s="2" t="str" cm="1">
        <f t="array" ref="F66">_xlfn.XLOOKUP(C66, customers!$A$1:A1065, customers!$B$1:B1065, 0)</f>
        <v>Felecia Dodgson</v>
      </c>
      <c r="G66" s="2" t="str">
        <f>IF(_xlfn.XLOOKUP(C66, customers!A65:A1065, customers!C65:C1065, 0)=0, "", _xlfn.XLOOKUP(C66, customers!A65:A1065, customers!C65:C1065, 0))</f>
        <v/>
      </c>
      <c r="H66" s="2" t="str" cm="1">
        <f t="array" ref="H66">_xlfn.XLOOKUP(C66, customers!$A$1:A1065, customers!$G$1:G1065,, 0)</f>
        <v>United States</v>
      </c>
      <c r="I66" t="str" cm="1">
        <f t="array" ref="I66">_xlfn.XLOOKUP(orders!D66, products!$A$1:A113, products!$B$1:B113, 0)</f>
        <v>Rob</v>
      </c>
      <c r="J66" t="str" cm="1">
        <f t="array" ref="J66">_xlfn.XLOOKUP(D66, products!$A$1:A113, products!$C$1:C113, 0)</f>
        <v>M</v>
      </c>
      <c r="K66" s="4" cm="1">
        <f t="array" ref="K66">_xlfn.XLOOKUP(D66, products!$A$1:A113, products!$D$1:D113, 0)</f>
        <v>0.5</v>
      </c>
      <c r="L66" s="4" cm="1">
        <f t="array" ref="L66">_xlfn.XLOOKUP(D66, products!$A$1:A113, products!$E$1:E113)</f>
        <v>5.97</v>
      </c>
      <c r="M66">
        <f t="shared" si="0"/>
        <v>35.82</v>
      </c>
      <c r="N66" t="str">
        <f t="shared" si="1"/>
        <v>Robusta</v>
      </c>
      <c r="O66" t="str" cm="1">
        <f t="array" ref="O66">_xlfn.IFS(J66="M", "Medium", J66="L", "Light", J66="D", "Dark")</f>
        <v>Medium</v>
      </c>
      <c r="P66" t="str">
        <f>_xlfn.XLOOKUP(Orders[[#This Row],[Customer ID]], customers!$A$2:$A$1001, customers!$I$2:$I$1001, 0)</f>
        <v>Yes</v>
      </c>
    </row>
    <row r="67" spans="1:16" x14ac:dyDescent="0.35">
      <c r="A67" s="2" t="s">
        <v>854</v>
      </c>
      <c r="B67" s="3">
        <v>44626</v>
      </c>
      <c r="C67" s="2" t="s">
        <v>855</v>
      </c>
      <c r="D67" t="s">
        <v>6149</v>
      </c>
      <c r="E67" s="2">
        <v>4</v>
      </c>
      <c r="F67" s="2" t="str" cm="1">
        <f t="array" ref="F67">_xlfn.XLOOKUP(C67, customers!$A$1:A1066, customers!$B$1:B1066, 0)</f>
        <v>Angelia Cockrem</v>
      </c>
      <c r="G67" s="2" t="str">
        <f>IF(_xlfn.XLOOKUP(C67, customers!A66:A1066, customers!C66:C1066, 0)=0, "", _xlfn.XLOOKUP(C67, customers!A66:A1066, customers!C66:C1066, 0))</f>
        <v>acockrem1t@engadget.com</v>
      </c>
      <c r="H67" s="2" t="str" cm="1">
        <f t="array" ref="H67">_xlfn.XLOOKUP(C67, customers!$A$1:A1066, customers!$G$1:G1066,, 0)</f>
        <v>United States</v>
      </c>
      <c r="I67" t="str" cm="1">
        <f t="array" ref="I67">_xlfn.XLOOKUP(orders!D67, products!$A$1:A114, products!$B$1:B114, 0)</f>
        <v>Rob</v>
      </c>
      <c r="J67" t="str" cm="1">
        <f t="array" ref="J67">_xlfn.XLOOKUP(D67, products!$A$1:A114, products!$C$1:C114, 0)</f>
        <v>D</v>
      </c>
      <c r="K67" s="4" cm="1">
        <f t="array" ref="K67">_xlfn.XLOOKUP(D67, products!$A$1:A114, products!$D$1:D114, 0)</f>
        <v>2.5</v>
      </c>
      <c r="L67" s="4" cm="1">
        <f t="array" ref="L67">_xlfn.XLOOKUP(D67, products!$A$1:A114, products!$E$1:E114)</f>
        <v>20.584999999999997</v>
      </c>
      <c r="M67">
        <f t="shared" ref="M67:M130" si="2">L67*E67</f>
        <v>82.339999999999989</v>
      </c>
      <c r="N67" t="str">
        <f t="shared" ref="N67:N130" si="3">IF(I67="Rob", "Robusta", IF(I67="Exc", "Excelsa", IF(I67="Ara", "Arabica", IF(I67="Lib", "Liberica", ""))))</f>
        <v>Robusta</v>
      </c>
      <c r="O67" t="str" cm="1">
        <f t="array" ref="O67">_xlfn.IFS(J67="M", "Medium", J67="L", "Light", J67="D", "Dark")</f>
        <v>Dark</v>
      </c>
      <c r="P67" t="str">
        <f>_xlfn.XLOOKUP(Orders[[#This Row],[Customer ID]], customers!$A$2:$A$1001, customers!$I$2:$I$1001, 0)</f>
        <v>Yes</v>
      </c>
    </row>
    <row r="68" spans="1:16" x14ac:dyDescent="0.35">
      <c r="A68" s="2" t="s">
        <v>860</v>
      </c>
      <c r="B68" s="3">
        <v>44666</v>
      </c>
      <c r="C68" s="2" t="s">
        <v>861</v>
      </c>
      <c r="D68" t="s">
        <v>6173</v>
      </c>
      <c r="E68" s="2">
        <v>1</v>
      </c>
      <c r="F68" s="2" t="str" cm="1">
        <f t="array" ref="F68">_xlfn.XLOOKUP(C68, customers!$A$1:A1067, customers!$B$1:B1067, 0)</f>
        <v>Belvia Umpleby</v>
      </c>
      <c r="G68" s="2" t="str">
        <f>IF(_xlfn.XLOOKUP(C68, customers!A67:A1067, customers!C67:C1067, 0)=0, "", _xlfn.XLOOKUP(C68, customers!A67:A1067, customers!C67:C1067, 0))</f>
        <v>bumpleby1u@soundcloud.com</v>
      </c>
      <c r="H68" s="2" t="str" cm="1">
        <f t="array" ref="H68">_xlfn.XLOOKUP(C68, customers!$A$1:A1067, customers!$G$1:G1067,, 0)</f>
        <v>United States</v>
      </c>
      <c r="I68" t="str" cm="1">
        <f t="array" ref="I68">_xlfn.XLOOKUP(orders!D68, products!$A$1:A115, products!$B$1:B115, 0)</f>
        <v>Rob</v>
      </c>
      <c r="J68" t="str" cm="1">
        <f t="array" ref="J68">_xlfn.XLOOKUP(D68, products!$A$1:A115, products!$C$1:C115, 0)</f>
        <v>L</v>
      </c>
      <c r="K68" s="4" cm="1">
        <f t="array" ref="K68">_xlfn.XLOOKUP(D68, products!$A$1:A115, products!$D$1:D115, 0)</f>
        <v>0.5</v>
      </c>
      <c r="L68" s="4" cm="1">
        <f t="array" ref="L68">_xlfn.XLOOKUP(D68, products!$A$1:A115, products!$E$1:E115)</f>
        <v>7.169999999999999</v>
      </c>
      <c r="M68">
        <f t="shared" si="2"/>
        <v>7.169999999999999</v>
      </c>
      <c r="N68" t="str">
        <f t="shared" si="3"/>
        <v>Robusta</v>
      </c>
      <c r="O68" t="str" cm="1">
        <f t="array" ref="O68">_xlfn.IFS(J68="M", "Medium", J68="L", "Light", J68="D", "Dark")</f>
        <v>Light</v>
      </c>
      <c r="P68" t="str">
        <f>_xlfn.XLOOKUP(Orders[[#This Row],[Customer ID]], customers!$A$2:$A$1001, customers!$I$2:$I$1001, 0)</f>
        <v>Yes</v>
      </c>
    </row>
    <row r="69" spans="1:16" x14ac:dyDescent="0.35">
      <c r="A69" s="2" t="s">
        <v>866</v>
      </c>
      <c r="B69" s="3">
        <v>44519</v>
      </c>
      <c r="C69" s="2" t="s">
        <v>867</v>
      </c>
      <c r="D69" t="s">
        <v>6145</v>
      </c>
      <c r="E69" s="2">
        <v>2</v>
      </c>
      <c r="F69" s="2" t="str" cm="1">
        <f t="array" ref="F69">_xlfn.XLOOKUP(C69, customers!$A$1:A1068, customers!$B$1:B1068, 0)</f>
        <v>Nat Saleway</v>
      </c>
      <c r="G69" s="2" t="str">
        <f>IF(_xlfn.XLOOKUP(C69, customers!A68:A1068, customers!C68:C1068, 0)=0, "", _xlfn.XLOOKUP(C69, customers!A68:A1068, customers!C68:C1068, 0))</f>
        <v>nsaleway1v@dedecms.com</v>
      </c>
      <c r="H69" s="2" t="str" cm="1">
        <f t="array" ref="H69">_xlfn.XLOOKUP(C69, customers!$A$1:A1068, customers!$G$1:G1068,, 0)</f>
        <v>United States</v>
      </c>
      <c r="I69" t="str" cm="1">
        <f t="array" ref="I69">_xlfn.XLOOKUP(orders!D69, products!$A$1:A116, products!$B$1:B116, 0)</f>
        <v>Lib</v>
      </c>
      <c r="J69" t="str" cm="1">
        <f t="array" ref="J69">_xlfn.XLOOKUP(D69, products!$A$1:A116, products!$C$1:C116, 0)</f>
        <v>L</v>
      </c>
      <c r="K69" s="4" cm="1">
        <f t="array" ref="K69">_xlfn.XLOOKUP(D69, products!$A$1:A116, products!$D$1:D116, 0)</f>
        <v>0.2</v>
      </c>
      <c r="L69" s="4" cm="1">
        <f t="array" ref="L69">_xlfn.XLOOKUP(D69, products!$A$1:A116, products!$E$1:E116)</f>
        <v>4.7549999999999999</v>
      </c>
      <c r="M69">
        <f t="shared" si="2"/>
        <v>9.51</v>
      </c>
      <c r="N69" t="str">
        <f t="shared" si="3"/>
        <v>Liberica</v>
      </c>
      <c r="O69" t="str" cm="1">
        <f t="array" ref="O69">_xlfn.IFS(J69="M", "Medium", J69="L", "Light", J69="D", "Dark")</f>
        <v>Light</v>
      </c>
      <c r="P69" t="str">
        <f>_xlfn.XLOOKUP(Orders[[#This Row],[Customer ID]], customers!$A$2:$A$1001, customers!$I$2:$I$1001, 0)</f>
        <v>No</v>
      </c>
    </row>
    <row r="70" spans="1:16" x14ac:dyDescent="0.35">
      <c r="A70" s="2" t="s">
        <v>872</v>
      </c>
      <c r="B70" s="3">
        <v>43754</v>
      </c>
      <c r="C70" s="2" t="s">
        <v>873</v>
      </c>
      <c r="D70" t="s">
        <v>6174</v>
      </c>
      <c r="E70" s="2">
        <v>1</v>
      </c>
      <c r="F70" s="2" t="str" cm="1">
        <f t="array" ref="F70">_xlfn.XLOOKUP(C70, customers!$A$1:A1069, customers!$B$1:B1069, 0)</f>
        <v>Hayward Goulter</v>
      </c>
      <c r="G70" s="2" t="str">
        <f>IF(_xlfn.XLOOKUP(C70, customers!A69:A1069, customers!C69:C1069, 0)=0, "", _xlfn.XLOOKUP(C70, customers!A69:A1069, customers!C69:C1069, 0))</f>
        <v>hgoulter1w@abc.net.au</v>
      </c>
      <c r="H70" s="2" t="str" cm="1">
        <f t="array" ref="H70">_xlfn.XLOOKUP(C70, customers!$A$1:A1069, customers!$G$1:G1069,, 0)</f>
        <v>United States</v>
      </c>
      <c r="I70" t="str" cm="1">
        <f t="array" ref="I70">_xlfn.XLOOKUP(orders!D70, products!$A$1:A117, products!$B$1:B117, 0)</f>
        <v>Rob</v>
      </c>
      <c r="J70" t="str" cm="1">
        <f t="array" ref="J70">_xlfn.XLOOKUP(D70, products!$A$1:A117, products!$C$1:C117, 0)</f>
        <v>M</v>
      </c>
      <c r="K70" s="4" cm="1">
        <f t="array" ref="K70">_xlfn.XLOOKUP(D70, products!$A$1:A117, products!$D$1:D117, 0)</f>
        <v>0.2</v>
      </c>
      <c r="L70" s="4" cm="1">
        <f t="array" ref="L70">_xlfn.XLOOKUP(D70, products!$A$1:A117, products!$E$1:E117)</f>
        <v>2.9849999999999999</v>
      </c>
      <c r="M70">
        <f t="shared" si="2"/>
        <v>2.9849999999999999</v>
      </c>
      <c r="N70" t="str">
        <f t="shared" si="3"/>
        <v>Robusta</v>
      </c>
      <c r="O70" t="str" cm="1">
        <f t="array" ref="O70">_xlfn.IFS(J70="M", "Medium", J70="L", "Light", J70="D", "Dark")</f>
        <v>Medium</v>
      </c>
      <c r="P70" t="str">
        <f>_xlfn.XLOOKUP(Orders[[#This Row],[Customer ID]], customers!$A$2:$A$1001, customers!$I$2:$I$1001, 0)</f>
        <v>No</v>
      </c>
    </row>
    <row r="71" spans="1:16" x14ac:dyDescent="0.35">
      <c r="A71" s="2" t="s">
        <v>878</v>
      </c>
      <c r="B71" s="3">
        <v>43795</v>
      </c>
      <c r="C71" s="2" t="s">
        <v>879</v>
      </c>
      <c r="D71" t="s">
        <v>6138</v>
      </c>
      <c r="E71" s="2">
        <v>6</v>
      </c>
      <c r="F71" s="2" t="str" cm="1">
        <f t="array" ref="F71">_xlfn.XLOOKUP(C71, customers!$A$1:A1070, customers!$B$1:B1070, 0)</f>
        <v>Gay Rizzello</v>
      </c>
      <c r="G71" s="2" t="str">
        <f>IF(_xlfn.XLOOKUP(C71, customers!A70:A1070, customers!C70:C1070, 0)=0, "", _xlfn.XLOOKUP(C71, customers!A70:A1070, customers!C70:C1070, 0))</f>
        <v>grizzello1x@symantec.com</v>
      </c>
      <c r="H71" s="2" t="str" cm="1">
        <f t="array" ref="H71">_xlfn.XLOOKUP(C71, customers!$A$1:A1070, customers!$G$1:G1070,, 0)</f>
        <v>United Kingdom</v>
      </c>
      <c r="I71" t="str" cm="1">
        <f t="array" ref="I71">_xlfn.XLOOKUP(orders!D71, products!$A$1:A118, products!$B$1:B118, 0)</f>
        <v>Rob</v>
      </c>
      <c r="J71" t="str" cm="1">
        <f t="array" ref="J71">_xlfn.XLOOKUP(D71, products!$A$1:A118, products!$C$1:C118, 0)</f>
        <v>M</v>
      </c>
      <c r="K71" s="4" cm="1">
        <f t="array" ref="K71">_xlfn.XLOOKUP(D71, products!$A$1:A118, products!$D$1:D118, 0)</f>
        <v>1</v>
      </c>
      <c r="L71" s="4" cm="1">
        <f t="array" ref="L71">_xlfn.XLOOKUP(D71, products!$A$1:A118, products!$E$1:E118)</f>
        <v>9.9499999999999993</v>
      </c>
      <c r="M71">
        <f t="shared" si="2"/>
        <v>59.699999999999996</v>
      </c>
      <c r="N71" t="str">
        <f t="shared" si="3"/>
        <v>Robusta</v>
      </c>
      <c r="O71" t="str" cm="1">
        <f t="array" ref="O71">_xlfn.IFS(J71="M", "Medium", J71="L", "Light", J71="D", "Dark")</f>
        <v>Medium</v>
      </c>
      <c r="P71" t="str">
        <f>_xlfn.XLOOKUP(Orders[[#This Row],[Customer ID]], customers!$A$2:$A$1001, customers!$I$2:$I$1001, 0)</f>
        <v>Yes</v>
      </c>
    </row>
    <row r="72" spans="1:16" x14ac:dyDescent="0.35">
      <c r="A72" s="2" t="s">
        <v>885</v>
      </c>
      <c r="B72" s="3">
        <v>43646</v>
      </c>
      <c r="C72" s="2" t="s">
        <v>886</v>
      </c>
      <c r="D72" t="s">
        <v>6148</v>
      </c>
      <c r="E72" s="2">
        <v>4</v>
      </c>
      <c r="F72" s="2" t="str" cm="1">
        <f t="array" ref="F72">_xlfn.XLOOKUP(C72, customers!$A$1:A1071, customers!$B$1:B1071, 0)</f>
        <v>Shannon List</v>
      </c>
      <c r="G72" s="2" t="str">
        <f>IF(_xlfn.XLOOKUP(C72, customers!A71:A1071, customers!C71:C1071, 0)=0, "", _xlfn.XLOOKUP(C72, customers!A71:A1071, customers!C71:C1071, 0))</f>
        <v>slist1y@mapquest.com</v>
      </c>
      <c r="H72" s="2" t="str" cm="1">
        <f t="array" ref="H72">_xlfn.XLOOKUP(C72, customers!$A$1:A1071, customers!$G$1:G1071,, 0)</f>
        <v>United States</v>
      </c>
      <c r="I72" t="str" cm="1">
        <f t="array" ref="I72">_xlfn.XLOOKUP(orders!D72, products!$A$1:A119, products!$B$1:B119, 0)</f>
        <v>Exc</v>
      </c>
      <c r="J72" t="str" cm="1">
        <f t="array" ref="J72">_xlfn.XLOOKUP(D72, products!$A$1:A119, products!$C$1:C119, 0)</f>
        <v>L</v>
      </c>
      <c r="K72" s="4" cm="1">
        <f t="array" ref="K72">_xlfn.XLOOKUP(D72, products!$A$1:A119, products!$D$1:D119, 0)</f>
        <v>2.5</v>
      </c>
      <c r="L72" s="4" cm="1">
        <f t="array" ref="L72">_xlfn.XLOOKUP(D72, products!$A$1:A119, products!$E$1:E119)</f>
        <v>34.154999999999994</v>
      </c>
      <c r="M72">
        <f t="shared" si="2"/>
        <v>136.61999999999998</v>
      </c>
      <c r="N72" t="str">
        <f t="shared" si="3"/>
        <v>Excelsa</v>
      </c>
      <c r="O72" t="str" cm="1">
        <f t="array" ref="O72">_xlfn.IFS(J72="M", "Medium", J72="L", "Light", J72="D", "Dark")</f>
        <v>Light</v>
      </c>
      <c r="P72" t="str">
        <f>_xlfn.XLOOKUP(Orders[[#This Row],[Customer ID]], customers!$A$2:$A$1001, customers!$I$2:$I$1001, 0)</f>
        <v>No</v>
      </c>
    </row>
    <row r="73" spans="1:16" x14ac:dyDescent="0.35">
      <c r="A73" s="2" t="s">
        <v>891</v>
      </c>
      <c r="B73" s="3">
        <v>44200</v>
      </c>
      <c r="C73" s="2" t="s">
        <v>892</v>
      </c>
      <c r="D73" t="s">
        <v>6145</v>
      </c>
      <c r="E73" s="2">
        <v>2</v>
      </c>
      <c r="F73" s="2" t="str" cm="1">
        <f t="array" ref="F73">_xlfn.XLOOKUP(C73, customers!$A$1:A1072, customers!$B$1:B1072, 0)</f>
        <v>Shirlene Edmondson</v>
      </c>
      <c r="G73" s="2" t="str">
        <f>IF(_xlfn.XLOOKUP(C73, customers!A72:A1072, customers!C72:C1072, 0)=0, "", _xlfn.XLOOKUP(C73, customers!A72:A1072, customers!C72:C1072, 0))</f>
        <v>sedmondson1z@theguardian.com</v>
      </c>
      <c r="H73" s="2" t="str" cm="1">
        <f t="array" ref="H73">_xlfn.XLOOKUP(C73, customers!$A$1:A1072, customers!$G$1:G1072,, 0)</f>
        <v>Ireland</v>
      </c>
      <c r="I73" t="str" cm="1">
        <f t="array" ref="I73">_xlfn.XLOOKUP(orders!D73, products!$A$1:A120, products!$B$1:B120, 0)</f>
        <v>Lib</v>
      </c>
      <c r="J73" t="str" cm="1">
        <f t="array" ref="J73">_xlfn.XLOOKUP(D73, products!$A$1:A120, products!$C$1:C120, 0)</f>
        <v>L</v>
      </c>
      <c r="K73" s="4" cm="1">
        <f t="array" ref="K73">_xlfn.XLOOKUP(D73, products!$A$1:A120, products!$D$1:D120, 0)</f>
        <v>0.2</v>
      </c>
      <c r="L73" s="4" cm="1">
        <f t="array" ref="L73">_xlfn.XLOOKUP(D73, products!$A$1:A120, products!$E$1:E120)</f>
        <v>4.7549999999999999</v>
      </c>
      <c r="M73">
        <f t="shared" si="2"/>
        <v>9.51</v>
      </c>
      <c r="N73" t="str">
        <f t="shared" si="3"/>
        <v>Liberica</v>
      </c>
      <c r="O73" t="str" cm="1">
        <f t="array" ref="O73">_xlfn.IFS(J73="M", "Medium", J73="L", "Light", J73="D", "Dark")</f>
        <v>Light</v>
      </c>
      <c r="P73" t="str">
        <f>_xlfn.XLOOKUP(Orders[[#This Row],[Customer ID]], customers!$A$2:$A$1001, customers!$I$2:$I$1001, 0)</f>
        <v>No</v>
      </c>
    </row>
    <row r="74" spans="1:16" x14ac:dyDescent="0.35">
      <c r="A74" s="2" t="s">
        <v>897</v>
      </c>
      <c r="B74" s="3">
        <v>44131</v>
      </c>
      <c r="C74" s="2" t="s">
        <v>898</v>
      </c>
      <c r="D74" t="s">
        <v>6175</v>
      </c>
      <c r="E74" s="2">
        <v>3</v>
      </c>
      <c r="F74" s="2" t="str" cm="1">
        <f t="array" ref="F74">_xlfn.XLOOKUP(C74, customers!$A$1:A1073, customers!$B$1:B1073, 0)</f>
        <v>Aurlie McCarl</v>
      </c>
      <c r="G74" s="2" t="str">
        <f>IF(_xlfn.XLOOKUP(C74, customers!A73:A1073, customers!C73:C1073, 0)=0, "", _xlfn.XLOOKUP(C74, customers!A73:A1073, customers!C73:C1073, 0))</f>
        <v/>
      </c>
      <c r="H74" s="2" t="str" cm="1">
        <f t="array" ref="H74">_xlfn.XLOOKUP(C74, customers!$A$1:A1073, customers!$G$1:G1073,, 0)</f>
        <v>United States</v>
      </c>
      <c r="I74" t="str" cm="1">
        <f t="array" ref="I74">_xlfn.XLOOKUP(orders!D74, products!$A$1:A121, products!$B$1:B121, 0)</f>
        <v>Ara</v>
      </c>
      <c r="J74" t="str" cm="1">
        <f t="array" ref="J74">_xlfn.XLOOKUP(D74, products!$A$1:A121, products!$C$1:C121, 0)</f>
        <v>M</v>
      </c>
      <c r="K74" s="4" cm="1">
        <f t="array" ref="K74">_xlfn.XLOOKUP(D74, products!$A$1:A121, products!$D$1:D121, 0)</f>
        <v>2.5</v>
      </c>
      <c r="L74" s="4" cm="1">
        <f t="array" ref="L74">_xlfn.XLOOKUP(D74, products!$A$1:A121, products!$E$1:E121)</f>
        <v>25.874999999999996</v>
      </c>
      <c r="M74">
        <f t="shared" si="2"/>
        <v>77.624999999999986</v>
      </c>
      <c r="N74" t="str">
        <f t="shared" si="3"/>
        <v>Arabica</v>
      </c>
      <c r="O74" t="str" cm="1">
        <f t="array" ref="O74">_xlfn.IFS(J74="M", "Medium", J74="L", "Light", J74="D", "Dark")</f>
        <v>Medium</v>
      </c>
      <c r="P74" t="str">
        <f>_xlfn.XLOOKUP(Orders[[#This Row],[Customer ID]], customers!$A$2:$A$1001, customers!$I$2:$I$1001, 0)</f>
        <v>No</v>
      </c>
    </row>
    <row r="75" spans="1:16" x14ac:dyDescent="0.35">
      <c r="A75" s="2" t="s">
        <v>902</v>
      </c>
      <c r="B75" s="3">
        <v>44362</v>
      </c>
      <c r="C75" s="2" t="s">
        <v>903</v>
      </c>
      <c r="D75" t="s">
        <v>6159</v>
      </c>
      <c r="E75" s="2">
        <v>5</v>
      </c>
      <c r="F75" s="2" t="str" cm="1">
        <f t="array" ref="F75">_xlfn.XLOOKUP(C75, customers!$A$1:A1074, customers!$B$1:B1074, 0)</f>
        <v>Alikee Carryer</v>
      </c>
      <c r="G75" s="2" t="str">
        <f>IF(_xlfn.XLOOKUP(C75, customers!A74:A1074, customers!C74:C1074, 0)=0, "", _xlfn.XLOOKUP(C75, customers!A74:A1074, customers!C74:C1074, 0))</f>
        <v/>
      </c>
      <c r="H75" s="2" t="str" cm="1">
        <f t="array" ref="H75">_xlfn.XLOOKUP(C75, customers!$A$1:A1074, customers!$G$1:G1074,, 0)</f>
        <v>United States</v>
      </c>
      <c r="I75" t="str" cm="1">
        <f t="array" ref="I75">_xlfn.XLOOKUP(orders!D75, products!$A$1:A122, products!$B$1:B122, 0)</f>
        <v>Lib</v>
      </c>
      <c r="J75" t="str" cm="1">
        <f t="array" ref="J75">_xlfn.XLOOKUP(D75, products!$A$1:A122, products!$C$1:C122, 0)</f>
        <v>M</v>
      </c>
      <c r="K75" s="4" cm="1">
        <f t="array" ref="K75">_xlfn.XLOOKUP(D75, products!$A$1:A122, products!$D$1:D122, 0)</f>
        <v>0.2</v>
      </c>
      <c r="L75" s="4" cm="1">
        <f t="array" ref="L75">_xlfn.XLOOKUP(D75, products!$A$1:A122, products!$E$1:E122)</f>
        <v>4.3650000000000002</v>
      </c>
      <c r="M75">
        <f t="shared" si="2"/>
        <v>21.825000000000003</v>
      </c>
      <c r="N75" t="str">
        <f t="shared" si="3"/>
        <v>Liberica</v>
      </c>
      <c r="O75" t="str" cm="1">
        <f t="array" ref="O75">_xlfn.IFS(J75="M", "Medium", J75="L", "Light", J75="D", "Dark")</f>
        <v>Medium</v>
      </c>
      <c r="P75" t="str">
        <f>_xlfn.XLOOKUP(Orders[[#This Row],[Customer ID]], customers!$A$2:$A$1001, customers!$I$2:$I$1001, 0)</f>
        <v>Yes</v>
      </c>
    </row>
    <row r="76" spans="1:16" x14ac:dyDescent="0.35">
      <c r="A76" s="2" t="s">
        <v>907</v>
      </c>
      <c r="B76" s="3">
        <v>44396</v>
      </c>
      <c r="C76" s="2" t="s">
        <v>908</v>
      </c>
      <c r="D76" t="s">
        <v>6176</v>
      </c>
      <c r="E76" s="2">
        <v>2</v>
      </c>
      <c r="F76" s="2" t="str" cm="1">
        <f t="array" ref="F76">_xlfn.XLOOKUP(C76, customers!$A$1:A1075, customers!$B$1:B1075, 0)</f>
        <v>Jennifer Rangall</v>
      </c>
      <c r="G76" s="2" t="str">
        <f>IF(_xlfn.XLOOKUP(C76, customers!A75:A1075, customers!C75:C1075, 0)=0, "", _xlfn.XLOOKUP(C76, customers!A75:A1075, customers!C75:C1075, 0))</f>
        <v>jrangall22@newsvine.com</v>
      </c>
      <c r="H76" s="2" t="str" cm="1">
        <f t="array" ref="H76">_xlfn.XLOOKUP(C76, customers!$A$1:A1075, customers!$G$1:G1075,, 0)</f>
        <v>United States</v>
      </c>
      <c r="I76" t="str" cm="1">
        <f t="array" ref="I76">_xlfn.XLOOKUP(orders!D76, products!$A$1:A123, products!$B$1:B123, 0)</f>
        <v>Exc</v>
      </c>
      <c r="J76" t="str" cm="1">
        <f t="array" ref="J76">_xlfn.XLOOKUP(D76, products!$A$1:A123, products!$C$1:C123, 0)</f>
        <v>L</v>
      </c>
      <c r="K76" s="4" cm="1">
        <f t="array" ref="K76">_xlfn.XLOOKUP(D76, products!$A$1:A123, products!$D$1:D123, 0)</f>
        <v>0.5</v>
      </c>
      <c r="L76" s="4" cm="1">
        <f t="array" ref="L76">_xlfn.XLOOKUP(D76, products!$A$1:A123, products!$E$1:E123)</f>
        <v>8.91</v>
      </c>
      <c r="M76">
        <f t="shared" si="2"/>
        <v>17.82</v>
      </c>
      <c r="N76" t="str">
        <f t="shared" si="3"/>
        <v>Excelsa</v>
      </c>
      <c r="O76" t="str" cm="1">
        <f t="array" ref="O76">_xlfn.IFS(J76="M", "Medium", J76="L", "Light", J76="D", "Dark")</f>
        <v>Light</v>
      </c>
      <c r="P76" t="str">
        <f>_xlfn.XLOOKUP(Orders[[#This Row],[Customer ID]], customers!$A$2:$A$1001, customers!$I$2:$I$1001, 0)</f>
        <v>Yes</v>
      </c>
    </row>
    <row r="77" spans="1:16" x14ac:dyDescent="0.35">
      <c r="A77" s="2" t="s">
        <v>913</v>
      </c>
      <c r="B77" s="3">
        <v>44400</v>
      </c>
      <c r="C77" s="2" t="s">
        <v>914</v>
      </c>
      <c r="D77" t="s">
        <v>6177</v>
      </c>
      <c r="E77" s="2">
        <v>6</v>
      </c>
      <c r="F77" s="2" t="str" cm="1">
        <f t="array" ref="F77">_xlfn.XLOOKUP(C77, customers!$A$1:A1076, customers!$B$1:B1076, 0)</f>
        <v>Kipper Boorn</v>
      </c>
      <c r="G77" s="2" t="str">
        <f>IF(_xlfn.XLOOKUP(C77, customers!A76:A1076, customers!C76:C1076, 0)=0, "", _xlfn.XLOOKUP(C77, customers!A76:A1076, customers!C76:C1076, 0))</f>
        <v>kboorn23@ezinearticles.com</v>
      </c>
      <c r="H77" s="2" t="str" cm="1">
        <f t="array" ref="H77">_xlfn.XLOOKUP(C77, customers!$A$1:A1076, customers!$G$1:G1076,, 0)</f>
        <v>Ireland</v>
      </c>
      <c r="I77" t="str" cm="1">
        <f t="array" ref="I77">_xlfn.XLOOKUP(orders!D77, products!$A$1:A124, products!$B$1:B124, 0)</f>
        <v>Rob</v>
      </c>
      <c r="J77" t="str" cm="1">
        <f t="array" ref="J77">_xlfn.XLOOKUP(D77, products!$A$1:A124, products!$C$1:C124, 0)</f>
        <v>D</v>
      </c>
      <c r="K77" s="4" cm="1">
        <f t="array" ref="K77">_xlfn.XLOOKUP(D77, products!$A$1:A124, products!$D$1:D124, 0)</f>
        <v>1</v>
      </c>
      <c r="L77" s="4" cm="1">
        <f t="array" ref="L77">_xlfn.XLOOKUP(D77, products!$A$1:A124, products!$E$1:E124)</f>
        <v>8.9499999999999993</v>
      </c>
      <c r="M77">
        <f t="shared" si="2"/>
        <v>53.699999999999996</v>
      </c>
      <c r="N77" t="str">
        <f t="shared" si="3"/>
        <v>Robusta</v>
      </c>
      <c r="O77" t="str" cm="1">
        <f t="array" ref="O77">_xlfn.IFS(J77="M", "Medium", J77="L", "Light", J77="D", "Dark")</f>
        <v>Dark</v>
      </c>
      <c r="P77" t="str">
        <f>_xlfn.XLOOKUP(Orders[[#This Row],[Customer ID]], customers!$A$2:$A$1001, customers!$I$2:$I$1001, 0)</f>
        <v>Yes</v>
      </c>
    </row>
    <row r="78" spans="1:16" x14ac:dyDescent="0.35">
      <c r="A78" s="2" t="s">
        <v>919</v>
      </c>
      <c r="B78" s="3">
        <v>43855</v>
      </c>
      <c r="C78" s="2" t="s">
        <v>920</v>
      </c>
      <c r="D78" t="s">
        <v>6178</v>
      </c>
      <c r="E78" s="2">
        <v>1</v>
      </c>
      <c r="F78" s="2" t="str" cm="1">
        <f t="array" ref="F78">_xlfn.XLOOKUP(C78, customers!$A$1:A1077, customers!$B$1:B1077, 0)</f>
        <v>Melania Beadle</v>
      </c>
      <c r="G78" s="2" t="str">
        <f>IF(_xlfn.XLOOKUP(C78, customers!A77:A1077, customers!C77:C1077, 0)=0, "", _xlfn.XLOOKUP(C78, customers!A77:A1077, customers!C77:C1077, 0))</f>
        <v/>
      </c>
      <c r="H78" s="2" t="str" cm="1">
        <f t="array" ref="H78">_xlfn.XLOOKUP(C78, customers!$A$1:A1077, customers!$G$1:G1077,, 0)</f>
        <v>Ireland</v>
      </c>
      <c r="I78" t="str" cm="1">
        <f t="array" ref="I78">_xlfn.XLOOKUP(orders!D78, products!$A$1:A125, products!$B$1:B125, 0)</f>
        <v>Rob</v>
      </c>
      <c r="J78" t="str" cm="1">
        <f t="array" ref="J78">_xlfn.XLOOKUP(D78, products!$A$1:A125, products!$C$1:C125, 0)</f>
        <v>L</v>
      </c>
      <c r="K78" s="4" cm="1">
        <f t="array" ref="K78">_xlfn.XLOOKUP(D78, products!$A$1:A125, products!$D$1:D125, 0)</f>
        <v>0.2</v>
      </c>
      <c r="L78" s="4" cm="1">
        <f t="array" ref="L78">_xlfn.XLOOKUP(D78, products!$A$1:A125, products!$E$1:E125)</f>
        <v>3.5849999999999995</v>
      </c>
      <c r="M78">
        <f t="shared" si="2"/>
        <v>3.5849999999999995</v>
      </c>
      <c r="N78" t="str">
        <f t="shared" si="3"/>
        <v>Robusta</v>
      </c>
      <c r="O78" t="str" cm="1">
        <f t="array" ref="O78">_xlfn.IFS(J78="M", "Medium", J78="L", "Light", J78="D", "Dark")</f>
        <v>Light</v>
      </c>
      <c r="P78" t="str">
        <f>_xlfn.XLOOKUP(Orders[[#This Row],[Customer ID]], customers!$A$2:$A$1001, customers!$I$2:$I$1001, 0)</f>
        <v>Yes</v>
      </c>
    </row>
    <row r="79" spans="1:16" x14ac:dyDescent="0.35">
      <c r="A79" s="2" t="s">
        <v>924</v>
      </c>
      <c r="B79" s="3">
        <v>43594</v>
      </c>
      <c r="C79" s="2" t="s">
        <v>925</v>
      </c>
      <c r="D79" t="s">
        <v>6153</v>
      </c>
      <c r="E79" s="2">
        <v>2</v>
      </c>
      <c r="F79" s="2" t="str" cm="1">
        <f t="array" ref="F79">_xlfn.XLOOKUP(C79, customers!$A$1:A1078, customers!$B$1:B1078, 0)</f>
        <v>Colene Elgey</v>
      </c>
      <c r="G79" s="2" t="str">
        <f>IF(_xlfn.XLOOKUP(C79, customers!A78:A1078, customers!C78:C1078, 0)=0, "", _xlfn.XLOOKUP(C79, customers!A78:A1078, customers!C78:C1078, 0))</f>
        <v>celgey25@webs.com</v>
      </c>
      <c r="H79" s="2" t="str" cm="1">
        <f t="array" ref="H79">_xlfn.XLOOKUP(C79, customers!$A$1:A1078, customers!$G$1:G1078,, 0)</f>
        <v>United States</v>
      </c>
      <c r="I79" t="str" cm="1">
        <f t="array" ref="I79">_xlfn.XLOOKUP(orders!D79, products!$A$1:A126, products!$B$1:B126, 0)</f>
        <v>Exc</v>
      </c>
      <c r="J79" t="str" cm="1">
        <f t="array" ref="J79">_xlfn.XLOOKUP(D79, products!$A$1:A126, products!$C$1:C126, 0)</f>
        <v>D</v>
      </c>
      <c r="K79" s="4" cm="1">
        <f t="array" ref="K79">_xlfn.XLOOKUP(D79, products!$A$1:A126, products!$D$1:D126, 0)</f>
        <v>0.2</v>
      </c>
      <c r="L79" s="4" cm="1">
        <f t="array" ref="L79">_xlfn.XLOOKUP(D79, products!$A$1:A126, products!$E$1:E126)</f>
        <v>3.645</v>
      </c>
      <c r="M79">
        <f t="shared" si="2"/>
        <v>7.29</v>
      </c>
      <c r="N79" t="str">
        <f t="shared" si="3"/>
        <v>Excelsa</v>
      </c>
      <c r="O79" t="str" cm="1">
        <f t="array" ref="O79">_xlfn.IFS(J79="M", "Medium", J79="L", "Light", J79="D", "Dark")</f>
        <v>Dark</v>
      </c>
      <c r="P79" t="str">
        <f>_xlfn.XLOOKUP(Orders[[#This Row],[Customer ID]], customers!$A$2:$A$1001, customers!$I$2:$I$1001, 0)</f>
        <v>No</v>
      </c>
    </row>
    <row r="80" spans="1:16" x14ac:dyDescent="0.35">
      <c r="A80" s="2" t="s">
        <v>930</v>
      </c>
      <c r="B80" s="3">
        <v>43920</v>
      </c>
      <c r="C80" s="2" t="s">
        <v>931</v>
      </c>
      <c r="D80" t="s">
        <v>6157</v>
      </c>
      <c r="E80" s="2">
        <v>6</v>
      </c>
      <c r="F80" s="2" t="str" cm="1">
        <f t="array" ref="F80">_xlfn.XLOOKUP(C80, customers!$A$1:A1079, customers!$B$1:B1079, 0)</f>
        <v>Lothaire Mizzi</v>
      </c>
      <c r="G80" s="2" t="str">
        <f>IF(_xlfn.XLOOKUP(C80, customers!A79:A1079, customers!C79:C1079, 0)=0, "", _xlfn.XLOOKUP(C80, customers!A79:A1079, customers!C79:C1079, 0))</f>
        <v>lmizzi26@rakuten.co.jp</v>
      </c>
      <c r="H80" s="2" t="str" cm="1">
        <f t="array" ref="H80">_xlfn.XLOOKUP(C80, customers!$A$1:A1079, customers!$G$1:G1079,, 0)</f>
        <v>United States</v>
      </c>
      <c r="I80" t="str" cm="1">
        <f t="array" ref="I80">_xlfn.XLOOKUP(orders!D80, products!$A$1:A127, products!$B$1:B127, 0)</f>
        <v>Ara</v>
      </c>
      <c r="J80" t="str" cm="1">
        <f t="array" ref="J80">_xlfn.XLOOKUP(D80, products!$A$1:A127, products!$C$1:C127, 0)</f>
        <v>M</v>
      </c>
      <c r="K80" s="4" cm="1">
        <f t="array" ref="K80">_xlfn.XLOOKUP(D80, products!$A$1:A127, products!$D$1:D127, 0)</f>
        <v>0.5</v>
      </c>
      <c r="L80" s="4" cm="1">
        <f t="array" ref="L80">_xlfn.XLOOKUP(D80, products!$A$1:A127, products!$E$1:E127)</f>
        <v>6.75</v>
      </c>
      <c r="M80">
        <f t="shared" si="2"/>
        <v>40.5</v>
      </c>
      <c r="N80" t="str">
        <f t="shared" si="3"/>
        <v>Arabica</v>
      </c>
      <c r="O80" t="str" cm="1">
        <f t="array" ref="O80">_xlfn.IFS(J80="M", "Medium", J80="L", "Light", J80="D", "Dark")</f>
        <v>Medium</v>
      </c>
      <c r="P80" t="str">
        <f>_xlfn.XLOOKUP(Orders[[#This Row],[Customer ID]], customers!$A$2:$A$1001, customers!$I$2:$I$1001, 0)</f>
        <v>Yes</v>
      </c>
    </row>
    <row r="81" spans="1:16" x14ac:dyDescent="0.35">
      <c r="A81" s="2" t="s">
        <v>936</v>
      </c>
      <c r="B81" s="3">
        <v>44633</v>
      </c>
      <c r="C81" s="2" t="s">
        <v>937</v>
      </c>
      <c r="D81" t="s">
        <v>6179</v>
      </c>
      <c r="E81" s="2">
        <v>4</v>
      </c>
      <c r="F81" s="2" t="str" cm="1">
        <f t="array" ref="F81">_xlfn.XLOOKUP(C81, customers!$A$1:A1080, customers!$B$1:B1080, 0)</f>
        <v>Cletis Giacomazzo</v>
      </c>
      <c r="G81" s="2" t="str">
        <f>IF(_xlfn.XLOOKUP(C81, customers!A80:A1080, customers!C80:C1080, 0)=0, "", _xlfn.XLOOKUP(C81, customers!A80:A1080, customers!C80:C1080, 0))</f>
        <v>cgiacomazzo27@jigsy.com</v>
      </c>
      <c r="H81" s="2" t="str" cm="1">
        <f t="array" ref="H81">_xlfn.XLOOKUP(C81, customers!$A$1:A1080, customers!$G$1:G1080,, 0)</f>
        <v>United States</v>
      </c>
      <c r="I81" t="str" cm="1">
        <f t="array" ref="I81">_xlfn.XLOOKUP(orders!D81, products!$A$1:A128, products!$B$1:B128, 0)</f>
        <v>Rob</v>
      </c>
      <c r="J81" t="str" cm="1">
        <f t="array" ref="J81">_xlfn.XLOOKUP(D81, products!$A$1:A128, products!$C$1:C128, 0)</f>
        <v>L</v>
      </c>
      <c r="K81" s="4" cm="1">
        <f t="array" ref="K81">_xlfn.XLOOKUP(D81, products!$A$1:A128, products!$D$1:D128, 0)</f>
        <v>1</v>
      </c>
      <c r="L81" s="4" cm="1">
        <f t="array" ref="L81">_xlfn.XLOOKUP(D81, products!$A$1:A128, products!$E$1:E128)</f>
        <v>11.95</v>
      </c>
      <c r="M81">
        <f t="shared" si="2"/>
        <v>47.8</v>
      </c>
      <c r="N81" t="str">
        <f t="shared" si="3"/>
        <v>Robusta</v>
      </c>
      <c r="O81" t="str" cm="1">
        <f t="array" ref="O81">_xlfn.IFS(J81="M", "Medium", J81="L", "Light", J81="D", "Dark")</f>
        <v>Light</v>
      </c>
      <c r="P81" t="str">
        <f>_xlfn.XLOOKUP(Orders[[#This Row],[Customer ID]], customers!$A$2:$A$1001, customers!$I$2:$I$1001, 0)</f>
        <v>No</v>
      </c>
    </row>
    <row r="82" spans="1:16" x14ac:dyDescent="0.35">
      <c r="A82" s="2" t="s">
        <v>942</v>
      </c>
      <c r="B82" s="3">
        <v>43572</v>
      </c>
      <c r="C82" s="2" t="s">
        <v>943</v>
      </c>
      <c r="D82" t="s">
        <v>6180</v>
      </c>
      <c r="E82" s="2">
        <v>5</v>
      </c>
      <c r="F82" s="2" t="str" cm="1">
        <f t="array" ref="F82">_xlfn.XLOOKUP(C82, customers!$A$1:A1081, customers!$B$1:B1081, 0)</f>
        <v>Ami Arnow</v>
      </c>
      <c r="G82" s="2" t="str">
        <f>IF(_xlfn.XLOOKUP(C82, customers!A81:A1081, customers!C81:C1081, 0)=0, "", _xlfn.XLOOKUP(C82, customers!A81:A1081, customers!C81:C1081, 0))</f>
        <v>aarnow28@arizona.edu</v>
      </c>
      <c r="H82" s="2" t="str" cm="1">
        <f t="array" ref="H82">_xlfn.XLOOKUP(C82, customers!$A$1:A1081, customers!$G$1:G1081,, 0)</f>
        <v>United States</v>
      </c>
      <c r="I82" t="str" cm="1">
        <f t="array" ref="I82">_xlfn.XLOOKUP(orders!D82, products!$A$1:A129, products!$B$1:B129, 0)</f>
        <v>Ara</v>
      </c>
      <c r="J82" t="str" cm="1">
        <f t="array" ref="J82">_xlfn.XLOOKUP(D82, products!$A$1:A129, products!$C$1:C129, 0)</f>
        <v>L</v>
      </c>
      <c r="K82" s="4" cm="1">
        <f t="array" ref="K82">_xlfn.XLOOKUP(D82, products!$A$1:A129, products!$D$1:D129, 0)</f>
        <v>0.5</v>
      </c>
      <c r="L82" s="4" cm="1">
        <f t="array" ref="L82">_xlfn.XLOOKUP(D82, products!$A$1:A129, products!$E$1:E129)</f>
        <v>7.77</v>
      </c>
      <c r="M82">
        <f t="shared" si="2"/>
        <v>38.849999999999994</v>
      </c>
      <c r="N82" t="str">
        <f t="shared" si="3"/>
        <v>Arabica</v>
      </c>
      <c r="O82" t="str" cm="1">
        <f t="array" ref="O82">_xlfn.IFS(J82="M", "Medium", J82="L", "Light", J82="D", "Dark")</f>
        <v>Light</v>
      </c>
      <c r="P82" t="str">
        <f>_xlfn.XLOOKUP(Orders[[#This Row],[Customer ID]], customers!$A$2:$A$1001, customers!$I$2:$I$1001, 0)</f>
        <v>Yes</v>
      </c>
    </row>
    <row r="83" spans="1:16" x14ac:dyDescent="0.35">
      <c r="A83" s="2" t="s">
        <v>948</v>
      </c>
      <c r="B83" s="3">
        <v>43763</v>
      </c>
      <c r="C83" s="2" t="s">
        <v>949</v>
      </c>
      <c r="D83" t="s">
        <v>6164</v>
      </c>
      <c r="E83" s="2">
        <v>3</v>
      </c>
      <c r="F83" s="2" t="str" cm="1">
        <f t="array" ref="F83">_xlfn.XLOOKUP(C83, customers!$A$1:A1082, customers!$B$1:B1082, 0)</f>
        <v>Sheppard Yann</v>
      </c>
      <c r="G83" s="2" t="str">
        <f>IF(_xlfn.XLOOKUP(C83, customers!A82:A1082, customers!C82:C1082, 0)=0, "", _xlfn.XLOOKUP(C83, customers!A82:A1082, customers!C82:C1082, 0))</f>
        <v>syann29@senate.gov</v>
      </c>
      <c r="H83" s="2" t="str" cm="1">
        <f t="array" ref="H83">_xlfn.XLOOKUP(C83, customers!$A$1:A1082, customers!$G$1:G1082,, 0)</f>
        <v>United States</v>
      </c>
      <c r="I83" t="str" cm="1">
        <f t="array" ref="I83">_xlfn.XLOOKUP(orders!D83, products!$A$1:A130, products!$B$1:B130, 0)</f>
        <v>Lib</v>
      </c>
      <c r="J83" t="str" cm="1">
        <f t="array" ref="J83">_xlfn.XLOOKUP(D83, products!$A$1:A130, products!$C$1:C130, 0)</f>
        <v>L</v>
      </c>
      <c r="K83" s="4" cm="1">
        <f t="array" ref="K83">_xlfn.XLOOKUP(D83, products!$A$1:A130, products!$D$1:D130, 0)</f>
        <v>2.5</v>
      </c>
      <c r="L83" s="4" cm="1">
        <f t="array" ref="L83">_xlfn.XLOOKUP(D83, products!$A$1:A130, products!$E$1:E130)</f>
        <v>36.454999999999998</v>
      </c>
      <c r="M83">
        <f t="shared" si="2"/>
        <v>109.36499999999999</v>
      </c>
      <c r="N83" t="str">
        <f t="shared" si="3"/>
        <v>Liberica</v>
      </c>
      <c r="O83" t="str" cm="1">
        <f t="array" ref="O83">_xlfn.IFS(J83="M", "Medium", J83="L", "Light", J83="D", "Dark")</f>
        <v>Light</v>
      </c>
      <c r="P83" t="str">
        <f>_xlfn.XLOOKUP(Orders[[#This Row],[Customer ID]], customers!$A$2:$A$1001, customers!$I$2:$I$1001, 0)</f>
        <v>Yes</v>
      </c>
    </row>
    <row r="84" spans="1:16" x14ac:dyDescent="0.35">
      <c r="A84" s="2" t="s">
        <v>954</v>
      </c>
      <c r="B84" s="3">
        <v>43721</v>
      </c>
      <c r="C84" s="2" t="s">
        <v>955</v>
      </c>
      <c r="D84" t="s">
        <v>6181</v>
      </c>
      <c r="E84" s="2">
        <v>3</v>
      </c>
      <c r="F84" s="2" t="str" cm="1">
        <f t="array" ref="F84">_xlfn.XLOOKUP(C84, customers!$A$1:A1083, customers!$B$1:B1083, 0)</f>
        <v>Bunny Naulls</v>
      </c>
      <c r="G84" s="2" t="str">
        <f>IF(_xlfn.XLOOKUP(C84, customers!A83:A1083, customers!C83:C1083, 0)=0, "", _xlfn.XLOOKUP(C84, customers!A83:A1083, customers!C83:C1083, 0))</f>
        <v>bnaulls2a@tiny.cc</v>
      </c>
      <c r="H84" s="2" t="str" cm="1">
        <f t="array" ref="H84">_xlfn.XLOOKUP(C84, customers!$A$1:A1083, customers!$G$1:G1083,, 0)</f>
        <v>Ireland</v>
      </c>
      <c r="I84" t="str" cm="1">
        <f t="array" ref="I84">_xlfn.XLOOKUP(orders!D84, products!$A$1:A131, products!$B$1:B131, 0)</f>
        <v>Lib</v>
      </c>
      <c r="J84" t="str" cm="1">
        <f t="array" ref="J84">_xlfn.XLOOKUP(D84, products!$A$1:A131, products!$C$1:C131, 0)</f>
        <v>M</v>
      </c>
      <c r="K84" s="4" cm="1">
        <f t="array" ref="K84">_xlfn.XLOOKUP(D84, products!$A$1:A131, products!$D$1:D131, 0)</f>
        <v>2.5</v>
      </c>
      <c r="L84" s="4" cm="1">
        <f t="array" ref="L84">_xlfn.XLOOKUP(D84, products!$A$1:A131, products!$E$1:E131)</f>
        <v>33.464999999999996</v>
      </c>
      <c r="M84">
        <f t="shared" si="2"/>
        <v>100.39499999999998</v>
      </c>
      <c r="N84" t="str">
        <f t="shared" si="3"/>
        <v>Liberica</v>
      </c>
      <c r="O84" t="str" cm="1">
        <f t="array" ref="O84">_xlfn.IFS(J84="M", "Medium", J84="L", "Light", J84="D", "Dark")</f>
        <v>Medium</v>
      </c>
      <c r="P84" t="str">
        <f>_xlfn.XLOOKUP(Orders[[#This Row],[Customer ID]], customers!$A$2:$A$1001, customers!$I$2:$I$1001, 0)</f>
        <v>Yes</v>
      </c>
    </row>
    <row r="85" spans="1:16" x14ac:dyDescent="0.35">
      <c r="A85" s="2" t="s">
        <v>960</v>
      </c>
      <c r="B85" s="3">
        <v>43933</v>
      </c>
      <c r="C85" s="2" t="s">
        <v>961</v>
      </c>
      <c r="D85" t="s">
        <v>6149</v>
      </c>
      <c r="E85" s="2">
        <v>4</v>
      </c>
      <c r="F85" s="2" t="str" cm="1">
        <f t="array" ref="F85">_xlfn.XLOOKUP(C85, customers!$A$1:A1084, customers!$B$1:B1084, 0)</f>
        <v>Hally Lorait</v>
      </c>
      <c r="G85" s="2" t="str">
        <f>IF(_xlfn.XLOOKUP(C85, customers!A84:A1084, customers!C84:C1084, 0)=0, "", _xlfn.XLOOKUP(C85, customers!A84:A1084, customers!C84:C1084, 0))</f>
        <v/>
      </c>
      <c r="H85" s="2" t="str" cm="1">
        <f t="array" ref="H85">_xlfn.XLOOKUP(C85, customers!$A$1:A1084, customers!$G$1:G1084,, 0)</f>
        <v>United States</v>
      </c>
      <c r="I85" t="str" cm="1">
        <f t="array" ref="I85">_xlfn.XLOOKUP(orders!D85, products!$A$1:A132, products!$B$1:B132, 0)</f>
        <v>Rob</v>
      </c>
      <c r="J85" t="str" cm="1">
        <f t="array" ref="J85">_xlfn.XLOOKUP(D85, products!$A$1:A132, products!$C$1:C132, 0)</f>
        <v>D</v>
      </c>
      <c r="K85" s="4" cm="1">
        <f t="array" ref="K85">_xlfn.XLOOKUP(D85, products!$A$1:A132, products!$D$1:D132, 0)</f>
        <v>2.5</v>
      </c>
      <c r="L85" s="4" cm="1">
        <f t="array" ref="L85">_xlfn.XLOOKUP(D85, products!$A$1:A132, products!$E$1:E132)</f>
        <v>20.584999999999997</v>
      </c>
      <c r="M85">
        <f t="shared" si="2"/>
        <v>82.339999999999989</v>
      </c>
      <c r="N85" t="str">
        <f t="shared" si="3"/>
        <v>Robusta</v>
      </c>
      <c r="O85" t="str" cm="1">
        <f t="array" ref="O85">_xlfn.IFS(J85="M", "Medium", J85="L", "Light", J85="D", "Dark")</f>
        <v>Dark</v>
      </c>
      <c r="P85" t="str">
        <f>_xlfn.XLOOKUP(Orders[[#This Row],[Customer ID]], customers!$A$2:$A$1001, customers!$I$2:$I$1001, 0)</f>
        <v>Yes</v>
      </c>
    </row>
    <row r="86" spans="1:16" x14ac:dyDescent="0.35">
      <c r="A86" s="2" t="s">
        <v>965</v>
      </c>
      <c r="B86" s="3">
        <v>43783</v>
      </c>
      <c r="C86" s="2" t="s">
        <v>966</v>
      </c>
      <c r="D86" t="s">
        <v>6161</v>
      </c>
      <c r="E86" s="2">
        <v>1</v>
      </c>
      <c r="F86" s="2" t="str" cm="1">
        <f t="array" ref="F86">_xlfn.XLOOKUP(C86, customers!$A$1:A1085, customers!$B$1:B1085, 0)</f>
        <v>Zaccaria Sherewood</v>
      </c>
      <c r="G86" s="2" t="str">
        <f>IF(_xlfn.XLOOKUP(C86, customers!A85:A1085, customers!C85:C1085, 0)=0, "", _xlfn.XLOOKUP(C86, customers!A85:A1085, customers!C85:C1085, 0))</f>
        <v>zsherewood2c@apache.org</v>
      </c>
      <c r="H86" s="2" t="str" cm="1">
        <f t="array" ref="H86">_xlfn.XLOOKUP(C86, customers!$A$1:A1085, customers!$G$1:G1085,, 0)</f>
        <v>United States</v>
      </c>
      <c r="I86" t="str" cm="1">
        <f t="array" ref="I86">_xlfn.XLOOKUP(orders!D86, products!$A$1:A133, products!$B$1:B133, 0)</f>
        <v>Lib</v>
      </c>
      <c r="J86" t="str" cm="1">
        <f t="array" ref="J86">_xlfn.XLOOKUP(D86, products!$A$1:A133, products!$C$1:C133, 0)</f>
        <v>L</v>
      </c>
      <c r="K86" s="4" cm="1">
        <f t="array" ref="K86">_xlfn.XLOOKUP(D86, products!$A$1:A133, products!$D$1:D133, 0)</f>
        <v>0.5</v>
      </c>
      <c r="L86" s="4" cm="1">
        <f t="array" ref="L86">_xlfn.XLOOKUP(D86, products!$A$1:A133, products!$E$1:E133)</f>
        <v>9.51</v>
      </c>
      <c r="M86">
        <f t="shared" si="2"/>
        <v>9.51</v>
      </c>
      <c r="N86" t="str">
        <f t="shared" si="3"/>
        <v>Liberica</v>
      </c>
      <c r="O86" t="str" cm="1">
        <f t="array" ref="O86">_xlfn.IFS(J86="M", "Medium", J86="L", "Light", J86="D", "Dark")</f>
        <v>Light</v>
      </c>
      <c r="P86" t="str">
        <f>_xlfn.XLOOKUP(Orders[[#This Row],[Customer ID]], customers!$A$2:$A$1001, customers!$I$2:$I$1001, 0)</f>
        <v>No</v>
      </c>
    </row>
    <row r="87" spans="1:16" x14ac:dyDescent="0.35">
      <c r="A87" s="2" t="s">
        <v>971</v>
      </c>
      <c r="B87" s="3">
        <v>43664</v>
      </c>
      <c r="C87" s="2" t="s">
        <v>972</v>
      </c>
      <c r="D87" t="s">
        <v>6182</v>
      </c>
      <c r="E87" s="2">
        <v>3</v>
      </c>
      <c r="F87" s="2" t="str" cm="1">
        <f t="array" ref="F87">_xlfn.XLOOKUP(C87, customers!$A$1:A1086, customers!$B$1:B1086, 0)</f>
        <v>Jeffrey Dufaire</v>
      </c>
      <c r="G87" s="2" t="str">
        <f>IF(_xlfn.XLOOKUP(C87, customers!A86:A1086, customers!C86:C1086, 0)=0, "", _xlfn.XLOOKUP(C87, customers!A86:A1086, customers!C86:C1086, 0))</f>
        <v>jdufaire2d@fc2.com</v>
      </c>
      <c r="H87" s="2" t="str" cm="1">
        <f t="array" ref="H87">_xlfn.XLOOKUP(C87, customers!$A$1:A1086, customers!$G$1:G1086,, 0)</f>
        <v>United States</v>
      </c>
      <c r="I87" t="str" cm="1">
        <f t="array" ref="I87">_xlfn.XLOOKUP(orders!D87, products!$A$1:A134, products!$B$1:B134, 0)</f>
        <v>Ara</v>
      </c>
      <c r="J87" t="str" cm="1">
        <f t="array" ref="J87">_xlfn.XLOOKUP(D87, products!$A$1:A134, products!$C$1:C134, 0)</f>
        <v>L</v>
      </c>
      <c r="K87" s="4" cm="1">
        <f t="array" ref="K87">_xlfn.XLOOKUP(D87, products!$A$1:A134, products!$D$1:D134, 0)</f>
        <v>2.5</v>
      </c>
      <c r="L87" s="4" cm="1">
        <f t="array" ref="L87">_xlfn.XLOOKUP(D87, products!$A$1:A134, products!$E$1:E134)</f>
        <v>29.784999999999997</v>
      </c>
      <c r="M87">
        <f t="shared" si="2"/>
        <v>89.35499999999999</v>
      </c>
      <c r="N87" t="str">
        <f t="shared" si="3"/>
        <v>Arabica</v>
      </c>
      <c r="O87" t="str" cm="1">
        <f t="array" ref="O87">_xlfn.IFS(J87="M", "Medium", J87="L", "Light", J87="D", "Dark")</f>
        <v>Light</v>
      </c>
      <c r="P87" t="str">
        <f>_xlfn.XLOOKUP(Orders[[#This Row],[Customer ID]], customers!$A$2:$A$1001, customers!$I$2:$I$1001, 0)</f>
        <v>No</v>
      </c>
    </row>
    <row r="88" spans="1:16" x14ac:dyDescent="0.35">
      <c r="A88" s="2" t="s">
        <v>971</v>
      </c>
      <c r="B88" s="3">
        <v>43664</v>
      </c>
      <c r="C88" s="2" t="s">
        <v>972</v>
      </c>
      <c r="D88" t="s">
        <v>6154</v>
      </c>
      <c r="E88" s="2">
        <v>4</v>
      </c>
      <c r="F88" s="2" t="str" cm="1">
        <f t="array" ref="F88">_xlfn.XLOOKUP(C88, customers!$A$1:A1087, customers!$B$1:B1087, 0)</f>
        <v>Jeffrey Dufaire</v>
      </c>
      <c r="G88" s="2" t="str">
        <f>IF(_xlfn.XLOOKUP(C88, customers!A87:A1087, customers!C87:C1087, 0)=0, "", _xlfn.XLOOKUP(C88, customers!A87:A1087, customers!C87:C1087, 0))</f>
        <v>jdufaire2d@fc2.com</v>
      </c>
      <c r="H88" s="2" t="str" cm="1">
        <f t="array" ref="H88">_xlfn.XLOOKUP(C88, customers!$A$1:A1087, customers!$G$1:G1087,, 0)</f>
        <v>United States</v>
      </c>
      <c r="I88" t="str" cm="1">
        <f t="array" ref="I88">_xlfn.XLOOKUP(orders!D88, products!$A$1:A135, products!$B$1:B135, 0)</f>
        <v>Ara</v>
      </c>
      <c r="J88" t="str" cm="1">
        <f t="array" ref="J88">_xlfn.XLOOKUP(D88, products!$A$1:A135, products!$C$1:C135, 0)</f>
        <v>D</v>
      </c>
      <c r="K88" s="4" cm="1">
        <f t="array" ref="K88">_xlfn.XLOOKUP(D88, products!$A$1:A135, products!$D$1:D135, 0)</f>
        <v>0.2</v>
      </c>
      <c r="L88" s="4" cm="1">
        <f t="array" ref="L88">_xlfn.XLOOKUP(D88, products!$A$1:A135, products!$E$1:E135)</f>
        <v>2.9849999999999999</v>
      </c>
      <c r="M88">
        <f t="shared" si="2"/>
        <v>11.94</v>
      </c>
      <c r="N88" t="str">
        <f t="shared" si="3"/>
        <v>Arabica</v>
      </c>
      <c r="O88" t="str" cm="1">
        <f t="array" ref="O88">_xlfn.IFS(J88="M", "Medium", J88="L", "Light", J88="D", "Dark")</f>
        <v>Dark</v>
      </c>
      <c r="P88" t="str">
        <f>_xlfn.XLOOKUP(Orders[[#This Row],[Customer ID]], customers!$A$2:$A$1001, customers!$I$2:$I$1001, 0)</f>
        <v>No</v>
      </c>
    </row>
    <row r="89" spans="1:16" x14ac:dyDescent="0.35">
      <c r="A89" s="2" t="s">
        <v>980</v>
      </c>
      <c r="B89" s="3">
        <v>44289</v>
      </c>
      <c r="C89" s="2" t="s">
        <v>981</v>
      </c>
      <c r="D89" t="s">
        <v>6155</v>
      </c>
      <c r="E89" s="2">
        <v>3</v>
      </c>
      <c r="F89" s="2" t="str" cm="1">
        <f t="array" ref="F89">_xlfn.XLOOKUP(C89, customers!$A$1:A1088, customers!$B$1:B1088, 0)</f>
        <v>Beitris Keaveney</v>
      </c>
      <c r="G89" s="2" t="str">
        <f>IF(_xlfn.XLOOKUP(C89, customers!A88:A1088, customers!C88:C1088, 0)=0, "", _xlfn.XLOOKUP(C89, customers!A88:A1088, customers!C88:C1088, 0))</f>
        <v>bkeaveney2f@netlog.com</v>
      </c>
      <c r="H89" s="2" t="str" cm="1">
        <f t="array" ref="H89">_xlfn.XLOOKUP(C89, customers!$A$1:A1088, customers!$G$1:G1088,, 0)</f>
        <v>United States</v>
      </c>
      <c r="I89" t="str" cm="1">
        <f t="array" ref="I89">_xlfn.XLOOKUP(orders!D89, products!$A$1:A136, products!$B$1:B136, 0)</f>
        <v>Ara</v>
      </c>
      <c r="J89" t="str" cm="1">
        <f t="array" ref="J89">_xlfn.XLOOKUP(D89, products!$A$1:A136, products!$C$1:C136, 0)</f>
        <v>M</v>
      </c>
      <c r="K89" s="4" cm="1">
        <f t="array" ref="K89">_xlfn.XLOOKUP(D89, products!$A$1:A136, products!$D$1:D136, 0)</f>
        <v>1</v>
      </c>
      <c r="L89" s="4" cm="1">
        <f t="array" ref="L89">_xlfn.XLOOKUP(D89, products!$A$1:A136, products!$E$1:E136)</f>
        <v>11.25</v>
      </c>
      <c r="M89">
        <f t="shared" si="2"/>
        <v>33.75</v>
      </c>
      <c r="N89" t="str">
        <f t="shared" si="3"/>
        <v>Arabica</v>
      </c>
      <c r="O89" t="str" cm="1">
        <f t="array" ref="O89">_xlfn.IFS(J89="M", "Medium", J89="L", "Light", J89="D", "Dark")</f>
        <v>Medium</v>
      </c>
      <c r="P89" t="str">
        <f>_xlfn.XLOOKUP(Orders[[#This Row],[Customer ID]], customers!$A$2:$A$1001, customers!$I$2:$I$1001, 0)</f>
        <v>No</v>
      </c>
    </row>
    <row r="90" spans="1:16" x14ac:dyDescent="0.35">
      <c r="A90" s="2" t="s">
        <v>985</v>
      </c>
      <c r="B90" s="3">
        <v>44284</v>
      </c>
      <c r="C90" s="2" t="s">
        <v>986</v>
      </c>
      <c r="D90" t="s">
        <v>6179</v>
      </c>
      <c r="E90" s="2">
        <v>3</v>
      </c>
      <c r="F90" s="2" t="str" cm="1">
        <f t="array" ref="F90">_xlfn.XLOOKUP(C90, customers!$A$1:A1089, customers!$B$1:B1089, 0)</f>
        <v>Elna Grise</v>
      </c>
      <c r="G90" s="2" t="str">
        <f>IF(_xlfn.XLOOKUP(C90, customers!A89:A1089, customers!C89:C1089, 0)=0, "", _xlfn.XLOOKUP(C90, customers!A89:A1089, customers!C89:C1089, 0))</f>
        <v>egrise2g@cargocollective.com</v>
      </c>
      <c r="H90" s="2" t="str" cm="1">
        <f t="array" ref="H90">_xlfn.XLOOKUP(C90, customers!$A$1:A1089, customers!$G$1:G1089,, 0)</f>
        <v>United States</v>
      </c>
      <c r="I90" t="str" cm="1">
        <f t="array" ref="I90">_xlfn.XLOOKUP(orders!D90, products!$A$1:A137, products!$B$1:B137, 0)</f>
        <v>Rob</v>
      </c>
      <c r="J90" t="str" cm="1">
        <f t="array" ref="J90">_xlfn.XLOOKUP(D90, products!$A$1:A137, products!$C$1:C137, 0)</f>
        <v>L</v>
      </c>
      <c r="K90" s="4" cm="1">
        <f t="array" ref="K90">_xlfn.XLOOKUP(D90, products!$A$1:A137, products!$D$1:D137, 0)</f>
        <v>1</v>
      </c>
      <c r="L90" s="4" cm="1">
        <f t="array" ref="L90">_xlfn.XLOOKUP(D90, products!$A$1:A137, products!$E$1:E137)</f>
        <v>11.95</v>
      </c>
      <c r="M90">
        <f t="shared" si="2"/>
        <v>35.849999999999994</v>
      </c>
      <c r="N90" t="str">
        <f t="shared" si="3"/>
        <v>Robusta</v>
      </c>
      <c r="O90" t="str" cm="1">
        <f t="array" ref="O90">_xlfn.IFS(J90="M", "Medium", J90="L", "Light", J90="D", "Dark")</f>
        <v>Light</v>
      </c>
      <c r="P90" t="str">
        <f>_xlfn.XLOOKUP(Orders[[#This Row],[Customer ID]], customers!$A$2:$A$1001, customers!$I$2:$I$1001, 0)</f>
        <v>No</v>
      </c>
    </row>
    <row r="91" spans="1:16" x14ac:dyDescent="0.35">
      <c r="A91" s="2" t="s">
        <v>990</v>
      </c>
      <c r="B91" s="3">
        <v>44545</v>
      </c>
      <c r="C91" s="2" t="s">
        <v>991</v>
      </c>
      <c r="D91" t="s">
        <v>6140</v>
      </c>
      <c r="E91" s="2">
        <v>6</v>
      </c>
      <c r="F91" s="2" t="str" cm="1">
        <f t="array" ref="F91">_xlfn.XLOOKUP(C91, customers!$A$1:A1090, customers!$B$1:B1090, 0)</f>
        <v>Torie Gottelier</v>
      </c>
      <c r="G91" s="2" t="str">
        <f>IF(_xlfn.XLOOKUP(C91, customers!A90:A1090, customers!C90:C1090, 0)=0, "", _xlfn.XLOOKUP(C91, customers!A90:A1090, customers!C90:C1090, 0))</f>
        <v>tgottelier2h@vistaprint.com</v>
      </c>
      <c r="H91" s="2" t="str" cm="1">
        <f t="array" ref="H91">_xlfn.XLOOKUP(C91, customers!$A$1:A1090, customers!$G$1:G1090,, 0)</f>
        <v>United States</v>
      </c>
      <c r="I91" t="str" cm="1">
        <f t="array" ref="I91">_xlfn.XLOOKUP(orders!D91, products!$A$1:A138, products!$B$1:B138, 0)</f>
        <v>Ara</v>
      </c>
      <c r="J91" t="str" cm="1">
        <f t="array" ref="J91">_xlfn.XLOOKUP(D91, products!$A$1:A138, products!$C$1:C138, 0)</f>
        <v>L</v>
      </c>
      <c r="K91" s="4" cm="1">
        <f t="array" ref="K91">_xlfn.XLOOKUP(D91, products!$A$1:A138, products!$D$1:D138, 0)</f>
        <v>1</v>
      </c>
      <c r="L91" s="4" cm="1">
        <f t="array" ref="L91">_xlfn.XLOOKUP(D91, products!$A$1:A138, products!$E$1:E138)</f>
        <v>12.95</v>
      </c>
      <c r="M91">
        <f t="shared" si="2"/>
        <v>77.699999999999989</v>
      </c>
      <c r="N91" t="str">
        <f t="shared" si="3"/>
        <v>Arabica</v>
      </c>
      <c r="O91" t="str" cm="1">
        <f t="array" ref="O91">_xlfn.IFS(J91="M", "Medium", J91="L", "Light", J91="D", "Dark")</f>
        <v>Light</v>
      </c>
      <c r="P91" t="str">
        <f>_xlfn.XLOOKUP(Orders[[#This Row],[Customer ID]], customers!$A$2:$A$1001, customers!$I$2:$I$1001, 0)</f>
        <v>No</v>
      </c>
    </row>
    <row r="92" spans="1:16" x14ac:dyDescent="0.35">
      <c r="A92" s="2" t="s">
        <v>996</v>
      </c>
      <c r="B92" s="3">
        <v>43971</v>
      </c>
      <c r="C92" s="2" t="s">
        <v>997</v>
      </c>
      <c r="D92" t="s">
        <v>6140</v>
      </c>
      <c r="E92" s="2">
        <v>4</v>
      </c>
      <c r="F92" s="2" t="str" cm="1">
        <f t="array" ref="F92">_xlfn.XLOOKUP(C92, customers!$A$1:A1091, customers!$B$1:B1091, 0)</f>
        <v>Loydie Langlais</v>
      </c>
      <c r="G92" s="2" t="str">
        <f>IF(_xlfn.XLOOKUP(C92, customers!A91:A1091, customers!C91:C1091, 0)=0, "", _xlfn.XLOOKUP(C92, customers!A91:A1091, customers!C91:C1091, 0))</f>
        <v/>
      </c>
      <c r="H92" s="2" t="str" cm="1">
        <f t="array" ref="H92">_xlfn.XLOOKUP(C92, customers!$A$1:A1091, customers!$G$1:G1091,, 0)</f>
        <v>Ireland</v>
      </c>
      <c r="I92" t="str" cm="1">
        <f t="array" ref="I92">_xlfn.XLOOKUP(orders!D92, products!$A$1:A139, products!$B$1:B139, 0)</f>
        <v>Ara</v>
      </c>
      <c r="J92" t="str" cm="1">
        <f t="array" ref="J92">_xlfn.XLOOKUP(D92, products!$A$1:A139, products!$C$1:C139, 0)</f>
        <v>L</v>
      </c>
      <c r="K92" s="4" cm="1">
        <f t="array" ref="K92">_xlfn.XLOOKUP(D92, products!$A$1:A139, products!$D$1:D139, 0)</f>
        <v>1</v>
      </c>
      <c r="L92" s="4" cm="1">
        <f t="array" ref="L92">_xlfn.XLOOKUP(D92, products!$A$1:A139, products!$E$1:E139)</f>
        <v>12.95</v>
      </c>
      <c r="M92">
        <f t="shared" si="2"/>
        <v>51.8</v>
      </c>
      <c r="N92" t="str">
        <f t="shared" si="3"/>
        <v>Arabica</v>
      </c>
      <c r="O92" t="str" cm="1">
        <f t="array" ref="O92">_xlfn.IFS(J92="M", "Medium", J92="L", "Light", J92="D", "Dark")</f>
        <v>Light</v>
      </c>
      <c r="P92" t="str">
        <f>_xlfn.XLOOKUP(Orders[[#This Row],[Customer ID]], customers!$A$2:$A$1001, customers!$I$2:$I$1001, 0)</f>
        <v>Yes</v>
      </c>
    </row>
    <row r="93" spans="1:16" x14ac:dyDescent="0.35">
      <c r="A93" s="2" t="s">
        <v>1001</v>
      </c>
      <c r="B93" s="3">
        <v>44137</v>
      </c>
      <c r="C93" s="2" t="s">
        <v>1002</v>
      </c>
      <c r="D93" t="s">
        <v>6175</v>
      </c>
      <c r="E93" s="2">
        <v>4</v>
      </c>
      <c r="F93" s="2" t="str" cm="1">
        <f t="array" ref="F93">_xlfn.XLOOKUP(C93, customers!$A$1:A1092, customers!$B$1:B1092, 0)</f>
        <v>Adham Greenhead</v>
      </c>
      <c r="G93" s="2" t="str">
        <f>IF(_xlfn.XLOOKUP(C93, customers!A92:A1092, customers!C92:C1092, 0)=0, "", _xlfn.XLOOKUP(C93, customers!A92:A1092, customers!C92:C1092, 0))</f>
        <v>agreenhead2j@dailymail.co.uk</v>
      </c>
      <c r="H93" s="2" t="str" cm="1">
        <f t="array" ref="H93">_xlfn.XLOOKUP(C93, customers!$A$1:A1092, customers!$G$1:G1092,, 0)</f>
        <v>United States</v>
      </c>
      <c r="I93" t="str" cm="1">
        <f t="array" ref="I93">_xlfn.XLOOKUP(orders!D93, products!$A$1:A140, products!$B$1:B140, 0)</f>
        <v>Ara</v>
      </c>
      <c r="J93" t="str" cm="1">
        <f t="array" ref="J93">_xlfn.XLOOKUP(D93, products!$A$1:A140, products!$C$1:C140, 0)</f>
        <v>M</v>
      </c>
      <c r="K93" s="4" cm="1">
        <f t="array" ref="K93">_xlfn.XLOOKUP(D93, products!$A$1:A140, products!$D$1:D140, 0)</f>
        <v>2.5</v>
      </c>
      <c r="L93" s="4" cm="1">
        <f t="array" ref="L93">_xlfn.XLOOKUP(D93, products!$A$1:A140, products!$E$1:E140)</f>
        <v>25.874999999999996</v>
      </c>
      <c r="M93">
        <f t="shared" si="2"/>
        <v>103.49999999999999</v>
      </c>
      <c r="N93" t="str">
        <f t="shared" si="3"/>
        <v>Arabica</v>
      </c>
      <c r="O93" t="str" cm="1">
        <f t="array" ref="O93">_xlfn.IFS(J93="M", "Medium", J93="L", "Light", J93="D", "Dark")</f>
        <v>Medium</v>
      </c>
      <c r="P93" t="str">
        <f>_xlfn.XLOOKUP(Orders[[#This Row],[Customer ID]], customers!$A$2:$A$1001, customers!$I$2:$I$1001, 0)</f>
        <v>No</v>
      </c>
    </row>
    <row r="94" spans="1:16" x14ac:dyDescent="0.35">
      <c r="A94" s="2" t="s">
        <v>1007</v>
      </c>
      <c r="B94" s="3">
        <v>44037</v>
      </c>
      <c r="C94" s="2" t="s">
        <v>1008</v>
      </c>
      <c r="D94" t="s">
        <v>6171</v>
      </c>
      <c r="E94" s="2">
        <v>3</v>
      </c>
      <c r="F94" s="2" t="str" cm="1">
        <f t="array" ref="F94">_xlfn.XLOOKUP(C94, customers!$A$1:A1093, customers!$B$1:B1093, 0)</f>
        <v>Hamish MacSherry</v>
      </c>
      <c r="G94" s="2" t="str">
        <f>IF(_xlfn.XLOOKUP(C94, customers!A93:A1093, customers!C93:C1093, 0)=0, "", _xlfn.XLOOKUP(C94, customers!A93:A1093, customers!C93:C1093, 0))</f>
        <v/>
      </c>
      <c r="H94" s="2" t="str" cm="1">
        <f t="array" ref="H94">_xlfn.XLOOKUP(C94, customers!$A$1:A1093, customers!$G$1:G1093,, 0)</f>
        <v>United States</v>
      </c>
      <c r="I94" t="str" cm="1">
        <f t="array" ref="I94">_xlfn.XLOOKUP(orders!D94, products!$A$1:A141, products!$B$1:B141, 0)</f>
        <v>Exc</v>
      </c>
      <c r="J94" t="str" cm="1">
        <f t="array" ref="J94">_xlfn.XLOOKUP(D94, products!$A$1:A141, products!$C$1:C141, 0)</f>
        <v>L</v>
      </c>
      <c r="K94" s="4" cm="1">
        <f t="array" ref="K94">_xlfn.XLOOKUP(D94, products!$A$1:A141, products!$D$1:D141, 0)</f>
        <v>1</v>
      </c>
      <c r="L94" s="4" cm="1">
        <f t="array" ref="L94">_xlfn.XLOOKUP(D94, products!$A$1:A141, products!$E$1:E141)</f>
        <v>14.85</v>
      </c>
      <c r="M94">
        <f t="shared" si="2"/>
        <v>44.55</v>
      </c>
      <c r="N94" t="str">
        <f t="shared" si="3"/>
        <v>Excelsa</v>
      </c>
      <c r="O94" t="str" cm="1">
        <f t="array" ref="O94">_xlfn.IFS(J94="M", "Medium", J94="L", "Light", J94="D", "Dark")</f>
        <v>Light</v>
      </c>
      <c r="P94" t="str">
        <f>_xlfn.XLOOKUP(Orders[[#This Row],[Customer ID]], customers!$A$2:$A$1001, customers!$I$2:$I$1001, 0)</f>
        <v>Yes</v>
      </c>
    </row>
    <row r="95" spans="1:16" x14ac:dyDescent="0.35">
      <c r="A95" s="2" t="s">
        <v>1012</v>
      </c>
      <c r="B95" s="3">
        <v>43538</v>
      </c>
      <c r="C95" s="2" t="s">
        <v>1013</v>
      </c>
      <c r="D95" t="s">
        <v>6176</v>
      </c>
      <c r="E95" s="2">
        <v>4</v>
      </c>
      <c r="F95" s="2" t="str" cm="1">
        <f t="array" ref="F95">_xlfn.XLOOKUP(C95, customers!$A$1:A1094, customers!$B$1:B1094, 0)</f>
        <v>Else Langcaster</v>
      </c>
      <c r="G95" s="2" t="str">
        <f>IF(_xlfn.XLOOKUP(C95, customers!A94:A1094, customers!C94:C1094, 0)=0, "", _xlfn.XLOOKUP(C95, customers!A94:A1094, customers!C94:C1094, 0))</f>
        <v>elangcaster2l@spotify.com</v>
      </c>
      <c r="H95" s="2" t="str" cm="1">
        <f t="array" ref="H95">_xlfn.XLOOKUP(C95, customers!$A$1:A1094, customers!$G$1:G1094,, 0)</f>
        <v>United Kingdom</v>
      </c>
      <c r="I95" t="str" cm="1">
        <f t="array" ref="I95">_xlfn.XLOOKUP(orders!D95, products!$A$1:A142, products!$B$1:B142, 0)</f>
        <v>Exc</v>
      </c>
      <c r="J95" t="str" cm="1">
        <f t="array" ref="J95">_xlfn.XLOOKUP(D95, products!$A$1:A142, products!$C$1:C142, 0)</f>
        <v>L</v>
      </c>
      <c r="K95" s="4" cm="1">
        <f t="array" ref="K95">_xlfn.XLOOKUP(D95, products!$A$1:A142, products!$D$1:D142, 0)</f>
        <v>0.5</v>
      </c>
      <c r="L95" s="4" cm="1">
        <f t="array" ref="L95">_xlfn.XLOOKUP(D95, products!$A$1:A142, products!$E$1:E142)</f>
        <v>8.91</v>
      </c>
      <c r="M95">
        <f t="shared" si="2"/>
        <v>35.64</v>
      </c>
      <c r="N95" t="str">
        <f t="shared" si="3"/>
        <v>Excelsa</v>
      </c>
      <c r="O95" t="str" cm="1">
        <f t="array" ref="O95">_xlfn.IFS(J95="M", "Medium", J95="L", "Light", J95="D", "Dark")</f>
        <v>Light</v>
      </c>
      <c r="P95" t="str">
        <f>_xlfn.XLOOKUP(Orders[[#This Row],[Customer ID]], customers!$A$2:$A$1001, customers!$I$2:$I$1001, 0)</f>
        <v>Yes</v>
      </c>
    </row>
    <row r="96" spans="1:16" x14ac:dyDescent="0.35">
      <c r="A96" s="2" t="s">
        <v>1018</v>
      </c>
      <c r="B96" s="3">
        <v>44014</v>
      </c>
      <c r="C96" s="2" t="s">
        <v>1019</v>
      </c>
      <c r="D96" t="s">
        <v>6154</v>
      </c>
      <c r="E96" s="2">
        <v>6</v>
      </c>
      <c r="F96" s="2" t="str" cm="1">
        <f t="array" ref="F96">_xlfn.XLOOKUP(C96, customers!$A$1:A1095, customers!$B$1:B1095, 0)</f>
        <v>Rudy Farquharson</v>
      </c>
      <c r="G96" s="2" t="str">
        <f>IF(_xlfn.XLOOKUP(C96, customers!A95:A1095, customers!C95:C1095, 0)=0, "", _xlfn.XLOOKUP(C96, customers!A95:A1095, customers!C95:C1095, 0))</f>
        <v/>
      </c>
      <c r="H96" s="2" t="str" cm="1">
        <f t="array" ref="H96">_xlfn.XLOOKUP(C96, customers!$A$1:A1095, customers!$G$1:G1095,, 0)</f>
        <v>Ireland</v>
      </c>
      <c r="I96" t="str" cm="1">
        <f t="array" ref="I96">_xlfn.XLOOKUP(orders!D96, products!$A$1:A143, products!$B$1:B143, 0)</f>
        <v>Ara</v>
      </c>
      <c r="J96" t="str" cm="1">
        <f t="array" ref="J96">_xlfn.XLOOKUP(D96, products!$A$1:A143, products!$C$1:C143, 0)</f>
        <v>D</v>
      </c>
      <c r="K96" s="4" cm="1">
        <f t="array" ref="K96">_xlfn.XLOOKUP(D96, products!$A$1:A143, products!$D$1:D143, 0)</f>
        <v>0.2</v>
      </c>
      <c r="L96" s="4" cm="1">
        <f t="array" ref="L96">_xlfn.XLOOKUP(D96, products!$A$1:A143, products!$E$1:E143)</f>
        <v>2.9849999999999999</v>
      </c>
      <c r="M96">
        <f t="shared" si="2"/>
        <v>17.91</v>
      </c>
      <c r="N96" t="str">
        <f t="shared" si="3"/>
        <v>Arabica</v>
      </c>
      <c r="O96" t="str" cm="1">
        <f t="array" ref="O96">_xlfn.IFS(J96="M", "Medium", J96="L", "Light", J96="D", "Dark")</f>
        <v>Dark</v>
      </c>
      <c r="P96" t="str">
        <f>_xlfn.XLOOKUP(Orders[[#This Row],[Customer ID]], customers!$A$2:$A$1001, customers!$I$2:$I$1001, 0)</f>
        <v>Yes</v>
      </c>
    </row>
    <row r="97" spans="1:16" x14ac:dyDescent="0.35">
      <c r="A97" s="2" t="s">
        <v>1022</v>
      </c>
      <c r="B97" s="3">
        <v>43816</v>
      </c>
      <c r="C97" s="2" t="s">
        <v>1023</v>
      </c>
      <c r="D97" t="s">
        <v>6175</v>
      </c>
      <c r="E97" s="2">
        <v>6</v>
      </c>
      <c r="F97" s="2" t="str" cm="1">
        <f t="array" ref="F97">_xlfn.XLOOKUP(C97, customers!$A$1:A1096, customers!$B$1:B1096, 0)</f>
        <v>Norene Magauran</v>
      </c>
      <c r="G97" s="2" t="str">
        <f>IF(_xlfn.XLOOKUP(C97, customers!A96:A1096, customers!C96:C1096, 0)=0, "", _xlfn.XLOOKUP(C97, customers!A96:A1096, customers!C96:C1096, 0))</f>
        <v>nmagauran2n@51.la</v>
      </c>
      <c r="H97" s="2" t="str" cm="1">
        <f t="array" ref="H97">_xlfn.XLOOKUP(C97, customers!$A$1:A1096, customers!$G$1:G1096,, 0)</f>
        <v>United States</v>
      </c>
      <c r="I97" t="str" cm="1">
        <f t="array" ref="I97">_xlfn.XLOOKUP(orders!D97, products!$A$1:A144, products!$B$1:B144, 0)</f>
        <v>Ara</v>
      </c>
      <c r="J97" t="str" cm="1">
        <f t="array" ref="J97">_xlfn.XLOOKUP(D97, products!$A$1:A144, products!$C$1:C144, 0)</f>
        <v>M</v>
      </c>
      <c r="K97" s="4" cm="1">
        <f t="array" ref="K97">_xlfn.XLOOKUP(D97, products!$A$1:A144, products!$D$1:D144, 0)</f>
        <v>2.5</v>
      </c>
      <c r="L97" s="4" cm="1">
        <f t="array" ref="L97">_xlfn.XLOOKUP(D97, products!$A$1:A144, products!$E$1:E144)</f>
        <v>25.874999999999996</v>
      </c>
      <c r="M97">
        <f t="shared" si="2"/>
        <v>155.24999999999997</v>
      </c>
      <c r="N97" t="str">
        <f t="shared" si="3"/>
        <v>Arabica</v>
      </c>
      <c r="O97" t="str" cm="1">
        <f t="array" ref="O97">_xlfn.IFS(J97="M", "Medium", J97="L", "Light", J97="D", "Dark")</f>
        <v>Medium</v>
      </c>
      <c r="P97" t="str">
        <f>_xlfn.XLOOKUP(Orders[[#This Row],[Customer ID]], customers!$A$2:$A$1001, customers!$I$2:$I$1001, 0)</f>
        <v>No</v>
      </c>
    </row>
    <row r="98" spans="1:16" x14ac:dyDescent="0.35">
      <c r="A98" s="2" t="s">
        <v>1027</v>
      </c>
      <c r="B98" s="3">
        <v>44171</v>
      </c>
      <c r="C98" s="2" t="s">
        <v>1028</v>
      </c>
      <c r="D98" t="s">
        <v>6154</v>
      </c>
      <c r="E98" s="2">
        <v>2</v>
      </c>
      <c r="F98" s="2" t="str" cm="1">
        <f t="array" ref="F98">_xlfn.XLOOKUP(C98, customers!$A$1:A1097, customers!$B$1:B1097, 0)</f>
        <v>Vicki Kirdsch</v>
      </c>
      <c r="G98" s="2" t="str">
        <f>IF(_xlfn.XLOOKUP(C98, customers!A97:A1097, customers!C97:C1097, 0)=0, "", _xlfn.XLOOKUP(C98, customers!A97:A1097, customers!C97:C1097, 0))</f>
        <v>vkirdsch2o@google.fr</v>
      </c>
      <c r="H98" s="2" t="str" cm="1">
        <f t="array" ref="H98">_xlfn.XLOOKUP(C98, customers!$A$1:A1097, customers!$G$1:G1097,, 0)</f>
        <v>United States</v>
      </c>
      <c r="I98" t="str" cm="1">
        <f t="array" ref="I98">_xlfn.XLOOKUP(orders!D98, products!$A$1:A145, products!$B$1:B145, 0)</f>
        <v>Ara</v>
      </c>
      <c r="J98" t="str" cm="1">
        <f t="array" ref="J98">_xlfn.XLOOKUP(D98, products!$A$1:A145, products!$C$1:C145, 0)</f>
        <v>D</v>
      </c>
      <c r="K98" s="4" cm="1">
        <f t="array" ref="K98">_xlfn.XLOOKUP(D98, products!$A$1:A145, products!$D$1:D145, 0)</f>
        <v>0.2</v>
      </c>
      <c r="L98" s="4" cm="1">
        <f t="array" ref="L98">_xlfn.XLOOKUP(D98, products!$A$1:A145, products!$E$1:E145)</f>
        <v>2.9849999999999999</v>
      </c>
      <c r="M98">
        <f t="shared" si="2"/>
        <v>5.97</v>
      </c>
      <c r="N98" t="str">
        <f t="shared" si="3"/>
        <v>Arabica</v>
      </c>
      <c r="O98" t="str" cm="1">
        <f t="array" ref="O98">_xlfn.IFS(J98="M", "Medium", J98="L", "Light", J98="D", "Dark")</f>
        <v>Dark</v>
      </c>
      <c r="P98" t="str">
        <f>_xlfn.XLOOKUP(Orders[[#This Row],[Customer ID]], customers!$A$2:$A$1001, customers!$I$2:$I$1001, 0)</f>
        <v>No</v>
      </c>
    </row>
    <row r="99" spans="1:16" x14ac:dyDescent="0.35">
      <c r="A99" s="2" t="s">
        <v>1032</v>
      </c>
      <c r="B99" s="3">
        <v>44259</v>
      </c>
      <c r="C99" s="2" t="s">
        <v>1033</v>
      </c>
      <c r="D99" t="s">
        <v>6157</v>
      </c>
      <c r="E99" s="2">
        <v>2</v>
      </c>
      <c r="F99" s="2" t="str" cm="1">
        <f t="array" ref="F99">_xlfn.XLOOKUP(C99, customers!$A$1:A1098, customers!$B$1:B1098, 0)</f>
        <v>Ilysa Whapple</v>
      </c>
      <c r="G99" s="2" t="str">
        <f>IF(_xlfn.XLOOKUP(C99, customers!A98:A1098, customers!C98:C1098, 0)=0, "", _xlfn.XLOOKUP(C99, customers!A98:A1098, customers!C98:C1098, 0))</f>
        <v>iwhapple2p@com.com</v>
      </c>
      <c r="H99" s="2" t="str" cm="1">
        <f t="array" ref="H99">_xlfn.XLOOKUP(C99, customers!$A$1:A1098, customers!$G$1:G1098,, 0)</f>
        <v>United States</v>
      </c>
      <c r="I99" t="str" cm="1">
        <f t="array" ref="I99">_xlfn.XLOOKUP(orders!D99, products!$A$1:A146, products!$B$1:B146, 0)</f>
        <v>Ara</v>
      </c>
      <c r="J99" t="str" cm="1">
        <f t="array" ref="J99">_xlfn.XLOOKUP(D99, products!$A$1:A146, products!$C$1:C146, 0)</f>
        <v>M</v>
      </c>
      <c r="K99" s="4" cm="1">
        <f t="array" ref="K99">_xlfn.XLOOKUP(D99, products!$A$1:A146, products!$D$1:D146, 0)</f>
        <v>0.5</v>
      </c>
      <c r="L99" s="4" cm="1">
        <f t="array" ref="L99">_xlfn.XLOOKUP(D99, products!$A$1:A146, products!$E$1:E146)</f>
        <v>6.75</v>
      </c>
      <c r="M99">
        <f t="shared" si="2"/>
        <v>13.5</v>
      </c>
      <c r="N99" t="str">
        <f t="shared" si="3"/>
        <v>Arabica</v>
      </c>
      <c r="O99" t="str" cm="1">
        <f t="array" ref="O99">_xlfn.IFS(J99="M", "Medium", J99="L", "Light", J99="D", "Dark")</f>
        <v>Medium</v>
      </c>
      <c r="P99" t="str">
        <f>_xlfn.XLOOKUP(Orders[[#This Row],[Customer ID]], customers!$A$2:$A$1001, customers!$I$2:$I$1001, 0)</f>
        <v>No</v>
      </c>
    </row>
    <row r="100" spans="1:16" x14ac:dyDescent="0.35">
      <c r="A100" s="2" t="s">
        <v>1038</v>
      </c>
      <c r="B100" s="3">
        <v>44394</v>
      </c>
      <c r="C100" s="2" t="s">
        <v>1039</v>
      </c>
      <c r="D100" t="s">
        <v>6154</v>
      </c>
      <c r="E100" s="2">
        <v>1</v>
      </c>
      <c r="F100" s="2" t="str" cm="1">
        <f t="array" ref="F100">_xlfn.XLOOKUP(C100, customers!$A$1:A1099, customers!$B$1:B1099, 0)</f>
        <v>Ruy Cancellieri</v>
      </c>
      <c r="G100" s="2" t="str">
        <f>IF(_xlfn.XLOOKUP(C100, customers!A99:A1099, customers!C99:C1099, 0)=0, "", _xlfn.XLOOKUP(C100, customers!A99:A1099, customers!C99:C1099, 0))</f>
        <v/>
      </c>
      <c r="H100" s="2" t="str" cm="1">
        <f t="array" ref="H100">_xlfn.XLOOKUP(C100, customers!$A$1:A1099, customers!$G$1:G1099,, 0)</f>
        <v>Ireland</v>
      </c>
      <c r="I100" t="str" cm="1">
        <f t="array" ref="I100">_xlfn.XLOOKUP(orders!D100, products!$A$1:A147, products!$B$1:B147, 0)</f>
        <v>Ara</v>
      </c>
      <c r="J100" t="str" cm="1">
        <f t="array" ref="J100">_xlfn.XLOOKUP(D100, products!$A$1:A147, products!$C$1:C147, 0)</f>
        <v>D</v>
      </c>
      <c r="K100" s="4" cm="1">
        <f t="array" ref="K100">_xlfn.XLOOKUP(D100, products!$A$1:A147, products!$D$1:D147, 0)</f>
        <v>0.2</v>
      </c>
      <c r="L100" s="4" cm="1">
        <f t="array" ref="L100">_xlfn.XLOOKUP(D100, products!$A$1:A147, products!$E$1:E147)</f>
        <v>2.9849999999999999</v>
      </c>
      <c r="M100">
        <f t="shared" si="2"/>
        <v>2.9849999999999999</v>
      </c>
      <c r="N100" t="str">
        <f t="shared" si="3"/>
        <v>Arabica</v>
      </c>
      <c r="O100" t="str" cm="1">
        <f t="array" ref="O100">_xlfn.IFS(J100="M", "Medium", J100="L", "Light", J100="D", "Dark")</f>
        <v>Dark</v>
      </c>
      <c r="P100" t="str">
        <f>_xlfn.XLOOKUP(Orders[[#This Row],[Customer ID]], customers!$A$2:$A$1001, customers!$I$2:$I$1001, 0)</f>
        <v>No</v>
      </c>
    </row>
    <row r="101" spans="1:16" x14ac:dyDescent="0.35">
      <c r="A101" s="2" t="s">
        <v>1043</v>
      </c>
      <c r="B101" s="3">
        <v>44139</v>
      </c>
      <c r="C101" s="2" t="s">
        <v>1044</v>
      </c>
      <c r="D101" t="s">
        <v>6159</v>
      </c>
      <c r="E101" s="2">
        <v>3</v>
      </c>
      <c r="F101" s="2" t="str" cm="1">
        <f t="array" ref="F101">_xlfn.XLOOKUP(C101, customers!$A$1:A1100, customers!$B$1:B1100, 0)</f>
        <v>Aube Follett</v>
      </c>
      <c r="G101" s="2" t="str">
        <f>IF(_xlfn.XLOOKUP(C101, customers!A100:A1100, customers!C100:C1100, 0)=0, "", _xlfn.XLOOKUP(C101, customers!A100:A1100, customers!C100:C1100, 0))</f>
        <v/>
      </c>
      <c r="H101" s="2" t="str" cm="1">
        <f t="array" ref="H101">_xlfn.XLOOKUP(C101, customers!$A$1:A1100, customers!$G$1:G1100,, 0)</f>
        <v>United States</v>
      </c>
      <c r="I101" t="str" cm="1">
        <f t="array" ref="I101">_xlfn.XLOOKUP(orders!D101, products!$A$1:A148, products!$B$1:B148, 0)</f>
        <v>Lib</v>
      </c>
      <c r="J101" t="str" cm="1">
        <f t="array" ref="J101">_xlfn.XLOOKUP(D101, products!$A$1:A148, products!$C$1:C148, 0)</f>
        <v>M</v>
      </c>
      <c r="K101" s="4" cm="1">
        <f t="array" ref="K101">_xlfn.XLOOKUP(D101, products!$A$1:A148, products!$D$1:D148, 0)</f>
        <v>0.2</v>
      </c>
      <c r="L101" s="4" cm="1">
        <f t="array" ref="L101">_xlfn.XLOOKUP(D101, products!$A$1:A148, products!$E$1:E148)</f>
        <v>4.3650000000000002</v>
      </c>
      <c r="M101">
        <f t="shared" si="2"/>
        <v>13.095000000000001</v>
      </c>
      <c r="N101" t="str">
        <f t="shared" si="3"/>
        <v>Liberica</v>
      </c>
      <c r="O101" t="str" cm="1">
        <f t="array" ref="O101">_xlfn.IFS(J101="M", "Medium", J101="L", "Light", J101="D", "Dark")</f>
        <v>Medium</v>
      </c>
      <c r="P101" t="str">
        <f>_xlfn.XLOOKUP(Orders[[#This Row],[Customer ID]], customers!$A$2:$A$1001, customers!$I$2:$I$1001, 0)</f>
        <v>Yes</v>
      </c>
    </row>
    <row r="102" spans="1:16" x14ac:dyDescent="0.35">
      <c r="A102" s="2" t="s">
        <v>1048</v>
      </c>
      <c r="B102" s="3">
        <v>44291</v>
      </c>
      <c r="C102" s="2" t="s">
        <v>1049</v>
      </c>
      <c r="D102" t="s">
        <v>6167</v>
      </c>
      <c r="E102" s="2">
        <v>2</v>
      </c>
      <c r="F102" s="2" t="str" cm="1">
        <f t="array" ref="F102">_xlfn.XLOOKUP(C102, customers!$A$1:A1101, customers!$B$1:B1101, 0)</f>
        <v>Rudiger Di Bartolomeo</v>
      </c>
      <c r="G102" s="2" t="str">
        <f>IF(_xlfn.XLOOKUP(C102, customers!A101:A1101, customers!C101:C1101, 0)=0, "", _xlfn.XLOOKUP(C102, customers!A101:A1101, customers!C101:C1101, 0))</f>
        <v/>
      </c>
      <c r="H102" s="2" t="str" cm="1">
        <f t="array" ref="H102">_xlfn.XLOOKUP(C102, customers!$A$1:A1101, customers!$G$1:G1101,, 0)</f>
        <v>United States</v>
      </c>
      <c r="I102" t="str" cm="1">
        <f t="array" ref="I102">_xlfn.XLOOKUP(orders!D102, products!$A$1:A149, products!$B$1:B149, 0)</f>
        <v>Ara</v>
      </c>
      <c r="J102" t="str" cm="1">
        <f t="array" ref="J102">_xlfn.XLOOKUP(D102, products!$A$1:A149, products!$C$1:C149, 0)</f>
        <v>L</v>
      </c>
      <c r="K102" s="4" cm="1">
        <f t="array" ref="K102">_xlfn.XLOOKUP(D102, products!$A$1:A149, products!$D$1:D149, 0)</f>
        <v>0.2</v>
      </c>
      <c r="L102" s="4" cm="1">
        <f t="array" ref="L102">_xlfn.XLOOKUP(D102, products!$A$1:A149, products!$E$1:E149)</f>
        <v>3.8849999999999998</v>
      </c>
      <c r="M102">
        <f t="shared" si="2"/>
        <v>7.77</v>
      </c>
      <c r="N102" t="str">
        <f t="shared" si="3"/>
        <v>Arabica</v>
      </c>
      <c r="O102" t="str" cm="1">
        <f t="array" ref="O102">_xlfn.IFS(J102="M", "Medium", J102="L", "Light", J102="D", "Dark")</f>
        <v>Light</v>
      </c>
      <c r="P102" t="str">
        <f>_xlfn.XLOOKUP(Orders[[#This Row],[Customer ID]], customers!$A$2:$A$1001, customers!$I$2:$I$1001, 0)</f>
        <v>Yes</v>
      </c>
    </row>
    <row r="103" spans="1:16" x14ac:dyDescent="0.35">
      <c r="A103" s="2" t="s">
        <v>1053</v>
      </c>
      <c r="B103" s="3">
        <v>43891</v>
      </c>
      <c r="C103" s="2" t="s">
        <v>1054</v>
      </c>
      <c r="D103" t="s">
        <v>6165</v>
      </c>
      <c r="E103" s="2">
        <v>5</v>
      </c>
      <c r="F103" s="2" t="str" cm="1">
        <f t="array" ref="F103">_xlfn.XLOOKUP(C103, customers!$A$1:A1102, customers!$B$1:B1102, 0)</f>
        <v>Nickey Youles</v>
      </c>
      <c r="G103" s="2" t="str">
        <f>IF(_xlfn.XLOOKUP(C103, customers!A102:A1102, customers!C102:C1102, 0)=0, "", _xlfn.XLOOKUP(C103, customers!A102:A1102, customers!C102:C1102, 0))</f>
        <v>nyoules2t@reference.com</v>
      </c>
      <c r="H103" s="2" t="str" cm="1">
        <f t="array" ref="H103">_xlfn.XLOOKUP(C103, customers!$A$1:A1102, customers!$G$1:G1102,, 0)</f>
        <v>Ireland</v>
      </c>
      <c r="I103" t="str" cm="1">
        <f t="array" ref="I103">_xlfn.XLOOKUP(orders!D103, products!$A$1:A150, products!$B$1:B150, 0)</f>
        <v>Lib</v>
      </c>
      <c r="J103" t="str" cm="1">
        <f t="array" ref="J103">_xlfn.XLOOKUP(D103, products!$A$1:A150, products!$C$1:C150, 0)</f>
        <v>D</v>
      </c>
      <c r="K103" s="4" cm="1">
        <f t="array" ref="K103">_xlfn.XLOOKUP(D103, products!$A$1:A150, products!$D$1:D150, 0)</f>
        <v>2.5</v>
      </c>
      <c r="L103" s="4" cm="1">
        <f t="array" ref="L103">_xlfn.XLOOKUP(D103, products!$A$1:A150, products!$E$1:E150)</f>
        <v>29.784999999999997</v>
      </c>
      <c r="M103">
        <f t="shared" si="2"/>
        <v>148.92499999999998</v>
      </c>
      <c r="N103" t="str">
        <f t="shared" si="3"/>
        <v>Liberica</v>
      </c>
      <c r="O103" t="str" cm="1">
        <f t="array" ref="O103">_xlfn.IFS(J103="M", "Medium", J103="L", "Light", J103="D", "Dark")</f>
        <v>Dark</v>
      </c>
      <c r="P103" t="str">
        <f>_xlfn.XLOOKUP(Orders[[#This Row],[Customer ID]], customers!$A$2:$A$1001, customers!$I$2:$I$1001, 0)</f>
        <v>Yes</v>
      </c>
    </row>
    <row r="104" spans="1:16" x14ac:dyDescent="0.35">
      <c r="A104" s="2" t="s">
        <v>1059</v>
      </c>
      <c r="B104" s="3">
        <v>44488</v>
      </c>
      <c r="C104" s="2" t="s">
        <v>1060</v>
      </c>
      <c r="D104" t="s">
        <v>6143</v>
      </c>
      <c r="E104" s="2">
        <v>3</v>
      </c>
      <c r="F104" s="2" t="str" cm="1">
        <f t="array" ref="F104">_xlfn.XLOOKUP(C104, customers!$A$1:A1103, customers!$B$1:B1103, 0)</f>
        <v>Dyanna Aizikovitz</v>
      </c>
      <c r="G104" s="2" t="str">
        <f>IF(_xlfn.XLOOKUP(C104, customers!A103:A1103, customers!C103:C1103, 0)=0, "", _xlfn.XLOOKUP(C104, customers!A103:A1103, customers!C103:C1103, 0))</f>
        <v>daizikovitz2u@answers.com</v>
      </c>
      <c r="H104" s="2" t="str" cm="1">
        <f t="array" ref="H104">_xlfn.XLOOKUP(C104, customers!$A$1:A1103, customers!$G$1:G1103,, 0)</f>
        <v>Ireland</v>
      </c>
      <c r="I104" t="str" cm="1">
        <f t="array" ref="I104">_xlfn.XLOOKUP(orders!D104, products!$A$1:A151, products!$B$1:B151, 0)</f>
        <v>Lib</v>
      </c>
      <c r="J104" t="str" cm="1">
        <f t="array" ref="J104">_xlfn.XLOOKUP(D104, products!$A$1:A151, products!$C$1:C151, 0)</f>
        <v>D</v>
      </c>
      <c r="K104" s="4" cm="1">
        <f t="array" ref="K104">_xlfn.XLOOKUP(D104, products!$A$1:A151, products!$D$1:D151, 0)</f>
        <v>1</v>
      </c>
      <c r="L104" s="4" cm="1">
        <f t="array" ref="L104">_xlfn.XLOOKUP(D104, products!$A$1:A151, products!$E$1:E151)</f>
        <v>12.95</v>
      </c>
      <c r="M104">
        <f t="shared" si="2"/>
        <v>38.849999999999994</v>
      </c>
      <c r="N104" t="str">
        <f t="shared" si="3"/>
        <v>Liberica</v>
      </c>
      <c r="O104" t="str" cm="1">
        <f t="array" ref="O104">_xlfn.IFS(J104="M", "Medium", J104="L", "Light", J104="D", "Dark")</f>
        <v>Dark</v>
      </c>
      <c r="P104" t="str">
        <f>_xlfn.XLOOKUP(Orders[[#This Row],[Customer ID]], customers!$A$2:$A$1001, customers!$I$2:$I$1001, 0)</f>
        <v>Yes</v>
      </c>
    </row>
    <row r="105" spans="1:16" x14ac:dyDescent="0.35">
      <c r="A105" s="2" t="s">
        <v>1065</v>
      </c>
      <c r="B105" s="3">
        <v>44750</v>
      </c>
      <c r="C105" s="2" t="s">
        <v>1066</v>
      </c>
      <c r="D105" t="s">
        <v>6174</v>
      </c>
      <c r="E105" s="2">
        <v>4</v>
      </c>
      <c r="F105" s="2" t="str" cm="1">
        <f t="array" ref="F105">_xlfn.XLOOKUP(C105, customers!$A$1:A1104, customers!$B$1:B1104, 0)</f>
        <v>Bram Revel</v>
      </c>
      <c r="G105" s="2" t="str">
        <f>IF(_xlfn.XLOOKUP(C105, customers!A104:A1104, customers!C104:C1104, 0)=0, "", _xlfn.XLOOKUP(C105, customers!A104:A1104, customers!C104:C1104, 0))</f>
        <v>brevel2v@fastcompany.com</v>
      </c>
      <c r="H105" s="2" t="str" cm="1">
        <f t="array" ref="H105">_xlfn.XLOOKUP(C105, customers!$A$1:A1104, customers!$G$1:G1104,, 0)</f>
        <v>United States</v>
      </c>
      <c r="I105" t="str" cm="1">
        <f t="array" ref="I105">_xlfn.XLOOKUP(orders!D105, products!$A$1:A152, products!$B$1:B152, 0)</f>
        <v>Rob</v>
      </c>
      <c r="J105" t="str" cm="1">
        <f t="array" ref="J105">_xlfn.XLOOKUP(D105, products!$A$1:A152, products!$C$1:C152, 0)</f>
        <v>M</v>
      </c>
      <c r="K105" s="4" cm="1">
        <f t="array" ref="K105">_xlfn.XLOOKUP(D105, products!$A$1:A152, products!$D$1:D152, 0)</f>
        <v>0.2</v>
      </c>
      <c r="L105" s="4" cm="1">
        <f t="array" ref="L105">_xlfn.XLOOKUP(D105, products!$A$1:A152, products!$E$1:E152)</f>
        <v>2.9849999999999999</v>
      </c>
      <c r="M105">
        <f t="shared" si="2"/>
        <v>11.94</v>
      </c>
      <c r="N105" t="str">
        <f t="shared" si="3"/>
        <v>Robusta</v>
      </c>
      <c r="O105" t="str" cm="1">
        <f t="array" ref="O105">_xlfn.IFS(J105="M", "Medium", J105="L", "Light", J105="D", "Dark")</f>
        <v>Medium</v>
      </c>
      <c r="P105" t="str">
        <f>_xlfn.XLOOKUP(Orders[[#This Row],[Customer ID]], customers!$A$2:$A$1001, customers!$I$2:$I$1001, 0)</f>
        <v>No</v>
      </c>
    </row>
    <row r="106" spans="1:16" x14ac:dyDescent="0.35">
      <c r="A106" s="2" t="s">
        <v>1071</v>
      </c>
      <c r="B106" s="3">
        <v>43694</v>
      </c>
      <c r="C106" s="2" t="s">
        <v>1072</v>
      </c>
      <c r="D106" t="s">
        <v>6162</v>
      </c>
      <c r="E106" s="2">
        <v>6</v>
      </c>
      <c r="F106" s="2" t="str" cm="1">
        <f t="array" ref="F106">_xlfn.XLOOKUP(C106, customers!$A$1:A1105, customers!$B$1:B1105, 0)</f>
        <v>Emiline Priddis</v>
      </c>
      <c r="G106" s="2" t="str">
        <f>IF(_xlfn.XLOOKUP(C106, customers!A105:A1105, customers!C105:C1105, 0)=0, "", _xlfn.XLOOKUP(C106, customers!A105:A1105, customers!C105:C1105, 0))</f>
        <v>epriddis2w@nationalgeographic.com</v>
      </c>
      <c r="H106" s="2" t="str" cm="1">
        <f t="array" ref="H106">_xlfn.XLOOKUP(C106, customers!$A$1:A1105, customers!$G$1:G1105,, 0)</f>
        <v>United States</v>
      </c>
      <c r="I106" t="str" cm="1">
        <f t="array" ref="I106">_xlfn.XLOOKUP(orders!D106, products!$A$1:A153, products!$B$1:B153, 0)</f>
        <v>Lib</v>
      </c>
      <c r="J106" t="str" cm="1">
        <f t="array" ref="J106">_xlfn.XLOOKUP(D106, products!$A$1:A153, products!$C$1:C153, 0)</f>
        <v>M</v>
      </c>
      <c r="K106" s="4" cm="1">
        <f t="array" ref="K106">_xlfn.XLOOKUP(D106, products!$A$1:A153, products!$D$1:D153, 0)</f>
        <v>1</v>
      </c>
      <c r="L106" s="4" cm="1">
        <f t="array" ref="L106">_xlfn.XLOOKUP(D106, products!$A$1:A153, products!$E$1:E153)</f>
        <v>14.55</v>
      </c>
      <c r="M106">
        <f t="shared" si="2"/>
        <v>87.300000000000011</v>
      </c>
      <c r="N106" t="str">
        <f t="shared" si="3"/>
        <v>Liberica</v>
      </c>
      <c r="O106" t="str" cm="1">
        <f t="array" ref="O106">_xlfn.IFS(J106="M", "Medium", J106="L", "Light", J106="D", "Dark")</f>
        <v>Medium</v>
      </c>
      <c r="P106" t="str">
        <f>_xlfn.XLOOKUP(Orders[[#This Row],[Customer ID]], customers!$A$2:$A$1001, customers!$I$2:$I$1001, 0)</f>
        <v>No</v>
      </c>
    </row>
    <row r="107" spans="1:16" x14ac:dyDescent="0.35">
      <c r="A107" s="2" t="s">
        <v>1077</v>
      </c>
      <c r="B107" s="3">
        <v>43982</v>
      </c>
      <c r="C107" s="2" t="s">
        <v>1078</v>
      </c>
      <c r="D107" t="s">
        <v>6157</v>
      </c>
      <c r="E107" s="2">
        <v>6</v>
      </c>
      <c r="F107" s="2" t="str" cm="1">
        <f t="array" ref="F107">_xlfn.XLOOKUP(C107, customers!$A$1:A1106, customers!$B$1:B1106, 0)</f>
        <v>Queenie Veel</v>
      </c>
      <c r="G107" s="2" t="str">
        <f>IF(_xlfn.XLOOKUP(C107, customers!A106:A1106, customers!C106:C1106, 0)=0, "", _xlfn.XLOOKUP(C107, customers!A106:A1106, customers!C106:C1106, 0))</f>
        <v>qveel2x@jugem.jp</v>
      </c>
      <c r="H107" s="2" t="str" cm="1">
        <f t="array" ref="H107">_xlfn.XLOOKUP(C107, customers!$A$1:A1106, customers!$G$1:G1106,, 0)</f>
        <v>United States</v>
      </c>
      <c r="I107" t="str" cm="1">
        <f t="array" ref="I107">_xlfn.XLOOKUP(orders!D107, products!$A$1:A154, products!$B$1:B154, 0)</f>
        <v>Ara</v>
      </c>
      <c r="J107" t="str" cm="1">
        <f t="array" ref="J107">_xlfn.XLOOKUP(D107, products!$A$1:A154, products!$C$1:C154, 0)</f>
        <v>M</v>
      </c>
      <c r="K107" s="4" cm="1">
        <f t="array" ref="K107">_xlfn.XLOOKUP(D107, products!$A$1:A154, products!$D$1:D154, 0)</f>
        <v>0.5</v>
      </c>
      <c r="L107" s="4" cm="1">
        <f t="array" ref="L107">_xlfn.XLOOKUP(D107, products!$A$1:A154, products!$E$1:E154)</f>
        <v>6.75</v>
      </c>
      <c r="M107">
        <f t="shared" si="2"/>
        <v>40.5</v>
      </c>
      <c r="N107" t="str">
        <f t="shared" si="3"/>
        <v>Arabica</v>
      </c>
      <c r="O107" t="str" cm="1">
        <f t="array" ref="O107">_xlfn.IFS(J107="M", "Medium", J107="L", "Light", J107="D", "Dark")</f>
        <v>Medium</v>
      </c>
      <c r="P107" t="str">
        <f>_xlfn.XLOOKUP(Orders[[#This Row],[Customer ID]], customers!$A$2:$A$1001, customers!$I$2:$I$1001, 0)</f>
        <v>Yes</v>
      </c>
    </row>
    <row r="108" spans="1:16" x14ac:dyDescent="0.35">
      <c r="A108" s="2" t="s">
        <v>1083</v>
      </c>
      <c r="B108" s="3">
        <v>43956</v>
      </c>
      <c r="C108" s="2" t="s">
        <v>1084</v>
      </c>
      <c r="D108" t="s">
        <v>6183</v>
      </c>
      <c r="E108" s="2">
        <v>2</v>
      </c>
      <c r="F108" s="2" t="str" cm="1">
        <f t="array" ref="F108">_xlfn.XLOOKUP(C108, customers!$A$1:A1107, customers!$B$1:B1107, 0)</f>
        <v>Lind Conyers</v>
      </c>
      <c r="G108" s="2" t="str">
        <f>IF(_xlfn.XLOOKUP(C108, customers!A107:A1107, customers!C107:C1107, 0)=0, "", _xlfn.XLOOKUP(C108, customers!A107:A1107, customers!C107:C1107, 0))</f>
        <v>lconyers2y@twitter.com</v>
      </c>
      <c r="H108" s="2" t="str" cm="1">
        <f t="array" ref="H108">_xlfn.XLOOKUP(C108, customers!$A$1:A1107, customers!$G$1:G1107,, 0)</f>
        <v>United States</v>
      </c>
      <c r="I108" t="str" cm="1">
        <f t="array" ref="I108">_xlfn.XLOOKUP(orders!D108, products!$A$1:A155, products!$B$1:B155, 0)</f>
        <v>Exc</v>
      </c>
      <c r="J108" t="str" cm="1">
        <f t="array" ref="J108">_xlfn.XLOOKUP(D108, products!$A$1:A155, products!$C$1:C155, 0)</f>
        <v>D</v>
      </c>
      <c r="K108" s="4" cm="1">
        <f t="array" ref="K108">_xlfn.XLOOKUP(D108, products!$A$1:A155, products!$D$1:D155, 0)</f>
        <v>1</v>
      </c>
      <c r="L108" s="4" cm="1">
        <f t="array" ref="L108">_xlfn.XLOOKUP(D108, products!$A$1:A155, products!$E$1:E155)</f>
        <v>12.15</v>
      </c>
      <c r="M108">
        <f t="shared" si="2"/>
        <v>24.3</v>
      </c>
      <c r="N108" t="str">
        <f t="shared" si="3"/>
        <v>Excelsa</v>
      </c>
      <c r="O108" t="str" cm="1">
        <f t="array" ref="O108">_xlfn.IFS(J108="M", "Medium", J108="L", "Light", J108="D", "Dark")</f>
        <v>Dark</v>
      </c>
      <c r="P108" t="str">
        <f>_xlfn.XLOOKUP(Orders[[#This Row],[Customer ID]], customers!$A$2:$A$1001, customers!$I$2:$I$1001, 0)</f>
        <v>No</v>
      </c>
    </row>
    <row r="109" spans="1:16" x14ac:dyDescent="0.35">
      <c r="A109" s="2" t="s">
        <v>1089</v>
      </c>
      <c r="B109" s="3">
        <v>43569</v>
      </c>
      <c r="C109" s="2" t="s">
        <v>1090</v>
      </c>
      <c r="D109" t="s">
        <v>6146</v>
      </c>
      <c r="E109" s="2">
        <v>3</v>
      </c>
      <c r="F109" s="2" t="str" cm="1">
        <f t="array" ref="F109">_xlfn.XLOOKUP(C109, customers!$A$1:A1108, customers!$B$1:B1108, 0)</f>
        <v>Pen Wye</v>
      </c>
      <c r="G109" s="2" t="str">
        <f>IF(_xlfn.XLOOKUP(C109, customers!A108:A1108, customers!C108:C1108, 0)=0, "", _xlfn.XLOOKUP(C109, customers!A108:A1108, customers!C108:C1108, 0))</f>
        <v>pwye2z@dagondesign.com</v>
      </c>
      <c r="H109" s="2" t="str" cm="1">
        <f t="array" ref="H109">_xlfn.XLOOKUP(C109, customers!$A$1:A1108, customers!$G$1:G1108,, 0)</f>
        <v>United States</v>
      </c>
      <c r="I109" t="str" cm="1">
        <f t="array" ref="I109">_xlfn.XLOOKUP(orders!D109, products!$A$1:A156, products!$B$1:B156, 0)</f>
        <v>Rob</v>
      </c>
      <c r="J109" t="str" cm="1">
        <f t="array" ref="J109">_xlfn.XLOOKUP(D109, products!$A$1:A156, products!$C$1:C156, 0)</f>
        <v>M</v>
      </c>
      <c r="K109" s="4" cm="1">
        <f t="array" ref="K109">_xlfn.XLOOKUP(D109, products!$A$1:A156, products!$D$1:D156, 0)</f>
        <v>0.5</v>
      </c>
      <c r="L109" s="4" cm="1">
        <f t="array" ref="L109">_xlfn.XLOOKUP(D109, products!$A$1:A156, products!$E$1:E156)</f>
        <v>5.97</v>
      </c>
      <c r="M109">
        <f t="shared" si="2"/>
        <v>17.91</v>
      </c>
      <c r="N109" t="str">
        <f t="shared" si="3"/>
        <v>Robusta</v>
      </c>
      <c r="O109" t="str" cm="1">
        <f t="array" ref="O109">_xlfn.IFS(J109="M", "Medium", J109="L", "Light", J109="D", "Dark")</f>
        <v>Medium</v>
      </c>
      <c r="P109" t="str">
        <f>_xlfn.XLOOKUP(Orders[[#This Row],[Customer ID]], customers!$A$2:$A$1001, customers!$I$2:$I$1001, 0)</f>
        <v>Yes</v>
      </c>
    </row>
    <row r="110" spans="1:16" x14ac:dyDescent="0.35">
      <c r="A110" s="2" t="s">
        <v>1095</v>
      </c>
      <c r="B110" s="3">
        <v>44041</v>
      </c>
      <c r="C110" s="2" t="s">
        <v>1096</v>
      </c>
      <c r="D110" t="s">
        <v>6157</v>
      </c>
      <c r="E110" s="2">
        <v>4</v>
      </c>
      <c r="F110" s="2" t="str" cm="1">
        <f t="array" ref="F110">_xlfn.XLOOKUP(C110, customers!$A$1:A1109, customers!$B$1:B1109, 0)</f>
        <v>Isahella Hagland</v>
      </c>
      <c r="G110" s="2" t="str">
        <f>IF(_xlfn.XLOOKUP(C110, customers!A109:A1109, customers!C109:C1109, 0)=0, "", _xlfn.XLOOKUP(C110, customers!A109:A1109, customers!C109:C1109, 0))</f>
        <v/>
      </c>
      <c r="H110" s="2" t="str" cm="1">
        <f t="array" ref="H110">_xlfn.XLOOKUP(C110, customers!$A$1:A1109, customers!$G$1:G1109,, 0)</f>
        <v>United States</v>
      </c>
      <c r="I110" t="str" cm="1">
        <f t="array" ref="I110">_xlfn.XLOOKUP(orders!D110, products!$A$1:A157, products!$B$1:B157, 0)</f>
        <v>Ara</v>
      </c>
      <c r="J110" t="str" cm="1">
        <f t="array" ref="J110">_xlfn.XLOOKUP(D110, products!$A$1:A157, products!$C$1:C157, 0)</f>
        <v>M</v>
      </c>
      <c r="K110" s="4" cm="1">
        <f t="array" ref="K110">_xlfn.XLOOKUP(D110, products!$A$1:A157, products!$D$1:D157, 0)</f>
        <v>0.5</v>
      </c>
      <c r="L110" s="4" cm="1">
        <f t="array" ref="L110">_xlfn.XLOOKUP(D110, products!$A$1:A157, products!$E$1:E157)</f>
        <v>6.75</v>
      </c>
      <c r="M110">
        <f t="shared" si="2"/>
        <v>27</v>
      </c>
      <c r="N110" t="str">
        <f t="shared" si="3"/>
        <v>Arabica</v>
      </c>
      <c r="O110" t="str" cm="1">
        <f t="array" ref="O110">_xlfn.IFS(J110="M", "Medium", J110="L", "Light", J110="D", "Dark")</f>
        <v>Medium</v>
      </c>
      <c r="P110" t="str">
        <f>_xlfn.XLOOKUP(Orders[[#This Row],[Customer ID]], customers!$A$2:$A$1001, customers!$I$2:$I$1001, 0)</f>
        <v>No</v>
      </c>
    </row>
    <row r="111" spans="1:16" x14ac:dyDescent="0.35">
      <c r="A111" s="2" t="s">
        <v>1100</v>
      </c>
      <c r="B111" s="3">
        <v>43811</v>
      </c>
      <c r="C111" s="2" t="s">
        <v>1101</v>
      </c>
      <c r="D111" t="s">
        <v>6169</v>
      </c>
      <c r="E111" s="2">
        <v>1</v>
      </c>
      <c r="F111" s="2" t="str" cm="1">
        <f t="array" ref="F111">_xlfn.XLOOKUP(C111, customers!$A$1:A1110, customers!$B$1:B1110, 0)</f>
        <v>Terry Sheryn</v>
      </c>
      <c r="G111" s="2" t="str">
        <f>IF(_xlfn.XLOOKUP(C111, customers!A110:A1110, customers!C110:C1110, 0)=0, "", _xlfn.XLOOKUP(C111, customers!A110:A1110, customers!C110:C1110, 0))</f>
        <v>tsheryn31@mtv.com</v>
      </c>
      <c r="H111" s="2" t="str" cm="1">
        <f t="array" ref="H111">_xlfn.XLOOKUP(C111, customers!$A$1:A1110, customers!$G$1:G1110,, 0)</f>
        <v>United States</v>
      </c>
      <c r="I111" t="str" cm="1">
        <f t="array" ref="I111">_xlfn.XLOOKUP(orders!D111, products!$A$1:A158, products!$B$1:B158, 0)</f>
        <v>Lib</v>
      </c>
      <c r="J111" t="str" cm="1">
        <f t="array" ref="J111">_xlfn.XLOOKUP(D111, products!$A$1:A158, products!$C$1:C158, 0)</f>
        <v>D</v>
      </c>
      <c r="K111" s="4" cm="1">
        <f t="array" ref="K111">_xlfn.XLOOKUP(D111, products!$A$1:A158, products!$D$1:D158, 0)</f>
        <v>0.5</v>
      </c>
      <c r="L111" s="4" cm="1">
        <f t="array" ref="L111">_xlfn.XLOOKUP(D111, products!$A$1:A158, products!$E$1:E158)</f>
        <v>7.77</v>
      </c>
      <c r="M111">
        <f t="shared" si="2"/>
        <v>7.77</v>
      </c>
      <c r="N111" t="str">
        <f t="shared" si="3"/>
        <v>Liberica</v>
      </c>
      <c r="O111" t="str" cm="1">
        <f t="array" ref="O111">_xlfn.IFS(J111="M", "Medium", J111="L", "Light", J111="D", "Dark")</f>
        <v>Dark</v>
      </c>
      <c r="P111" t="str">
        <f>_xlfn.XLOOKUP(Orders[[#This Row],[Customer ID]], customers!$A$2:$A$1001, customers!$I$2:$I$1001, 0)</f>
        <v>Yes</v>
      </c>
    </row>
    <row r="112" spans="1:16" x14ac:dyDescent="0.35">
      <c r="A112" s="2" t="s">
        <v>1106</v>
      </c>
      <c r="B112" s="3">
        <v>44727</v>
      </c>
      <c r="C112" s="2" t="s">
        <v>1107</v>
      </c>
      <c r="D112" t="s">
        <v>6184</v>
      </c>
      <c r="E112" s="2">
        <v>3</v>
      </c>
      <c r="F112" s="2" t="str" cm="1">
        <f t="array" ref="F112">_xlfn.XLOOKUP(C112, customers!$A$1:A1111, customers!$B$1:B1111, 0)</f>
        <v>Marie-jeanne Redgrave</v>
      </c>
      <c r="G112" s="2" t="str">
        <f>IF(_xlfn.XLOOKUP(C112, customers!A111:A1111, customers!C111:C1111, 0)=0, "", _xlfn.XLOOKUP(C112, customers!A111:A1111, customers!C111:C1111, 0))</f>
        <v>mredgrave32@cargocollective.com</v>
      </c>
      <c r="H112" s="2" t="str" cm="1">
        <f t="array" ref="H112">_xlfn.XLOOKUP(C112, customers!$A$1:A1111, customers!$G$1:G1111,, 0)</f>
        <v>United States</v>
      </c>
      <c r="I112" t="str" cm="1">
        <f t="array" ref="I112">_xlfn.XLOOKUP(orders!D112, products!$A$1:A159, products!$B$1:B159, 0)</f>
        <v>Exc</v>
      </c>
      <c r="J112" t="str" cm="1">
        <f t="array" ref="J112">_xlfn.XLOOKUP(D112, products!$A$1:A159, products!$C$1:C159, 0)</f>
        <v>L</v>
      </c>
      <c r="K112" s="4" cm="1">
        <f t="array" ref="K112">_xlfn.XLOOKUP(D112, products!$A$1:A159, products!$D$1:D159, 0)</f>
        <v>0.2</v>
      </c>
      <c r="L112" s="4" cm="1">
        <f t="array" ref="L112">_xlfn.XLOOKUP(D112, products!$A$1:A159, products!$E$1:E159)</f>
        <v>4.4550000000000001</v>
      </c>
      <c r="M112">
        <f t="shared" si="2"/>
        <v>13.365</v>
      </c>
      <c r="N112" t="str">
        <f t="shared" si="3"/>
        <v>Excelsa</v>
      </c>
      <c r="O112" t="str" cm="1">
        <f t="array" ref="O112">_xlfn.IFS(J112="M", "Medium", J112="L", "Light", J112="D", "Dark")</f>
        <v>Light</v>
      </c>
      <c r="P112" t="str">
        <f>_xlfn.XLOOKUP(Orders[[#This Row],[Customer ID]], customers!$A$2:$A$1001, customers!$I$2:$I$1001, 0)</f>
        <v>Yes</v>
      </c>
    </row>
    <row r="113" spans="1:16" x14ac:dyDescent="0.35">
      <c r="A113" s="2" t="s">
        <v>1112</v>
      </c>
      <c r="B113" s="3">
        <v>43642</v>
      </c>
      <c r="C113" s="2" t="s">
        <v>1113</v>
      </c>
      <c r="D113" t="s">
        <v>6172</v>
      </c>
      <c r="E113" s="2">
        <v>5</v>
      </c>
      <c r="F113" s="2" t="str" cm="1">
        <f t="array" ref="F113">_xlfn.XLOOKUP(C113, customers!$A$1:A1112, customers!$B$1:B1112, 0)</f>
        <v>Betty Fominov</v>
      </c>
      <c r="G113" s="2" t="str">
        <f>IF(_xlfn.XLOOKUP(C113, customers!A112:A1112, customers!C112:C1112, 0)=0, "", _xlfn.XLOOKUP(C113, customers!A112:A1112, customers!C112:C1112, 0))</f>
        <v>bfominov33@yale.edu</v>
      </c>
      <c r="H113" s="2" t="str" cm="1">
        <f t="array" ref="H113">_xlfn.XLOOKUP(C113, customers!$A$1:A1112, customers!$G$1:G1112,, 0)</f>
        <v>United States</v>
      </c>
      <c r="I113" t="str" cm="1">
        <f t="array" ref="I113">_xlfn.XLOOKUP(orders!D113, products!$A$1:A160, products!$B$1:B160, 0)</f>
        <v>Rob</v>
      </c>
      <c r="J113" t="str" cm="1">
        <f t="array" ref="J113">_xlfn.XLOOKUP(D113, products!$A$1:A160, products!$C$1:C160, 0)</f>
        <v>D</v>
      </c>
      <c r="K113" s="4" cm="1">
        <f t="array" ref="K113">_xlfn.XLOOKUP(D113, products!$A$1:A160, products!$D$1:D160, 0)</f>
        <v>0.5</v>
      </c>
      <c r="L113" s="4" cm="1">
        <f t="array" ref="L113">_xlfn.XLOOKUP(D113, products!$A$1:A160, products!$E$1:E160)</f>
        <v>5.3699999999999992</v>
      </c>
      <c r="M113">
        <f t="shared" si="2"/>
        <v>26.849999999999994</v>
      </c>
      <c r="N113" t="str">
        <f t="shared" si="3"/>
        <v>Robusta</v>
      </c>
      <c r="O113" t="str" cm="1">
        <f t="array" ref="O113">_xlfn.IFS(J113="M", "Medium", J113="L", "Light", J113="D", "Dark")</f>
        <v>Dark</v>
      </c>
      <c r="P113" t="str">
        <f>_xlfn.XLOOKUP(Orders[[#This Row],[Customer ID]], customers!$A$2:$A$1001, customers!$I$2:$I$1001, 0)</f>
        <v>No</v>
      </c>
    </row>
    <row r="114" spans="1:16" x14ac:dyDescent="0.35">
      <c r="A114" s="2" t="s">
        <v>1117</v>
      </c>
      <c r="B114" s="3">
        <v>44481</v>
      </c>
      <c r="C114" s="2" t="s">
        <v>1118</v>
      </c>
      <c r="D114" t="s">
        <v>6155</v>
      </c>
      <c r="E114" s="2">
        <v>1</v>
      </c>
      <c r="F114" s="2" t="str" cm="1">
        <f t="array" ref="F114">_xlfn.XLOOKUP(C114, customers!$A$1:A1113, customers!$B$1:B1113, 0)</f>
        <v>Shawnee Critchlow</v>
      </c>
      <c r="G114" s="2" t="str">
        <f>IF(_xlfn.XLOOKUP(C114, customers!A113:A1113, customers!C113:C1113, 0)=0, "", _xlfn.XLOOKUP(C114, customers!A113:A1113, customers!C113:C1113, 0))</f>
        <v>scritchlow34@un.org</v>
      </c>
      <c r="H114" s="2" t="str" cm="1">
        <f t="array" ref="H114">_xlfn.XLOOKUP(C114, customers!$A$1:A1113, customers!$G$1:G1113,, 0)</f>
        <v>United States</v>
      </c>
      <c r="I114" t="str" cm="1">
        <f t="array" ref="I114">_xlfn.XLOOKUP(orders!D114, products!$A$1:A161, products!$B$1:B161, 0)</f>
        <v>Ara</v>
      </c>
      <c r="J114" t="str" cm="1">
        <f t="array" ref="J114">_xlfn.XLOOKUP(D114, products!$A$1:A161, products!$C$1:C161, 0)</f>
        <v>M</v>
      </c>
      <c r="K114" s="4" cm="1">
        <f t="array" ref="K114">_xlfn.XLOOKUP(D114, products!$A$1:A161, products!$D$1:D161, 0)</f>
        <v>1</v>
      </c>
      <c r="L114" s="4" cm="1">
        <f t="array" ref="L114">_xlfn.XLOOKUP(D114, products!$A$1:A161, products!$E$1:E161)</f>
        <v>11.25</v>
      </c>
      <c r="M114">
        <f t="shared" si="2"/>
        <v>11.25</v>
      </c>
      <c r="N114" t="str">
        <f t="shared" si="3"/>
        <v>Arabica</v>
      </c>
      <c r="O114" t="str" cm="1">
        <f t="array" ref="O114">_xlfn.IFS(J114="M", "Medium", J114="L", "Light", J114="D", "Dark")</f>
        <v>Medium</v>
      </c>
      <c r="P114" t="str">
        <f>_xlfn.XLOOKUP(Orders[[#This Row],[Customer ID]], customers!$A$2:$A$1001, customers!$I$2:$I$1001, 0)</f>
        <v>No</v>
      </c>
    </row>
    <row r="115" spans="1:16" x14ac:dyDescent="0.35">
      <c r="A115" s="2" t="s">
        <v>1123</v>
      </c>
      <c r="B115" s="3">
        <v>43556</v>
      </c>
      <c r="C115" s="2" t="s">
        <v>1124</v>
      </c>
      <c r="D115" t="s">
        <v>6162</v>
      </c>
      <c r="E115" s="2">
        <v>1</v>
      </c>
      <c r="F115" s="2" t="str" cm="1">
        <f t="array" ref="F115">_xlfn.XLOOKUP(C115, customers!$A$1:A1114, customers!$B$1:B1114, 0)</f>
        <v>Merrel Steptow</v>
      </c>
      <c r="G115" s="2" t="str">
        <f>IF(_xlfn.XLOOKUP(C115, customers!A114:A1114, customers!C114:C1114, 0)=0, "", _xlfn.XLOOKUP(C115, customers!A114:A1114, customers!C114:C1114, 0))</f>
        <v>msteptow35@earthlink.net</v>
      </c>
      <c r="H115" s="2" t="str" cm="1">
        <f t="array" ref="H115">_xlfn.XLOOKUP(C115, customers!$A$1:A1114, customers!$G$1:G1114,, 0)</f>
        <v>Ireland</v>
      </c>
      <c r="I115" t="str" cm="1">
        <f t="array" ref="I115">_xlfn.XLOOKUP(orders!D115, products!$A$1:A162, products!$B$1:B162, 0)</f>
        <v>Lib</v>
      </c>
      <c r="J115" t="str" cm="1">
        <f t="array" ref="J115">_xlfn.XLOOKUP(D115, products!$A$1:A162, products!$C$1:C162, 0)</f>
        <v>M</v>
      </c>
      <c r="K115" s="4" cm="1">
        <f t="array" ref="K115">_xlfn.XLOOKUP(D115, products!$A$1:A162, products!$D$1:D162, 0)</f>
        <v>1</v>
      </c>
      <c r="L115" s="4" cm="1">
        <f t="array" ref="L115">_xlfn.XLOOKUP(D115, products!$A$1:A162, products!$E$1:E162)</f>
        <v>14.55</v>
      </c>
      <c r="M115">
        <f t="shared" si="2"/>
        <v>14.55</v>
      </c>
      <c r="N115" t="str">
        <f t="shared" si="3"/>
        <v>Liberica</v>
      </c>
      <c r="O115" t="str" cm="1">
        <f t="array" ref="O115">_xlfn.IFS(J115="M", "Medium", J115="L", "Light", J115="D", "Dark")</f>
        <v>Medium</v>
      </c>
      <c r="P115" t="str">
        <f>_xlfn.XLOOKUP(Orders[[#This Row],[Customer ID]], customers!$A$2:$A$1001, customers!$I$2:$I$1001, 0)</f>
        <v>No</v>
      </c>
    </row>
    <row r="116" spans="1:16" x14ac:dyDescent="0.35">
      <c r="A116" s="2" t="s">
        <v>1129</v>
      </c>
      <c r="B116" s="3">
        <v>44265</v>
      </c>
      <c r="C116" s="2" t="s">
        <v>1130</v>
      </c>
      <c r="D116" t="s">
        <v>6178</v>
      </c>
      <c r="E116" s="2">
        <v>4</v>
      </c>
      <c r="F116" s="2" t="str" cm="1">
        <f t="array" ref="F116">_xlfn.XLOOKUP(C116, customers!$A$1:A1115, customers!$B$1:B1115, 0)</f>
        <v>Carmina Hubbuck</v>
      </c>
      <c r="G116" s="2" t="str">
        <f>IF(_xlfn.XLOOKUP(C116, customers!A115:A1115, customers!C115:C1115, 0)=0, "", _xlfn.XLOOKUP(C116, customers!A115:A1115, customers!C115:C1115, 0))</f>
        <v/>
      </c>
      <c r="H116" s="2" t="str" cm="1">
        <f t="array" ref="H116">_xlfn.XLOOKUP(C116, customers!$A$1:A1115, customers!$G$1:G1115,, 0)</f>
        <v>United States</v>
      </c>
      <c r="I116" t="str" cm="1">
        <f t="array" ref="I116">_xlfn.XLOOKUP(orders!D116, products!$A$1:A163, products!$B$1:B163, 0)</f>
        <v>Rob</v>
      </c>
      <c r="J116" t="str" cm="1">
        <f t="array" ref="J116">_xlfn.XLOOKUP(D116, products!$A$1:A163, products!$C$1:C163, 0)</f>
        <v>L</v>
      </c>
      <c r="K116" s="4" cm="1">
        <f t="array" ref="K116">_xlfn.XLOOKUP(D116, products!$A$1:A163, products!$D$1:D163, 0)</f>
        <v>0.2</v>
      </c>
      <c r="L116" s="4" cm="1">
        <f t="array" ref="L116">_xlfn.XLOOKUP(D116, products!$A$1:A163, products!$E$1:E163)</f>
        <v>3.5849999999999995</v>
      </c>
      <c r="M116">
        <f t="shared" si="2"/>
        <v>14.339999999999998</v>
      </c>
      <c r="N116" t="str">
        <f t="shared" si="3"/>
        <v>Robusta</v>
      </c>
      <c r="O116" t="str" cm="1">
        <f t="array" ref="O116">_xlfn.IFS(J116="M", "Medium", J116="L", "Light", J116="D", "Dark")</f>
        <v>Light</v>
      </c>
      <c r="P116" t="str">
        <f>_xlfn.XLOOKUP(Orders[[#This Row],[Customer ID]], customers!$A$2:$A$1001, customers!$I$2:$I$1001, 0)</f>
        <v>No</v>
      </c>
    </row>
    <row r="117" spans="1:16" x14ac:dyDescent="0.35">
      <c r="A117" s="2" t="s">
        <v>1134</v>
      </c>
      <c r="B117" s="3">
        <v>43693</v>
      </c>
      <c r="C117" s="2" t="s">
        <v>1135</v>
      </c>
      <c r="D117" t="s">
        <v>6170</v>
      </c>
      <c r="E117" s="2">
        <v>1</v>
      </c>
      <c r="F117" s="2" t="str" cm="1">
        <f t="array" ref="F117">_xlfn.XLOOKUP(C117, customers!$A$1:A1116, customers!$B$1:B1116, 0)</f>
        <v>Ingeberg Mulliner</v>
      </c>
      <c r="G117" s="2" t="str">
        <f>IF(_xlfn.XLOOKUP(C117, customers!A116:A1116, customers!C116:C1116, 0)=0, "", _xlfn.XLOOKUP(C117, customers!A116:A1116, customers!C116:C1116, 0))</f>
        <v>imulliner37@pinterest.com</v>
      </c>
      <c r="H117" s="2" t="str" cm="1">
        <f t="array" ref="H117">_xlfn.XLOOKUP(C117, customers!$A$1:A1116, customers!$G$1:G1116,, 0)</f>
        <v>United Kingdom</v>
      </c>
      <c r="I117" t="str" cm="1">
        <f t="array" ref="I117">_xlfn.XLOOKUP(orders!D117, products!$A$1:A164, products!$B$1:B164, 0)</f>
        <v>Lib</v>
      </c>
      <c r="J117" t="str" cm="1">
        <f t="array" ref="J117">_xlfn.XLOOKUP(D117, products!$A$1:A164, products!$C$1:C164, 0)</f>
        <v>L</v>
      </c>
      <c r="K117" s="4" cm="1">
        <f t="array" ref="K117">_xlfn.XLOOKUP(D117, products!$A$1:A164, products!$D$1:D164, 0)</f>
        <v>1</v>
      </c>
      <c r="L117" s="4" cm="1">
        <f t="array" ref="L117">_xlfn.XLOOKUP(D117, products!$A$1:A164, products!$E$1:E164)</f>
        <v>15.85</v>
      </c>
      <c r="M117">
        <f t="shared" si="2"/>
        <v>15.85</v>
      </c>
      <c r="N117" t="str">
        <f t="shared" si="3"/>
        <v>Liberica</v>
      </c>
      <c r="O117" t="str" cm="1">
        <f t="array" ref="O117">_xlfn.IFS(J117="M", "Medium", J117="L", "Light", J117="D", "Dark")</f>
        <v>Light</v>
      </c>
      <c r="P117" t="str">
        <f>_xlfn.XLOOKUP(Orders[[#This Row],[Customer ID]], customers!$A$2:$A$1001, customers!$I$2:$I$1001, 0)</f>
        <v>No</v>
      </c>
    </row>
    <row r="118" spans="1:16" x14ac:dyDescent="0.35">
      <c r="A118" s="2" t="s">
        <v>1140</v>
      </c>
      <c r="B118" s="3">
        <v>44054</v>
      </c>
      <c r="C118" s="2" t="s">
        <v>1141</v>
      </c>
      <c r="D118" t="s">
        <v>6145</v>
      </c>
      <c r="E118" s="2">
        <v>4</v>
      </c>
      <c r="F118" s="2" t="str" cm="1">
        <f t="array" ref="F118">_xlfn.XLOOKUP(C118, customers!$A$1:A1117, customers!$B$1:B1117, 0)</f>
        <v>Geneva Standley</v>
      </c>
      <c r="G118" s="2" t="str">
        <f>IF(_xlfn.XLOOKUP(C118, customers!A117:A1117, customers!C117:C1117, 0)=0, "", _xlfn.XLOOKUP(C118, customers!A117:A1117, customers!C117:C1117, 0))</f>
        <v>gstandley38@dion.ne.jp</v>
      </c>
      <c r="H118" s="2" t="str" cm="1">
        <f t="array" ref="H118">_xlfn.XLOOKUP(C118, customers!$A$1:A1117, customers!$G$1:G1117,, 0)</f>
        <v>Ireland</v>
      </c>
      <c r="I118" t="str" cm="1">
        <f t="array" ref="I118">_xlfn.XLOOKUP(orders!D118, products!$A$1:A165, products!$B$1:B165, 0)</f>
        <v>Lib</v>
      </c>
      <c r="J118" t="str" cm="1">
        <f t="array" ref="J118">_xlfn.XLOOKUP(D118, products!$A$1:A165, products!$C$1:C165, 0)</f>
        <v>L</v>
      </c>
      <c r="K118" s="4" cm="1">
        <f t="array" ref="K118">_xlfn.XLOOKUP(D118, products!$A$1:A165, products!$D$1:D165, 0)</f>
        <v>0.2</v>
      </c>
      <c r="L118" s="4" cm="1">
        <f t="array" ref="L118">_xlfn.XLOOKUP(D118, products!$A$1:A165, products!$E$1:E165)</f>
        <v>4.7549999999999999</v>
      </c>
      <c r="M118">
        <f t="shared" si="2"/>
        <v>19.02</v>
      </c>
      <c r="N118" t="str">
        <f t="shared" si="3"/>
        <v>Liberica</v>
      </c>
      <c r="O118" t="str" cm="1">
        <f t="array" ref="O118">_xlfn.IFS(J118="M", "Medium", J118="L", "Light", J118="D", "Dark")</f>
        <v>Light</v>
      </c>
      <c r="P118" t="str">
        <f>_xlfn.XLOOKUP(Orders[[#This Row],[Customer ID]], customers!$A$2:$A$1001, customers!$I$2:$I$1001, 0)</f>
        <v>Yes</v>
      </c>
    </row>
    <row r="119" spans="1:16" x14ac:dyDescent="0.35">
      <c r="A119" s="2" t="s">
        <v>1146</v>
      </c>
      <c r="B119" s="3">
        <v>44656</v>
      </c>
      <c r="C119" s="2" t="s">
        <v>1147</v>
      </c>
      <c r="D119" t="s">
        <v>6161</v>
      </c>
      <c r="E119" s="2">
        <v>4</v>
      </c>
      <c r="F119" s="2" t="str" cm="1">
        <f t="array" ref="F119">_xlfn.XLOOKUP(C119, customers!$A$1:A1118, customers!$B$1:B1118, 0)</f>
        <v>Brook Drage</v>
      </c>
      <c r="G119" s="2" t="str">
        <f>IF(_xlfn.XLOOKUP(C119, customers!A118:A1118, customers!C118:C1118, 0)=0, "", _xlfn.XLOOKUP(C119, customers!A118:A1118, customers!C118:C1118, 0))</f>
        <v>bdrage39@youku.com</v>
      </c>
      <c r="H119" s="2" t="str" cm="1">
        <f t="array" ref="H119">_xlfn.XLOOKUP(C119, customers!$A$1:A1118, customers!$G$1:G1118,, 0)</f>
        <v>United States</v>
      </c>
      <c r="I119" t="str" cm="1">
        <f t="array" ref="I119">_xlfn.XLOOKUP(orders!D119, products!$A$1:A166, products!$B$1:B166, 0)</f>
        <v>Lib</v>
      </c>
      <c r="J119" t="str" cm="1">
        <f t="array" ref="J119">_xlfn.XLOOKUP(D119, products!$A$1:A166, products!$C$1:C166, 0)</f>
        <v>L</v>
      </c>
      <c r="K119" s="4" cm="1">
        <f t="array" ref="K119">_xlfn.XLOOKUP(D119, products!$A$1:A166, products!$D$1:D166, 0)</f>
        <v>0.5</v>
      </c>
      <c r="L119" s="4" cm="1">
        <f t="array" ref="L119">_xlfn.XLOOKUP(D119, products!$A$1:A166, products!$E$1:E166)</f>
        <v>9.51</v>
      </c>
      <c r="M119">
        <f t="shared" si="2"/>
        <v>38.04</v>
      </c>
      <c r="N119" t="str">
        <f t="shared" si="3"/>
        <v>Liberica</v>
      </c>
      <c r="O119" t="str" cm="1">
        <f t="array" ref="O119">_xlfn.IFS(J119="M", "Medium", J119="L", "Light", J119="D", "Dark")</f>
        <v>Light</v>
      </c>
      <c r="P119" t="str">
        <f>_xlfn.XLOOKUP(Orders[[#This Row],[Customer ID]], customers!$A$2:$A$1001, customers!$I$2:$I$1001, 0)</f>
        <v>No</v>
      </c>
    </row>
    <row r="120" spans="1:16" x14ac:dyDescent="0.35">
      <c r="A120" s="2" t="s">
        <v>1152</v>
      </c>
      <c r="B120" s="3">
        <v>43760</v>
      </c>
      <c r="C120" s="2" t="s">
        <v>1153</v>
      </c>
      <c r="D120" t="s">
        <v>6144</v>
      </c>
      <c r="E120" s="2">
        <v>3</v>
      </c>
      <c r="F120" s="2" t="str" cm="1">
        <f t="array" ref="F120">_xlfn.XLOOKUP(C120, customers!$A$1:A1119, customers!$B$1:B1119, 0)</f>
        <v>Muffin Yallop</v>
      </c>
      <c r="G120" s="2" t="str">
        <f>IF(_xlfn.XLOOKUP(C120, customers!A119:A1119, customers!C119:C1119, 0)=0, "", _xlfn.XLOOKUP(C120, customers!A119:A1119, customers!C119:C1119, 0))</f>
        <v>myallop3a@fema.gov</v>
      </c>
      <c r="H120" s="2" t="str" cm="1">
        <f t="array" ref="H120">_xlfn.XLOOKUP(C120, customers!$A$1:A1119, customers!$G$1:G1119,, 0)</f>
        <v>United States</v>
      </c>
      <c r="I120" t="str" cm="1">
        <f t="array" ref="I120">_xlfn.XLOOKUP(orders!D120, products!$A$1:A167, products!$B$1:B167, 0)</f>
        <v>Exc</v>
      </c>
      <c r="J120" t="str" cm="1">
        <f t="array" ref="J120">_xlfn.XLOOKUP(D120, products!$A$1:A167, products!$C$1:C167, 0)</f>
        <v>D</v>
      </c>
      <c r="K120" s="4" cm="1">
        <f t="array" ref="K120">_xlfn.XLOOKUP(D120, products!$A$1:A167, products!$D$1:D167, 0)</f>
        <v>0.5</v>
      </c>
      <c r="L120" s="4" cm="1">
        <f t="array" ref="L120">_xlfn.XLOOKUP(D120, products!$A$1:A167, products!$E$1:E167)</f>
        <v>7.29</v>
      </c>
      <c r="M120">
        <f t="shared" si="2"/>
        <v>21.87</v>
      </c>
      <c r="N120" t="str">
        <f t="shared" si="3"/>
        <v>Excelsa</v>
      </c>
      <c r="O120" t="str" cm="1">
        <f t="array" ref="O120">_xlfn.IFS(J120="M", "Medium", J120="L", "Light", J120="D", "Dark")</f>
        <v>Dark</v>
      </c>
      <c r="P120" t="str">
        <f>_xlfn.XLOOKUP(Orders[[#This Row],[Customer ID]], customers!$A$2:$A$1001, customers!$I$2:$I$1001, 0)</f>
        <v>Yes</v>
      </c>
    </row>
    <row r="121" spans="1:16" x14ac:dyDescent="0.35">
      <c r="A121" s="2" t="s">
        <v>1158</v>
      </c>
      <c r="B121" s="3">
        <v>44471</v>
      </c>
      <c r="C121" s="2" t="s">
        <v>1159</v>
      </c>
      <c r="D121" t="s">
        <v>6156</v>
      </c>
      <c r="E121" s="2">
        <v>1</v>
      </c>
      <c r="F121" s="2" t="str" cm="1">
        <f t="array" ref="F121">_xlfn.XLOOKUP(C121, customers!$A$1:A1120, customers!$B$1:B1120, 0)</f>
        <v>Cordi Switsur</v>
      </c>
      <c r="G121" s="2" t="str">
        <f>IF(_xlfn.XLOOKUP(C121, customers!A120:A1120, customers!C120:C1120, 0)=0, "", _xlfn.XLOOKUP(C121, customers!A120:A1120, customers!C120:C1120, 0))</f>
        <v>cswitsur3b@chronoengine.com</v>
      </c>
      <c r="H121" s="2" t="str" cm="1">
        <f t="array" ref="H121">_xlfn.XLOOKUP(C121, customers!$A$1:A1120, customers!$G$1:G1120,, 0)</f>
        <v>United States</v>
      </c>
      <c r="I121" t="str" cm="1">
        <f t="array" ref="I121">_xlfn.XLOOKUP(orders!D121, products!$A$1:A168, products!$B$1:B168, 0)</f>
        <v>Exc</v>
      </c>
      <c r="J121" t="str" cm="1">
        <f t="array" ref="J121">_xlfn.XLOOKUP(D121, products!$A$1:A168, products!$C$1:C168, 0)</f>
        <v>M</v>
      </c>
      <c r="K121" s="4" cm="1">
        <f t="array" ref="K121">_xlfn.XLOOKUP(D121, products!$A$1:A168, products!$D$1:D168, 0)</f>
        <v>0.2</v>
      </c>
      <c r="L121" s="4" cm="1">
        <f t="array" ref="L121">_xlfn.XLOOKUP(D121, products!$A$1:A168, products!$E$1:E168)</f>
        <v>4.125</v>
      </c>
      <c r="M121">
        <f t="shared" si="2"/>
        <v>4.125</v>
      </c>
      <c r="N121" t="str">
        <f t="shared" si="3"/>
        <v>Excelsa</v>
      </c>
      <c r="O121" t="str" cm="1">
        <f t="array" ref="O121">_xlfn.IFS(J121="M", "Medium", J121="L", "Light", J121="D", "Dark")</f>
        <v>Medium</v>
      </c>
      <c r="P121" t="str">
        <f>_xlfn.XLOOKUP(Orders[[#This Row],[Customer ID]], customers!$A$2:$A$1001, customers!$I$2:$I$1001, 0)</f>
        <v>No</v>
      </c>
    </row>
    <row r="122" spans="1:16" x14ac:dyDescent="0.35">
      <c r="A122" s="2" t="s">
        <v>1158</v>
      </c>
      <c r="B122" s="3">
        <v>44471</v>
      </c>
      <c r="C122" s="2" t="s">
        <v>1159</v>
      </c>
      <c r="D122" t="s">
        <v>6167</v>
      </c>
      <c r="E122" s="2">
        <v>1</v>
      </c>
      <c r="F122" s="2" t="str" cm="1">
        <f t="array" ref="F122">_xlfn.XLOOKUP(C122, customers!$A$1:A1121, customers!$B$1:B1121, 0)</f>
        <v>Cordi Switsur</v>
      </c>
      <c r="G122" s="2" t="str">
        <f>IF(_xlfn.XLOOKUP(C122, customers!A121:A1121, customers!C121:C1121, 0)=0, "", _xlfn.XLOOKUP(C122, customers!A121:A1121, customers!C121:C1121, 0))</f>
        <v>cswitsur3b@chronoengine.com</v>
      </c>
      <c r="H122" s="2" t="str" cm="1">
        <f t="array" ref="H122">_xlfn.XLOOKUP(C122, customers!$A$1:A1121, customers!$G$1:G1121,, 0)</f>
        <v>United States</v>
      </c>
      <c r="I122" t="str" cm="1">
        <f t="array" ref="I122">_xlfn.XLOOKUP(orders!D122, products!$A$1:A169, products!$B$1:B169, 0)</f>
        <v>Ara</v>
      </c>
      <c r="J122" t="str" cm="1">
        <f t="array" ref="J122">_xlfn.XLOOKUP(D122, products!$A$1:A169, products!$C$1:C169, 0)</f>
        <v>L</v>
      </c>
      <c r="K122" s="4" cm="1">
        <f t="array" ref="K122">_xlfn.XLOOKUP(D122, products!$A$1:A169, products!$D$1:D169, 0)</f>
        <v>0.2</v>
      </c>
      <c r="L122" s="4" cm="1">
        <f t="array" ref="L122">_xlfn.XLOOKUP(D122, products!$A$1:A169, products!$E$1:E169)</f>
        <v>3.8849999999999998</v>
      </c>
      <c r="M122">
        <f t="shared" si="2"/>
        <v>3.8849999999999998</v>
      </c>
      <c r="N122" t="str">
        <f t="shared" si="3"/>
        <v>Arabica</v>
      </c>
      <c r="O122" t="str" cm="1">
        <f t="array" ref="O122">_xlfn.IFS(J122="M", "Medium", J122="L", "Light", J122="D", "Dark")</f>
        <v>Light</v>
      </c>
      <c r="P122" t="str">
        <f>_xlfn.XLOOKUP(Orders[[#This Row],[Customer ID]], customers!$A$2:$A$1001, customers!$I$2:$I$1001, 0)</f>
        <v>No</v>
      </c>
    </row>
    <row r="123" spans="1:16" x14ac:dyDescent="0.35">
      <c r="A123" s="2" t="s">
        <v>1158</v>
      </c>
      <c r="B123" s="3">
        <v>44471</v>
      </c>
      <c r="C123" s="2" t="s">
        <v>1159</v>
      </c>
      <c r="D123" t="s">
        <v>6141</v>
      </c>
      <c r="E123" s="2">
        <v>5</v>
      </c>
      <c r="F123" s="2" t="str" cm="1">
        <f t="array" ref="F123">_xlfn.XLOOKUP(C123, customers!$A$1:A1122, customers!$B$1:B1122, 0)</f>
        <v>Cordi Switsur</v>
      </c>
      <c r="G123" s="2" t="str">
        <f>IF(_xlfn.XLOOKUP(C123, customers!A122:A1122, customers!C122:C1122, 0)=0, "", _xlfn.XLOOKUP(C123, customers!A122:A1122, customers!C122:C1122, 0))</f>
        <v/>
      </c>
      <c r="H123" s="2" t="str" cm="1">
        <f t="array" ref="H123">_xlfn.XLOOKUP(C123, customers!$A$1:A1122, customers!$G$1:G1122,, 0)</f>
        <v>United States</v>
      </c>
      <c r="I123" t="str" cm="1">
        <f t="array" ref="I123">_xlfn.XLOOKUP(orders!D123, products!$A$1:A170, products!$B$1:B170, 0)</f>
        <v>Exc</v>
      </c>
      <c r="J123" t="str" cm="1">
        <f t="array" ref="J123">_xlfn.XLOOKUP(D123, products!$A$1:A170, products!$C$1:C170, 0)</f>
        <v>M</v>
      </c>
      <c r="K123" s="4" cm="1">
        <f t="array" ref="K123">_xlfn.XLOOKUP(D123, products!$A$1:A170, products!$D$1:D170, 0)</f>
        <v>1</v>
      </c>
      <c r="L123" s="4" cm="1">
        <f t="array" ref="L123">_xlfn.XLOOKUP(D123, products!$A$1:A170, products!$E$1:E170)</f>
        <v>13.75</v>
      </c>
      <c r="M123">
        <f t="shared" si="2"/>
        <v>68.75</v>
      </c>
      <c r="N123" t="str">
        <f t="shared" si="3"/>
        <v>Excelsa</v>
      </c>
      <c r="O123" t="str" cm="1">
        <f t="array" ref="O123">_xlfn.IFS(J123="M", "Medium", J123="L", "Light", J123="D", "Dark")</f>
        <v>Medium</v>
      </c>
      <c r="P123" t="str">
        <f>_xlfn.XLOOKUP(Orders[[#This Row],[Customer ID]], customers!$A$2:$A$1001, customers!$I$2:$I$1001, 0)</f>
        <v>No</v>
      </c>
    </row>
    <row r="124" spans="1:16" x14ac:dyDescent="0.35">
      <c r="A124" s="2" t="s">
        <v>1174</v>
      </c>
      <c r="B124" s="3">
        <v>44268</v>
      </c>
      <c r="C124" s="2" t="s">
        <v>1175</v>
      </c>
      <c r="D124" t="s">
        <v>6158</v>
      </c>
      <c r="E124" s="2">
        <v>4</v>
      </c>
      <c r="F124" s="2" t="str" cm="1">
        <f t="array" ref="F124">_xlfn.XLOOKUP(C124, customers!$A$1:A1123, customers!$B$1:B1123, 0)</f>
        <v>Mahala Ludwell</v>
      </c>
      <c r="G124" s="2" t="str">
        <f>IF(_xlfn.XLOOKUP(C124, customers!A123:A1123, customers!C123:C1123, 0)=0, "", _xlfn.XLOOKUP(C124, customers!A123:A1123, customers!C123:C1123, 0))</f>
        <v>mludwell3e@blogger.com</v>
      </c>
      <c r="H124" s="2" t="str" cm="1">
        <f t="array" ref="H124">_xlfn.XLOOKUP(C124, customers!$A$1:A1123, customers!$G$1:G1123,, 0)</f>
        <v>United States</v>
      </c>
      <c r="I124" t="str" cm="1">
        <f t="array" ref="I124">_xlfn.XLOOKUP(orders!D124, products!$A$1:A171, products!$B$1:B171, 0)</f>
        <v>Ara</v>
      </c>
      <c r="J124" t="str" cm="1">
        <f t="array" ref="J124">_xlfn.XLOOKUP(D124, products!$A$1:A171, products!$C$1:C171, 0)</f>
        <v>D</v>
      </c>
      <c r="K124" s="4" cm="1">
        <f t="array" ref="K124">_xlfn.XLOOKUP(D124, products!$A$1:A171, products!$D$1:D171, 0)</f>
        <v>0.5</v>
      </c>
      <c r="L124" s="4" cm="1">
        <f t="array" ref="L124">_xlfn.XLOOKUP(D124, products!$A$1:A171, products!$E$1:E171)</f>
        <v>5.97</v>
      </c>
      <c r="M124">
        <f t="shared" si="2"/>
        <v>23.88</v>
      </c>
      <c r="N124" t="str">
        <f t="shared" si="3"/>
        <v>Arabica</v>
      </c>
      <c r="O124" t="str" cm="1">
        <f t="array" ref="O124">_xlfn.IFS(J124="M", "Medium", J124="L", "Light", J124="D", "Dark")</f>
        <v>Dark</v>
      </c>
      <c r="P124" t="str">
        <f>_xlfn.XLOOKUP(Orders[[#This Row],[Customer ID]], customers!$A$2:$A$1001, customers!$I$2:$I$1001, 0)</f>
        <v>Yes</v>
      </c>
    </row>
    <row r="125" spans="1:16" x14ac:dyDescent="0.35">
      <c r="A125" s="2" t="s">
        <v>1180</v>
      </c>
      <c r="B125" s="3">
        <v>44724</v>
      </c>
      <c r="C125" s="2" t="s">
        <v>1181</v>
      </c>
      <c r="D125" t="s">
        <v>6164</v>
      </c>
      <c r="E125" s="2">
        <v>4</v>
      </c>
      <c r="F125" s="2" t="str" cm="1">
        <f t="array" ref="F125">_xlfn.XLOOKUP(C125, customers!$A$1:A1124, customers!$B$1:B1124, 0)</f>
        <v>Doll Beauchamp</v>
      </c>
      <c r="G125" s="2" t="str">
        <f>IF(_xlfn.XLOOKUP(C125, customers!A124:A1124, customers!C124:C1124, 0)=0, "", _xlfn.XLOOKUP(C125, customers!A124:A1124, customers!C124:C1124, 0))</f>
        <v>dbeauchamp3f@usda.gov</v>
      </c>
      <c r="H125" s="2" t="str" cm="1">
        <f t="array" ref="H125">_xlfn.XLOOKUP(C125, customers!$A$1:A1124, customers!$G$1:G1124,, 0)</f>
        <v>United States</v>
      </c>
      <c r="I125" t="str" cm="1">
        <f t="array" ref="I125">_xlfn.XLOOKUP(orders!D125, products!$A$1:A172, products!$B$1:B172, 0)</f>
        <v>Lib</v>
      </c>
      <c r="J125" t="str" cm="1">
        <f t="array" ref="J125">_xlfn.XLOOKUP(D125, products!$A$1:A172, products!$C$1:C172, 0)</f>
        <v>L</v>
      </c>
      <c r="K125" s="4" cm="1">
        <f t="array" ref="K125">_xlfn.XLOOKUP(D125, products!$A$1:A172, products!$D$1:D172, 0)</f>
        <v>2.5</v>
      </c>
      <c r="L125" s="4" cm="1">
        <f t="array" ref="L125">_xlfn.XLOOKUP(D125, products!$A$1:A172, products!$E$1:E172)</f>
        <v>36.454999999999998</v>
      </c>
      <c r="M125">
        <f t="shared" si="2"/>
        <v>145.82</v>
      </c>
      <c r="N125" t="str">
        <f t="shared" si="3"/>
        <v>Liberica</v>
      </c>
      <c r="O125" t="str" cm="1">
        <f t="array" ref="O125">_xlfn.IFS(J125="M", "Medium", J125="L", "Light", J125="D", "Dark")</f>
        <v>Light</v>
      </c>
      <c r="P125" t="str">
        <f>_xlfn.XLOOKUP(Orders[[#This Row],[Customer ID]], customers!$A$2:$A$1001, customers!$I$2:$I$1001, 0)</f>
        <v>No</v>
      </c>
    </row>
    <row r="126" spans="1:16" x14ac:dyDescent="0.35">
      <c r="A126" s="2" t="s">
        <v>1186</v>
      </c>
      <c r="B126" s="3">
        <v>43582</v>
      </c>
      <c r="C126" s="2" t="s">
        <v>1187</v>
      </c>
      <c r="D126" t="s">
        <v>6159</v>
      </c>
      <c r="E126" s="2">
        <v>5</v>
      </c>
      <c r="F126" s="2" t="str" cm="1">
        <f t="array" ref="F126">_xlfn.XLOOKUP(C126, customers!$A$1:A1125, customers!$B$1:B1125, 0)</f>
        <v>Stanford Rodliff</v>
      </c>
      <c r="G126" s="2" t="str">
        <f>IF(_xlfn.XLOOKUP(C126, customers!A125:A1125, customers!C125:C1125, 0)=0, "", _xlfn.XLOOKUP(C126, customers!A125:A1125, customers!C125:C1125, 0))</f>
        <v>srodliff3g@ted.com</v>
      </c>
      <c r="H126" s="2" t="str" cm="1">
        <f t="array" ref="H126">_xlfn.XLOOKUP(C126, customers!$A$1:A1125, customers!$G$1:G1125,, 0)</f>
        <v>United States</v>
      </c>
      <c r="I126" t="str" cm="1">
        <f t="array" ref="I126">_xlfn.XLOOKUP(orders!D126, products!$A$1:A173, products!$B$1:B173, 0)</f>
        <v>Lib</v>
      </c>
      <c r="J126" t="str" cm="1">
        <f t="array" ref="J126">_xlfn.XLOOKUP(D126, products!$A$1:A173, products!$C$1:C173, 0)</f>
        <v>M</v>
      </c>
      <c r="K126" s="4" cm="1">
        <f t="array" ref="K126">_xlfn.XLOOKUP(D126, products!$A$1:A173, products!$D$1:D173, 0)</f>
        <v>0.2</v>
      </c>
      <c r="L126" s="4" cm="1">
        <f t="array" ref="L126">_xlfn.XLOOKUP(D126, products!$A$1:A173, products!$E$1:E173)</f>
        <v>4.3650000000000002</v>
      </c>
      <c r="M126">
        <f t="shared" si="2"/>
        <v>21.825000000000003</v>
      </c>
      <c r="N126" t="str">
        <f t="shared" si="3"/>
        <v>Liberica</v>
      </c>
      <c r="O126" t="str" cm="1">
        <f t="array" ref="O126">_xlfn.IFS(J126="M", "Medium", J126="L", "Light", J126="D", "Dark")</f>
        <v>Medium</v>
      </c>
      <c r="P126" t="str">
        <f>_xlfn.XLOOKUP(Orders[[#This Row],[Customer ID]], customers!$A$2:$A$1001, customers!$I$2:$I$1001, 0)</f>
        <v>Yes</v>
      </c>
    </row>
    <row r="127" spans="1:16" x14ac:dyDescent="0.35">
      <c r="A127" s="2" t="s">
        <v>1192</v>
      </c>
      <c r="B127" s="3">
        <v>43608</v>
      </c>
      <c r="C127" s="2" t="s">
        <v>1193</v>
      </c>
      <c r="D127" t="s">
        <v>6160</v>
      </c>
      <c r="E127" s="2">
        <v>3</v>
      </c>
      <c r="F127" s="2" t="str" cm="1">
        <f t="array" ref="F127">_xlfn.XLOOKUP(C127, customers!$A$1:A1126, customers!$B$1:B1126, 0)</f>
        <v>Stevana Woodham</v>
      </c>
      <c r="G127" s="2" t="str">
        <f>IF(_xlfn.XLOOKUP(C127, customers!A126:A1126, customers!C126:C1126, 0)=0, "", _xlfn.XLOOKUP(C127, customers!A126:A1126, customers!C126:C1126, 0))</f>
        <v>swoodham3h@businesswire.com</v>
      </c>
      <c r="H127" s="2" t="str" cm="1">
        <f t="array" ref="H127">_xlfn.XLOOKUP(C127, customers!$A$1:A1126, customers!$G$1:G1126,, 0)</f>
        <v>Ireland</v>
      </c>
      <c r="I127" t="str" cm="1">
        <f t="array" ref="I127">_xlfn.XLOOKUP(orders!D127, products!$A$1:A174, products!$B$1:B174, 0)</f>
        <v>Lib</v>
      </c>
      <c r="J127" t="str" cm="1">
        <f t="array" ref="J127">_xlfn.XLOOKUP(D127, products!$A$1:A174, products!$C$1:C174, 0)</f>
        <v>M</v>
      </c>
      <c r="K127" s="4" cm="1">
        <f t="array" ref="K127">_xlfn.XLOOKUP(D127, products!$A$1:A174, products!$D$1:D174, 0)</f>
        <v>0.5</v>
      </c>
      <c r="L127" s="4" cm="1">
        <f t="array" ref="L127">_xlfn.XLOOKUP(D127, products!$A$1:A174, products!$E$1:E174)</f>
        <v>8.73</v>
      </c>
      <c r="M127">
        <f t="shared" si="2"/>
        <v>26.19</v>
      </c>
      <c r="N127" t="str">
        <f t="shared" si="3"/>
        <v>Liberica</v>
      </c>
      <c r="O127" t="str" cm="1">
        <f t="array" ref="O127">_xlfn.IFS(J127="M", "Medium", J127="L", "Light", J127="D", "Dark")</f>
        <v>Medium</v>
      </c>
      <c r="P127" t="str">
        <f>_xlfn.XLOOKUP(Orders[[#This Row],[Customer ID]], customers!$A$2:$A$1001, customers!$I$2:$I$1001, 0)</f>
        <v>Yes</v>
      </c>
    </row>
    <row r="128" spans="1:16" x14ac:dyDescent="0.35">
      <c r="A128" s="2" t="s">
        <v>1198</v>
      </c>
      <c r="B128" s="3">
        <v>44026</v>
      </c>
      <c r="C128" s="2" t="s">
        <v>1199</v>
      </c>
      <c r="D128" t="s">
        <v>6155</v>
      </c>
      <c r="E128" s="2">
        <v>1</v>
      </c>
      <c r="F128" s="2" t="str" cm="1">
        <f t="array" ref="F128">_xlfn.XLOOKUP(C128, customers!$A$1:A1127, customers!$B$1:B1127, 0)</f>
        <v>Hewet Synnot</v>
      </c>
      <c r="G128" s="2" t="str">
        <f>IF(_xlfn.XLOOKUP(C128, customers!A127:A1127, customers!C127:C1127, 0)=0, "", _xlfn.XLOOKUP(C128, customers!A127:A1127, customers!C127:C1127, 0))</f>
        <v>hsynnot3i@about.com</v>
      </c>
      <c r="H128" s="2" t="str" cm="1">
        <f t="array" ref="H128">_xlfn.XLOOKUP(C128, customers!$A$1:A1127, customers!$G$1:G1127,, 0)</f>
        <v>United States</v>
      </c>
      <c r="I128" t="str" cm="1">
        <f t="array" ref="I128">_xlfn.XLOOKUP(orders!D128, products!$A$1:A175, products!$B$1:B175, 0)</f>
        <v>Ara</v>
      </c>
      <c r="J128" t="str" cm="1">
        <f t="array" ref="J128">_xlfn.XLOOKUP(D128, products!$A$1:A175, products!$C$1:C175, 0)</f>
        <v>M</v>
      </c>
      <c r="K128" s="4" cm="1">
        <f t="array" ref="K128">_xlfn.XLOOKUP(D128, products!$A$1:A175, products!$D$1:D175, 0)</f>
        <v>1</v>
      </c>
      <c r="L128" s="4" cm="1">
        <f t="array" ref="L128">_xlfn.XLOOKUP(D128, products!$A$1:A175, products!$E$1:E175)</f>
        <v>11.25</v>
      </c>
      <c r="M128">
        <f t="shared" si="2"/>
        <v>11.25</v>
      </c>
      <c r="N128" t="str">
        <f t="shared" si="3"/>
        <v>Arabica</v>
      </c>
      <c r="O128" t="str" cm="1">
        <f t="array" ref="O128">_xlfn.IFS(J128="M", "Medium", J128="L", "Light", J128="D", "Dark")</f>
        <v>Medium</v>
      </c>
      <c r="P128" t="str">
        <f>_xlfn.XLOOKUP(Orders[[#This Row],[Customer ID]], customers!$A$2:$A$1001, customers!$I$2:$I$1001, 0)</f>
        <v>No</v>
      </c>
    </row>
    <row r="129" spans="1:16" x14ac:dyDescent="0.35">
      <c r="A129" s="2" t="s">
        <v>1204</v>
      </c>
      <c r="B129" s="3">
        <v>44510</v>
      </c>
      <c r="C129" s="2" t="s">
        <v>1205</v>
      </c>
      <c r="D129" t="s">
        <v>6143</v>
      </c>
      <c r="E129" s="2">
        <v>6</v>
      </c>
      <c r="F129" s="2" t="str" cm="1">
        <f t="array" ref="F129">_xlfn.XLOOKUP(C129, customers!$A$1:A1128, customers!$B$1:B1128, 0)</f>
        <v>Raleigh Lepere</v>
      </c>
      <c r="G129" s="2" t="str">
        <f>IF(_xlfn.XLOOKUP(C129, customers!A128:A1128, customers!C128:C1128, 0)=0, "", _xlfn.XLOOKUP(C129, customers!A128:A1128, customers!C128:C1128, 0))</f>
        <v>rlepere3j@shop-pro.jp</v>
      </c>
      <c r="H129" s="2" t="str" cm="1">
        <f t="array" ref="H129">_xlfn.XLOOKUP(C129, customers!$A$1:A1128, customers!$G$1:G1128,, 0)</f>
        <v>Ireland</v>
      </c>
      <c r="I129" t="str" cm="1">
        <f t="array" ref="I129">_xlfn.XLOOKUP(orders!D129, products!$A$1:A176, products!$B$1:B176, 0)</f>
        <v>Lib</v>
      </c>
      <c r="J129" t="str" cm="1">
        <f t="array" ref="J129">_xlfn.XLOOKUP(D129, products!$A$1:A176, products!$C$1:C176, 0)</f>
        <v>D</v>
      </c>
      <c r="K129" s="4" cm="1">
        <f t="array" ref="K129">_xlfn.XLOOKUP(D129, products!$A$1:A176, products!$D$1:D176, 0)</f>
        <v>1</v>
      </c>
      <c r="L129" s="4" cm="1">
        <f t="array" ref="L129">_xlfn.XLOOKUP(D129, products!$A$1:A176, products!$E$1:E176)</f>
        <v>12.95</v>
      </c>
      <c r="M129">
        <f t="shared" si="2"/>
        <v>77.699999999999989</v>
      </c>
      <c r="N129" t="str">
        <f t="shared" si="3"/>
        <v>Liberica</v>
      </c>
      <c r="O129" t="str" cm="1">
        <f t="array" ref="O129">_xlfn.IFS(J129="M", "Medium", J129="L", "Light", J129="D", "Dark")</f>
        <v>Dark</v>
      </c>
      <c r="P129" t="str">
        <f>_xlfn.XLOOKUP(Orders[[#This Row],[Customer ID]], customers!$A$2:$A$1001, customers!$I$2:$I$1001, 0)</f>
        <v>No</v>
      </c>
    </row>
    <row r="130" spans="1:16" x14ac:dyDescent="0.35">
      <c r="A130" s="2" t="s">
        <v>1210</v>
      </c>
      <c r="B130" s="3">
        <v>44439</v>
      </c>
      <c r="C130" s="2" t="s">
        <v>1211</v>
      </c>
      <c r="D130" t="s">
        <v>6157</v>
      </c>
      <c r="E130" s="2">
        <v>1</v>
      </c>
      <c r="F130" s="2" t="str" cm="1">
        <f t="array" ref="F130">_xlfn.XLOOKUP(C130, customers!$A$1:A1129, customers!$B$1:B1129, 0)</f>
        <v>Timofei Woofinden</v>
      </c>
      <c r="G130" s="2" t="str">
        <f>IF(_xlfn.XLOOKUP(C130, customers!A129:A1129, customers!C129:C1129, 0)=0, "", _xlfn.XLOOKUP(C130, customers!A129:A1129, customers!C129:C1129, 0))</f>
        <v>twoofinden3k@businesswire.com</v>
      </c>
      <c r="H130" s="2" t="str" cm="1">
        <f t="array" ref="H130">_xlfn.XLOOKUP(C130, customers!$A$1:A1129, customers!$G$1:G1129,, 0)</f>
        <v>United States</v>
      </c>
      <c r="I130" t="str" cm="1">
        <f t="array" ref="I130">_xlfn.XLOOKUP(orders!D130, products!$A$1:A177, products!$B$1:B177, 0)</f>
        <v>Ara</v>
      </c>
      <c r="J130" t="str" cm="1">
        <f t="array" ref="J130">_xlfn.XLOOKUP(D130, products!$A$1:A177, products!$C$1:C177, 0)</f>
        <v>M</v>
      </c>
      <c r="K130" s="4" cm="1">
        <f t="array" ref="K130">_xlfn.XLOOKUP(D130, products!$A$1:A177, products!$D$1:D177, 0)</f>
        <v>0.5</v>
      </c>
      <c r="L130" s="4" cm="1">
        <f t="array" ref="L130">_xlfn.XLOOKUP(D130, products!$A$1:A177, products!$E$1:E177)</f>
        <v>6.75</v>
      </c>
      <c r="M130">
        <f t="shared" si="2"/>
        <v>6.75</v>
      </c>
      <c r="N130" t="str">
        <f t="shared" si="3"/>
        <v>Arabica</v>
      </c>
      <c r="O130" t="str" cm="1">
        <f t="array" ref="O130">_xlfn.IFS(J130="M", "Medium", J130="L", "Light", J130="D", "Dark")</f>
        <v>Medium</v>
      </c>
      <c r="P130" t="str">
        <f>_xlfn.XLOOKUP(Orders[[#This Row],[Customer ID]], customers!$A$2:$A$1001, customers!$I$2:$I$1001, 0)</f>
        <v>No</v>
      </c>
    </row>
    <row r="131" spans="1:16" x14ac:dyDescent="0.35">
      <c r="A131" s="2" t="s">
        <v>1216</v>
      </c>
      <c r="B131" s="3">
        <v>43652</v>
      </c>
      <c r="C131" s="2" t="s">
        <v>1217</v>
      </c>
      <c r="D131" t="s">
        <v>6183</v>
      </c>
      <c r="E131" s="2">
        <v>1</v>
      </c>
      <c r="F131" s="2" t="str" cm="1">
        <f t="array" ref="F131">_xlfn.XLOOKUP(C131, customers!$A$1:A1130, customers!$B$1:B1130, 0)</f>
        <v>Evelina Dacca</v>
      </c>
      <c r="G131" s="2" t="str">
        <f>IF(_xlfn.XLOOKUP(C131, customers!A130:A1130, customers!C130:C1130, 0)=0, "", _xlfn.XLOOKUP(C131, customers!A130:A1130, customers!C130:C1130, 0))</f>
        <v>edacca3l@google.pl</v>
      </c>
      <c r="H131" s="2" t="str" cm="1">
        <f t="array" ref="H131">_xlfn.XLOOKUP(C131, customers!$A$1:A1130, customers!$G$1:G1130,, 0)</f>
        <v>United States</v>
      </c>
      <c r="I131" t="str" cm="1">
        <f t="array" ref="I131">_xlfn.XLOOKUP(orders!D131, products!$A$1:A178, products!$B$1:B178, 0)</f>
        <v>Exc</v>
      </c>
      <c r="J131" t="str" cm="1">
        <f t="array" ref="J131">_xlfn.XLOOKUP(D131, products!$A$1:A178, products!$C$1:C178, 0)</f>
        <v>D</v>
      </c>
      <c r="K131" s="4" cm="1">
        <f t="array" ref="K131">_xlfn.XLOOKUP(D131, products!$A$1:A178, products!$D$1:D178, 0)</f>
        <v>1</v>
      </c>
      <c r="L131" s="4" cm="1">
        <f t="array" ref="L131">_xlfn.XLOOKUP(D131, products!$A$1:A178, products!$E$1:E178)</f>
        <v>12.15</v>
      </c>
      <c r="M131">
        <f t="shared" ref="M131:M194" si="4">L131*E131</f>
        <v>12.15</v>
      </c>
      <c r="N131" t="str">
        <f t="shared" ref="N131:N194" si="5">IF(I131="Rob", "Robusta", IF(I131="Exc", "Excelsa", IF(I131="Ara", "Arabica", IF(I131="Lib", "Liberica", ""))))</f>
        <v>Excelsa</v>
      </c>
      <c r="O131" t="str" cm="1">
        <f t="array" ref="O131">_xlfn.IFS(J131="M", "Medium", J131="L", "Light", J131="D", "Dark")</f>
        <v>Dark</v>
      </c>
      <c r="P131" t="str">
        <f>_xlfn.XLOOKUP(Orders[[#This Row],[Customer ID]], customers!$A$2:$A$1001, customers!$I$2:$I$1001, 0)</f>
        <v>Yes</v>
      </c>
    </row>
    <row r="132" spans="1:16" x14ac:dyDescent="0.35">
      <c r="A132" s="2" t="s">
        <v>1222</v>
      </c>
      <c r="B132" s="3">
        <v>44624</v>
      </c>
      <c r="C132" s="2" t="s">
        <v>1223</v>
      </c>
      <c r="D132" t="s">
        <v>6182</v>
      </c>
      <c r="E132" s="2">
        <v>5</v>
      </c>
      <c r="F132" s="2" t="str" cm="1">
        <f t="array" ref="F132">_xlfn.XLOOKUP(C132, customers!$A$1:A1131, customers!$B$1:B1131, 0)</f>
        <v>Bidget Tremellier</v>
      </c>
      <c r="G132" s="2" t="str">
        <f>IF(_xlfn.XLOOKUP(C132, customers!A131:A1131, customers!C131:C1131, 0)=0, "", _xlfn.XLOOKUP(C132, customers!A131:A1131, customers!C131:C1131, 0))</f>
        <v/>
      </c>
      <c r="H132" s="2" t="str" cm="1">
        <f t="array" ref="H132">_xlfn.XLOOKUP(C132, customers!$A$1:A1131, customers!$G$1:G1131,, 0)</f>
        <v>Ireland</v>
      </c>
      <c r="I132" t="str" cm="1">
        <f t="array" ref="I132">_xlfn.XLOOKUP(orders!D132, products!$A$1:A179, products!$B$1:B179, 0)</f>
        <v>Ara</v>
      </c>
      <c r="J132" t="str" cm="1">
        <f t="array" ref="J132">_xlfn.XLOOKUP(D132, products!$A$1:A179, products!$C$1:C179, 0)</f>
        <v>L</v>
      </c>
      <c r="K132" s="4" cm="1">
        <f t="array" ref="K132">_xlfn.XLOOKUP(D132, products!$A$1:A179, products!$D$1:D179, 0)</f>
        <v>2.5</v>
      </c>
      <c r="L132" s="4" cm="1">
        <f t="array" ref="L132">_xlfn.XLOOKUP(D132, products!$A$1:A179, products!$E$1:E179)</f>
        <v>29.784999999999997</v>
      </c>
      <c r="M132">
        <f t="shared" si="4"/>
        <v>148.92499999999998</v>
      </c>
      <c r="N132" t="str">
        <f t="shared" si="5"/>
        <v>Arabica</v>
      </c>
      <c r="O132" t="str" cm="1">
        <f t="array" ref="O132">_xlfn.IFS(J132="M", "Medium", J132="L", "Light", J132="D", "Dark")</f>
        <v>Light</v>
      </c>
      <c r="P132" t="str">
        <f>_xlfn.XLOOKUP(Orders[[#This Row],[Customer ID]], customers!$A$2:$A$1001, customers!$I$2:$I$1001, 0)</f>
        <v>Yes</v>
      </c>
    </row>
    <row r="133" spans="1:16" x14ac:dyDescent="0.35">
      <c r="A133" s="2" t="s">
        <v>1227</v>
      </c>
      <c r="B133" s="3">
        <v>44196</v>
      </c>
      <c r="C133" s="2" t="s">
        <v>1228</v>
      </c>
      <c r="D133" t="s">
        <v>6144</v>
      </c>
      <c r="E133" s="2">
        <v>2</v>
      </c>
      <c r="F133" s="2" t="str" cm="1">
        <f t="array" ref="F133">_xlfn.XLOOKUP(C133, customers!$A$1:A1132, customers!$B$1:B1132, 0)</f>
        <v>Bobinette Hindsberg</v>
      </c>
      <c r="G133" s="2" t="str">
        <f>IF(_xlfn.XLOOKUP(C133, customers!A132:A1132, customers!C132:C1132, 0)=0, "", _xlfn.XLOOKUP(C133, customers!A132:A1132, customers!C132:C1132, 0))</f>
        <v>bhindsberg3n@blogs.com</v>
      </c>
      <c r="H133" s="2" t="str" cm="1">
        <f t="array" ref="H133">_xlfn.XLOOKUP(C133, customers!$A$1:A1132, customers!$G$1:G1132,, 0)</f>
        <v>United States</v>
      </c>
      <c r="I133" t="str" cm="1">
        <f t="array" ref="I133">_xlfn.XLOOKUP(orders!D133, products!$A$1:A180, products!$B$1:B180, 0)</f>
        <v>Exc</v>
      </c>
      <c r="J133" t="str" cm="1">
        <f t="array" ref="J133">_xlfn.XLOOKUP(D133, products!$A$1:A180, products!$C$1:C180, 0)</f>
        <v>D</v>
      </c>
      <c r="K133" s="4" cm="1">
        <f t="array" ref="K133">_xlfn.XLOOKUP(D133, products!$A$1:A180, products!$D$1:D180, 0)</f>
        <v>0.5</v>
      </c>
      <c r="L133" s="4" cm="1">
        <f t="array" ref="L133">_xlfn.XLOOKUP(D133, products!$A$1:A180, products!$E$1:E180)</f>
        <v>7.29</v>
      </c>
      <c r="M133">
        <f t="shared" si="4"/>
        <v>14.58</v>
      </c>
      <c r="N133" t="str">
        <f t="shared" si="5"/>
        <v>Excelsa</v>
      </c>
      <c r="O133" t="str" cm="1">
        <f t="array" ref="O133">_xlfn.IFS(J133="M", "Medium", J133="L", "Light", J133="D", "Dark")</f>
        <v>Dark</v>
      </c>
      <c r="P133" t="str">
        <f>_xlfn.XLOOKUP(Orders[[#This Row],[Customer ID]], customers!$A$2:$A$1001, customers!$I$2:$I$1001, 0)</f>
        <v>Yes</v>
      </c>
    </row>
    <row r="134" spans="1:16" x14ac:dyDescent="0.35">
      <c r="A134" s="2" t="s">
        <v>1233</v>
      </c>
      <c r="B134" s="3">
        <v>44043</v>
      </c>
      <c r="C134" s="2" t="s">
        <v>1234</v>
      </c>
      <c r="D134" t="s">
        <v>6182</v>
      </c>
      <c r="E134" s="2">
        <v>5</v>
      </c>
      <c r="F134" s="2" t="str" cm="1">
        <f t="array" ref="F134">_xlfn.XLOOKUP(C134, customers!$A$1:A1133, customers!$B$1:B1133, 0)</f>
        <v>Osbert Robins</v>
      </c>
      <c r="G134" s="2" t="str">
        <f>IF(_xlfn.XLOOKUP(C134, customers!A133:A1133, customers!C133:C1133, 0)=0, "", _xlfn.XLOOKUP(C134, customers!A133:A1133, customers!C133:C1133, 0))</f>
        <v>orobins3o@salon.com</v>
      </c>
      <c r="H134" s="2" t="str" cm="1">
        <f t="array" ref="H134">_xlfn.XLOOKUP(C134, customers!$A$1:A1133, customers!$G$1:G1133,, 0)</f>
        <v>United States</v>
      </c>
      <c r="I134" t="str" cm="1">
        <f t="array" ref="I134">_xlfn.XLOOKUP(orders!D134, products!$A$1:A181, products!$B$1:B181, 0)</f>
        <v>Ara</v>
      </c>
      <c r="J134" t="str" cm="1">
        <f t="array" ref="J134">_xlfn.XLOOKUP(D134, products!$A$1:A181, products!$C$1:C181, 0)</f>
        <v>L</v>
      </c>
      <c r="K134" s="4" cm="1">
        <f t="array" ref="K134">_xlfn.XLOOKUP(D134, products!$A$1:A181, products!$D$1:D181, 0)</f>
        <v>2.5</v>
      </c>
      <c r="L134" s="4" cm="1">
        <f t="array" ref="L134">_xlfn.XLOOKUP(D134, products!$A$1:A181, products!$E$1:E181)</f>
        <v>29.784999999999997</v>
      </c>
      <c r="M134">
        <f t="shared" si="4"/>
        <v>148.92499999999998</v>
      </c>
      <c r="N134" t="str">
        <f t="shared" si="5"/>
        <v>Arabica</v>
      </c>
      <c r="O134" t="str" cm="1">
        <f t="array" ref="O134">_xlfn.IFS(J134="M", "Medium", J134="L", "Light", J134="D", "Dark")</f>
        <v>Light</v>
      </c>
      <c r="P134" t="str">
        <f>_xlfn.XLOOKUP(Orders[[#This Row],[Customer ID]], customers!$A$2:$A$1001, customers!$I$2:$I$1001, 0)</f>
        <v>Yes</v>
      </c>
    </row>
    <row r="135" spans="1:16" x14ac:dyDescent="0.35">
      <c r="A135" s="2" t="s">
        <v>1239</v>
      </c>
      <c r="B135" s="3">
        <v>44340</v>
      </c>
      <c r="C135" s="2" t="s">
        <v>1240</v>
      </c>
      <c r="D135" t="s">
        <v>6143</v>
      </c>
      <c r="E135" s="2">
        <v>1</v>
      </c>
      <c r="F135" s="2" t="str" cm="1">
        <f t="array" ref="F135">_xlfn.XLOOKUP(C135, customers!$A$1:A1134, customers!$B$1:B1134, 0)</f>
        <v>Othello Syseland</v>
      </c>
      <c r="G135" s="2" t="str">
        <f>IF(_xlfn.XLOOKUP(C135, customers!A134:A1134, customers!C134:C1134, 0)=0, "", _xlfn.XLOOKUP(C135, customers!A134:A1134, customers!C134:C1134, 0))</f>
        <v>osyseland3p@independent.co.uk</v>
      </c>
      <c r="H135" s="2" t="str" cm="1">
        <f t="array" ref="H135">_xlfn.XLOOKUP(C135, customers!$A$1:A1134, customers!$G$1:G1134,, 0)</f>
        <v>United States</v>
      </c>
      <c r="I135" t="str" cm="1">
        <f t="array" ref="I135">_xlfn.XLOOKUP(orders!D135, products!$A$1:A182, products!$B$1:B182, 0)</f>
        <v>Lib</v>
      </c>
      <c r="J135" t="str" cm="1">
        <f t="array" ref="J135">_xlfn.XLOOKUP(D135, products!$A$1:A182, products!$C$1:C182, 0)</f>
        <v>D</v>
      </c>
      <c r="K135" s="4" cm="1">
        <f t="array" ref="K135">_xlfn.XLOOKUP(D135, products!$A$1:A182, products!$D$1:D182, 0)</f>
        <v>1</v>
      </c>
      <c r="L135" s="4" cm="1">
        <f t="array" ref="L135">_xlfn.XLOOKUP(D135, products!$A$1:A182, products!$E$1:E182)</f>
        <v>12.95</v>
      </c>
      <c r="M135">
        <f t="shared" si="4"/>
        <v>12.95</v>
      </c>
      <c r="N135" t="str">
        <f t="shared" si="5"/>
        <v>Liberica</v>
      </c>
      <c r="O135" t="str" cm="1">
        <f t="array" ref="O135">_xlfn.IFS(J135="M", "Medium", J135="L", "Light", J135="D", "Dark")</f>
        <v>Dark</v>
      </c>
      <c r="P135" t="str">
        <f>_xlfn.XLOOKUP(Orders[[#This Row],[Customer ID]], customers!$A$2:$A$1001, customers!$I$2:$I$1001, 0)</f>
        <v>No</v>
      </c>
    </row>
    <row r="136" spans="1:16" x14ac:dyDescent="0.35">
      <c r="A136" s="2" t="s">
        <v>1245</v>
      </c>
      <c r="B136" s="3">
        <v>44758</v>
      </c>
      <c r="C136" s="2" t="s">
        <v>1246</v>
      </c>
      <c r="D136" t="s">
        <v>6166</v>
      </c>
      <c r="E136" s="2">
        <v>3</v>
      </c>
      <c r="F136" s="2" t="str" cm="1">
        <f t="array" ref="F136">_xlfn.XLOOKUP(C136, customers!$A$1:A1135, customers!$B$1:B1135, 0)</f>
        <v>Ewell Hanby</v>
      </c>
      <c r="G136" s="2" t="str">
        <f>IF(_xlfn.XLOOKUP(C136, customers!A135:A1135, customers!C135:C1135, 0)=0, "", _xlfn.XLOOKUP(C136, customers!A135:A1135, customers!C135:C1135, 0))</f>
        <v/>
      </c>
      <c r="H136" s="2" t="str" cm="1">
        <f t="array" ref="H136">_xlfn.XLOOKUP(C136, customers!$A$1:A1135, customers!$G$1:G1135,, 0)</f>
        <v>United States</v>
      </c>
      <c r="I136" t="str" cm="1">
        <f t="array" ref="I136">_xlfn.XLOOKUP(orders!D136, products!$A$1:A183, products!$B$1:B183, 0)</f>
        <v>Exc</v>
      </c>
      <c r="J136" t="str" cm="1">
        <f t="array" ref="J136">_xlfn.XLOOKUP(D136, products!$A$1:A183, products!$C$1:C183, 0)</f>
        <v>M</v>
      </c>
      <c r="K136" s="4" cm="1">
        <f t="array" ref="K136">_xlfn.XLOOKUP(D136, products!$A$1:A183, products!$D$1:D183, 0)</f>
        <v>2.5</v>
      </c>
      <c r="L136" s="4" cm="1">
        <f t="array" ref="L136">_xlfn.XLOOKUP(D136, products!$A$1:A183, products!$E$1:E183)</f>
        <v>31.624999999999996</v>
      </c>
      <c r="M136">
        <f t="shared" si="4"/>
        <v>94.874999999999986</v>
      </c>
      <c r="N136" t="str">
        <f t="shared" si="5"/>
        <v>Excelsa</v>
      </c>
      <c r="O136" t="str" cm="1">
        <f t="array" ref="O136">_xlfn.IFS(J136="M", "Medium", J136="L", "Light", J136="D", "Dark")</f>
        <v>Medium</v>
      </c>
      <c r="P136" t="str">
        <f>_xlfn.XLOOKUP(Orders[[#This Row],[Customer ID]], customers!$A$2:$A$1001, customers!$I$2:$I$1001, 0)</f>
        <v>Yes</v>
      </c>
    </row>
    <row r="137" spans="1:16" x14ac:dyDescent="0.35">
      <c r="A137" s="2" t="s">
        <v>1249</v>
      </c>
      <c r="B137" s="3">
        <v>44232</v>
      </c>
      <c r="C137" s="2" t="s">
        <v>976</v>
      </c>
      <c r="D137" t="s">
        <v>6180</v>
      </c>
      <c r="E137" s="2">
        <v>5</v>
      </c>
      <c r="F137" s="2" t="str" cm="1">
        <f t="array" ref="F137">_xlfn.XLOOKUP(C137, customers!$A$1:A1136, customers!$B$1:B1136, 0)</f>
        <v>Blancha McAmish</v>
      </c>
      <c r="G137" s="2" t="str">
        <f>IF(_xlfn.XLOOKUP(C137, customers!A136:A1136, customers!C136:C1136, 0)=0, "", _xlfn.XLOOKUP(C137, customers!A136:A1136, customers!C136:C1136, 0))</f>
        <v/>
      </c>
      <c r="H137" s="2" t="str" cm="1">
        <f t="array" ref="H137">_xlfn.XLOOKUP(C137, customers!$A$1:A1136, customers!$G$1:G1136,, 0)</f>
        <v>United States</v>
      </c>
      <c r="I137" t="str" cm="1">
        <f t="array" ref="I137">_xlfn.XLOOKUP(orders!D137, products!$A$1:A184, products!$B$1:B184, 0)</f>
        <v>Ara</v>
      </c>
      <c r="J137" t="str" cm="1">
        <f t="array" ref="J137">_xlfn.XLOOKUP(D137, products!$A$1:A184, products!$C$1:C184, 0)</f>
        <v>L</v>
      </c>
      <c r="K137" s="4" cm="1">
        <f t="array" ref="K137">_xlfn.XLOOKUP(D137, products!$A$1:A184, products!$D$1:D184, 0)</f>
        <v>0.5</v>
      </c>
      <c r="L137" s="4" cm="1">
        <f t="array" ref="L137">_xlfn.XLOOKUP(D137, products!$A$1:A184, products!$E$1:E184)</f>
        <v>7.77</v>
      </c>
      <c r="M137">
        <f t="shared" si="4"/>
        <v>38.849999999999994</v>
      </c>
      <c r="N137" t="str">
        <f t="shared" si="5"/>
        <v>Arabica</v>
      </c>
      <c r="O137" t="str" cm="1">
        <f t="array" ref="O137">_xlfn.IFS(J137="M", "Medium", J137="L", "Light", J137="D", "Dark")</f>
        <v>Light</v>
      </c>
      <c r="P137" t="str">
        <f>_xlfn.XLOOKUP(Orders[[#This Row],[Customer ID]], customers!$A$2:$A$1001, customers!$I$2:$I$1001, 0)</f>
        <v>Yes</v>
      </c>
    </row>
    <row r="138" spans="1:16" x14ac:dyDescent="0.35">
      <c r="A138" s="2" t="s">
        <v>1255</v>
      </c>
      <c r="B138" s="3">
        <v>44406</v>
      </c>
      <c r="C138" s="2" t="s">
        <v>1256</v>
      </c>
      <c r="D138" t="s">
        <v>6154</v>
      </c>
      <c r="E138" s="2">
        <v>4</v>
      </c>
      <c r="F138" s="2" t="str" cm="1">
        <f t="array" ref="F138">_xlfn.XLOOKUP(C138, customers!$A$1:A1137, customers!$B$1:B1137, 0)</f>
        <v>Lowell Keenleyside</v>
      </c>
      <c r="G138" s="2" t="str">
        <f>IF(_xlfn.XLOOKUP(C138, customers!A137:A1137, customers!C137:C1137, 0)=0, "", _xlfn.XLOOKUP(C138, customers!A137:A1137, customers!C137:C1137, 0))</f>
        <v>lkeenleyside3s@topsy.com</v>
      </c>
      <c r="H138" s="2" t="str" cm="1">
        <f t="array" ref="H138">_xlfn.XLOOKUP(C138, customers!$A$1:A1137, customers!$G$1:G1137,, 0)</f>
        <v>United States</v>
      </c>
      <c r="I138" t="str" cm="1">
        <f t="array" ref="I138">_xlfn.XLOOKUP(orders!D138, products!$A$1:A185, products!$B$1:B185, 0)</f>
        <v>Ara</v>
      </c>
      <c r="J138" t="str" cm="1">
        <f t="array" ref="J138">_xlfn.XLOOKUP(D138, products!$A$1:A185, products!$C$1:C185, 0)</f>
        <v>D</v>
      </c>
      <c r="K138" s="4" cm="1">
        <f t="array" ref="K138">_xlfn.XLOOKUP(D138, products!$A$1:A185, products!$D$1:D185, 0)</f>
        <v>0.2</v>
      </c>
      <c r="L138" s="4" cm="1">
        <f t="array" ref="L138">_xlfn.XLOOKUP(D138, products!$A$1:A185, products!$E$1:E185)</f>
        <v>2.9849999999999999</v>
      </c>
      <c r="M138">
        <f t="shared" si="4"/>
        <v>11.94</v>
      </c>
      <c r="N138" t="str">
        <f t="shared" si="5"/>
        <v>Arabica</v>
      </c>
      <c r="O138" t="str" cm="1">
        <f t="array" ref="O138">_xlfn.IFS(J138="M", "Medium", J138="L", "Light", J138="D", "Dark")</f>
        <v>Dark</v>
      </c>
      <c r="P138" t="str">
        <f>_xlfn.XLOOKUP(Orders[[#This Row],[Customer ID]], customers!$A$2:$A$1001, customers!$I$2:$I$1001, 0)</f>
        <v>No</v>
      </c>
    </row>
    <row r="139" spans="1:16" x14ac:dyDescent="0.35">
      <c r="A139" s="2" t="s">
        <v>1261</v>
      </c>
      <c r="B139" s="3">
        <v>44637</v>
      </c>
      <c r="C139" s="2" t="s">
        <v>1262</v>
      </c>
      <c r="D139" t="s">
        <v>6148</v>
      </c>
      <c r="E139" s="2">
        <v>3</v>
      </c>
      <c r="F139" s="2" t="str" cm="1">
        <f t="array" ref="F139">_xlfn.XLOOKUP(C139, customers!$A$1:A1138, customers!$B$1:B1138, 0)</f>
        <v>Elonore Joliffe</v>
      </c>
      <c r="G139" s="2" t="str">
        <f>IF(_xlfn.XLOOKUP(C139, customers!A138:A1138, customers!C138:C1138, 0)=0, "", _xlfn.XLOOKUP(C139, customers!A138:A1138, customers!C138:C1138, 0))</f>
        <v/>
      </c>
      <c r="H139" s="2" t="str" cm="1">
        <f t="array" ref="H139">_xlfn.XLOOKUP(C139, customers!$A$1:A1138, customers!$G$1:G1138,, 0)</f>
        <v>Ireland</v>
      </c>
      <c r="I139" t="str" cm="1">
        <f t="array" ref="I139">_xlfn.XLOOKUP(orders!D139, products!$A$1:A186, products!$B$1:B186, 0)</f>
        <v>Exc</v>
      </c>
      <c r="J139" t="str" cm="1">
        <f t="array" ref="J139">_xlfn.XLOOKUP(D139, products!$A$1:A186, products!$C$1:C186, 0)</f>
        <v>L</v>
      </c>
      <c r="K139" s="4" cm="1">
        <f t="array" ref="K139">_xlfn.XLOOKUP(D139, products!$A$1:A186, products!$D$1:D186, 0)</f>
        <v>2.5</v>
      </c>
      <c r="L139" s="4" cm="1">
        <f t="array" ref="L139">_xlfn.XLOOKUP(D139, products!$A$1:A186, products!$E$1:E186)</f>
        <v>34.154999999999994</v>
      </c>
      <c r="M139">
        <f t="shared" si="4"/>
        <v>102.46499999999997</v>
      </c>
      <c r="N139" t="str">
        <f t="shared" si="5"/>
        <v>Excelsa</v>
      </c>
      <c r="O139" t="str" cm="1">
        <f t="array" ref="O139">_xlfn.IFS(J139="M", "Medium", J139="L", "Light", J139="D", "Dark")</f>
        <v>Light</v>
      </c>
      <c r="P139" t="str">
        <f>_xlfn.XLOOKUP(Orders[[#This Row],[Customer ID]], customers!$A$2:$A$1001, customers!$I$2:$I$1001, 0)</f>
        <v>No</v>
      </c>
    </row>
    <row r="140" spans="1:16" x14ac:dyDescent="0.35">
      <c r="A140" s="2" t="s">
        <v>1266</v>
      </c>
      <c r="B140" s="3">
        <v>44238</v>
      </c>
      <c r="C140" s="2" t="s">
        <v>1267</v>
      </c>
      <c r="D140" t="s">
        <v>6183</v>
      </c>
      <c r="E140" s="2">
        <v>4</v>
      </c>
      <c r="F140" s="2" t="str" cm="1">
        <f t="array" ref="F140">_xlfn.XLOOKUP(C140, customers!$A$1:A1139, customers!$B$1:B1139, 0)</f>
        <v>Abraham Coleman</v>
      </c>
      <c r="G140" s="2" t="str">
        <f>IF(_xlfn.XLOOKUP(C140, customers!A139:A1139, customers!C139:C1139, 0)=0, "", _xlfn.XLOOKUP(C140, customers!A139:A1139, customers!C139:C1139, 0))</f>
        <v/>
      </c>
      <c r="H140" s="2" t="str" cm="1">
        <f t="array" ref="H140">_xlfn.XLOOKUP(C140, customers!$A$1:A1139, customers!$G$1:G1139,, 0)</f>
        <v>United States</v>
      </c>
      <c r="I140" t="str" cm="1">
        <f t="array" ref="I140">_xlfn.XLOOKUP(orders!D140, products!$A$1:A187, products!$B$1:B187, 0)</f>
        <v>Exc</v>
      </c>
      <c r="J140" t="str" cm="1">
        <f t="array" ref="J140">_xlfn.XLOOKUP(D140, products!$A$1:A187, products!$C$1:C187, 0)</f>
        <v>D</v>
      </c>
      <c r="K140" s="4" cm="1">
        <f t="array" ref="K140">_xlfn.XLOOKUP(D140, products!$A$1:A187, products!$D$1:D187, 0)</f>
        <v>1</v>
      </c>
      <c r="L140" s="4" cm="1">
        <f t="array" ref="L140">_xlfn.XLOOKUP(D140, products!$A$1:A187, products!$E$1:E187)</f>
        <v>12.15</v>
      </c>
      <c r="M140">
        <f t="shared" si="4"/>
        <v>48.6</v>
      </c>
      <c r="N140" t="str">
        <f t="shared" si="5"/>
        <v>Excelsa</v>
      </c>
      <c r="O140" t="str" cm="1">
        <f t="array" ref="O140">_xlfn.IFS(J140="M", "Medium", J140="L", "Light", J140="D", "Dark")</f>
        <v>Dark</v>
      </c>
      <c r="P140" t="str">
        <f>_xlfn.XLOOKUP(Orders[[#This Row],[Customer ID]], customers!$A$2:$A$1001, customers!$I$2:$I$1001, 0)</f>
        <v>No</v>
      </c>
    </row>
    <row r="141" spans="1:16" x14ac:dyDescent="0.35">
      <c r="A141" s="2" t="s">
        <v>1271</v>
      </c>
      <c r="B141" s="3">
        <v>43509</v>
      </c>
      <c r="C141" s="2" t="s">
        <v>1272</v>
      </c>
      <c r="D141" t="s">
        <v>6143</v>
      </c>
      <c r="E141" s="2">
        <v>6</v>
      </c>
      <c r="F141" s="2" t="str" cm="1">
        <f t="array" ref="F141">_xlfn.XLOOKUP(C141, customers!$A$1:A1140, customers!$B$1:B1140, 0)</f>
        <v>Rivy Farington</v>
      </c>
      <c r="G141" s="2" t="str">
        <f>IF(_xlfn.XLOOKUP(C141, customers!A140:A1140, customers!C140:C1140, 0)=0, "", _xlfn.XLOOKUP(C141, customers!A140:A1140, customers!C140:C1140, 0))</f>
        <v/>
      </c>
      <c r="H141" s="2" t="str" cm="1">
        <f t="array" ref="H141">_xlfn.XLOOKUP(C141, customers!$A$1:A1140, customers!$G$1:G1140,, 0)</f>
        <v>United States</v>
      </c>
      <c r="I141" t="str" cm="1">
        <f t="array" ref="I141">_xlfn.XLOOKUP(orders!D141, products!$A$1:A188, products!$B$1:B188, 0)</f>
        <v>Lib</v>
      </c>
      <c r="J141" t="str" cm="1">
        <f t="array" ref="J141">_xlfn.XLOOKUP(D141, products!$A$1:A188, products!$C$1:C188, 0)</f>
        <v>D</v>
      </c>
      <c r="K141" s="4" cm="1">
        <f t="array" ref="K141">_xlfn.XLOOKUP(D141, products!$A$1:A188, products!$D$1:D188, 0)</f>
        <v>1</v>
      </c>
      <c r="L141" s="4" cm="1">
        <f t="array" ref="L141">_xlfn.XLOOKUP(D141, products!$A$1:A188, products!$E$1:E188)</f>
        <v>12.95</v>
      </c>
      <c r="M141">
        <f t="shared" si="4"/>
        <v>77.699999999999989</v>
      </c>
      <c r="N141" t="str">
        <f t="shared" si="5"/>
        <v>Liberica</v>
      </c>
      <c r="O141" t="str" cm="1">
        <f t="array" ref="O141">_xlfn.IFS(J141="M", "Medium", J141="L", "Light", J141="D", "Dark")</f>
        <v>Dark</v>
      </c>
      <c r="P141" t="str">
        <f>_xlfn.XLOOKUP(Orders[[#This Row],[Customer ID]], customers!$A$2:$A$1001, customers!$I$2:$I$1001, 0)</f>
        <v>Yes</v>
      </c>
    </row>
    <row r="142" spans="1:16" x14ac:dyDescent="0.35">
      <c r="A142" s="2" t="s">
        <v>1276</v>
      </c>
      <c r="B142" s="3">
        <v>44694</v>
      </c>
      <c r="C142" s="2" t="s">
        <v>1277</v>
      </c>
      <c r="D142" t="s">
        <v>6165</v>
      </c>
      <c r="E142" s="2">
        <v>1</v>
      </c>
      <c r="F142" s="2" t="str" cm="1">
        <f t="array" ref="F142">_xlfn.XLOOKUP(C142, customers!$A$1:A1141, customers!$B$1:B1141, 0)</f>
        <v>Vallie Kundt</v>
      </c>
      <c r="G142" s="2" t="str">
        <f>IF(_xlfn.XLOOKUP(C142, customers!A141:A1141, customers!C141:C1141, 0)=0, "", _xlfn.XLOOKUP(C142, customers!A141:A1141, customers!C141:C1141, 0))</f>
        <v>vkundt3w@bigcartel.com</v>
      </c>
      <c r="H142" s="2" t="str" cm="1">
        <f t="array" ref="H142">_xlfn.XLOOKUP(C142, customers!$A$1:A1141, customers!$G$1:G1141,, 0)</f>
        <v>Ireland</v>
      </c>
      <c r="I142" t="str" cm="1">
        <f t="array" ref="I142">_xlfn.XLOOKUP(orders!D142, products!$A$1:A189, products!$B$1:B189, 0)</f>
        <v>Lib</v>
      </c>
      <c r="J142" t="str" cm="1">
        <f t="array" ref="J142">_xlfn.XLOOKUP(D142, products!$A$1:A189, products!$C$1:C189, 0)</f>
        <v>D</v>
      </c>
      <c r="K142" s="4" cm="1">
        <f t="array" ref="K142">_xlfn.XLOOKUP(D142, products!$A$1:A189, products!$D$1:D189, 0)</f>
        <v>2.5</v>
      </c>
      <c r="L142" s="4" cm="1">
        <f t="array" ref="L142">_xlfn.XLOOKUP(D142, products!$A$1:A189, products!$E$1:E189)</f>
        <v>29.784999999999997</v>
      </c>
      <c r="M142">
        <f t="shared" si="4"/>
        <v>29.784999999999997</v>
      </c>
      <c r="N142" t="str">
        <f t="shared" si="5"/>
        <v>Liberica</v>
      </c>
      <c r="O142" t="str" cm="1">
        <f t="array" ref="O142">_xlfn.IFS(J142="M", "Medium", J142="L", "Light", J142="D", "Dark")</f>
        <v>Dark</v>
      </c>
      <c r="P142" t="str">
        <f>_xlfn.XLOOKUP(Orders[[#This Row],[Customer ID]], customers!$A$2:$A$1001, customers!$I$2:$I$1001, 0)</f>
        <v>Yes</v>
      </c>
    </row>
    <row r="143" spans="1:16" x14ac:dyDescent="0.35">
      <c r="A143" s="2" t="s">
        <v>1283</v>
      </c>
      <c r="B143" s="3">
        <v>43970</v>
      </c>
      <c r="C143" s="2" t="s">
        <v>1284</v>
      </c>
      <c r="D143" t="s">
        <v>6167</v>
      </c>
      <c r="E143" s="2">
        <v>4</v>
      </c>
      <c r="F143" s="2" t="str" cm="1">
        <f t="array" ref="F143">_xlfn.XLOOKUP(C143, customers!$A$1:A1142, customers!$B$1:B1142, 0)</f>
        <v>Boyd Bett</v>
      </c>
      <c r="G143" s="2" t="str">
        <f>IF(_xlfn.XLOOKUP(C143, customers!A142:A1142, customers!C142:C1142, 0)=0, "", _xlfn.XLOOKUP(C143, customers!A142:A1142, customers!C142:C1142, 0))</f>
        <v>bbett3x@google.de</v>
      </c>
      <c r="H143" s="2" t="str" cm="1">
        <f t="array" ref="H143">_xlfn.XLOOKUP(C143, customers!$A$1:A1142, customers!$G$1:G1142,, 0)</f>
        <v>United States</v>
      </c>
      <c r="I143" t="str" cm="1">
        <f t="array" ref="I143">_xlfn.XLOOKUP(orders!D143, products!$A$1:A190, products!$B$1:B190, 0)</f>
        <v>Ara</v>
      </c>
      <c r="J143" t="str" cm="1">
        <f t="array" ref="J143">_xlfn.XLOOKUP(D143, products!$A$1:A190, products!$C$1:C190, 0)</f>
        <v>L</v>
      </c>
      <c r="K143" s="4" cm="1">
        <f t="array" ref="K143">_xlfn.XLOOKUP(D143, products!$A$1:A190, products!$D$1:D190, 0)</f>
        <v>0.2</v>
      </c>
      <c r="L143" s="4" cm="1">
        <f t="array" ref="L143">_xlfn.XLOOKUP(D143, products!$A$1:A190, products!$E$1:E190)</f>
        <v>3.8849999999999998</v>
      </c>
      <c r="M143">
        <f t="shared" si="4"/>
        <v>15.54</v>
      </c>
      <c r="N143" t="str">
        <f t="shared" si="5"/>
        <v>Arabica</v>
      </c>
      <c r="O143" t="str" cm="1">
        <f t="array" ref="O143">_xlfn.IFS(J143="M", "Medium", J143="L", "Light", J143="D", "Dark")</f>
        <v>Light</v>
      </c>
      <c r="P143" t="str">
        <f>_xlfn.XLOOKUP(Orders[[#This Row],[Customer ID]], customers!$A$2:$A$1001, customers!$I$2:$I$1001, 0)</f>
        <v>Yes</v>
      </c>
    </row>
    <row r="144" spans="1:16" x14ac:dyDescent="0.35">
      <c r="A144" s="2" t="s">
        <v>1289</v>
      </c>
      <c r="B144" s="3">
        <v>44678</v>
      </c>
      <c r="C144" s="2" t="s">
        <v>1290</v>
      </c>
      <c r="D144" t="s">
        <v>6148</v>
      </c>
      <c r="E144" s="2">
        <v>4</v>
      </c>
      <c r="F144" s="2" t="str" cm="1">
        <f t="array" ref="F144">_xlfn.XLOOKUP(C144, customers!$A$1:A1143, customers!$B$1:B1143, 0)</f>
        <v>Julio Armytage</v>
      </c>
      <c r="G144" s="2" t="str">
        <f>IF(_xlfn.XLOOKUP(C144, customers!A143:A1143, customers!C143:C1143, 0)=0, "", _xlfn.XLOOKUP(C144, customers!A143:A1143, customers!C143:C1143, 0))</f>
        <v/>
      </c>
      <c r="H144" s="2" t="str" cm="1">
        <f t="array" ref="H144">_xlfn.XLOOKUP(C144, customers!$A$1:A1143, customers!$G$1:G1143,, 0)</f>
        <v>Ireland</v>
      </c>
      <c r="I144" t="str" cm="1">
        <f t="array" ref="I144">_xlfn.XLOOKUP(orders!D144, products!$A$1:A191, products!$B$1:B191, 0)</f>
        <v>Exc</v>
      </c>
      <c r="J144" t="str" cm="1">
        <f t="array" ref="J144">_xlfn.XLOOKUP(D144, products!$A$1:A191, products!$C$1:C191, 0)</f>
        <v>L</v>
      </c>
      <c r="K144" s="4" cm="1">
        <f t="array" ref="K144">_xlfn.XLOOKUP(D144, products!$A$1:A191, products!$D$1:D191, 0)</f>
        <v>2.5</v>
      </c>
      <c r="L144" s="4" cm="1">
        <f t="array" ref="L144">_xlfn.XLOOKUP(D144, products!$A$1:A191, products!$E$1:E191)</f>
        <v>34.154999999999994</v>
      </c>
      <c r="M144">
        <f t="shared" si="4"/>
        <v>136.61999999999998</v>
      </c>
      <c r="N144" t="str">
        <f t="shared" si="5"/>
        <v>Excelsa</v>
      </c>
      <c r="O144" t="str" cm="1">
        <f t="array" ref="O144">_xlfn.IFS(J144="M", "Medium", J144="L", "Light", J144="D", "Dark")</f>
        <v>Light</v>
      </c>
      <c r="P144" t="str">
        <f>_xlfn.XLOOKUP(Orders[[#This Row],[Customer ID]], customers!$A$2:$A$1001, customers!$I$2:$I$1001, 0)</f>
        <v>Yes</v>
      </c>
    </row>
    <row r="145" spans="1:16" x14ac:dyDescent="0.35">
      <c r="A145" s="2" t="s">
        <v>1293</v>
      </c>
      <c r="B145" s="3">
        <v>44083</v>
      </c>
      <c r="C145" s="2" t="s">
        <v>1294</v>
      </c>
      <c r="D145" t="s">
        <v>6160</v>
      </c>
      <c r="E145" s="2">
        <v>2</v>
      </c>
      <c r="F145" s="2" t="str" cm="1">
        <f t="array" ref="F145">_xlfn.XLOOKUP(C145, customers!$A$1:A1144, customers!$B$1:B1144, 0)</f>
        <v>Deana Staite</v>
      </c>
      <c r="G145" s="2" t="str">
        <f>IF(_xlfn.XLOOKUP(C145, customers!A144:A1144, customers!C144:C1144, 0)=0, "", _xlfn.XLOOKUP(C145, customers!A144:A1144, customers!C144:C1144, 0))</f>
        <v>dstaite3z@scientificamerican.com</v>
      </c>
      <c r="H145" s="2" t="str" cm="1">
        <f t="array" ref="H145">_xlfn.XLOOKUP(C145, customers!$A$1:A1144, customers!$G$1:G1144,, 0)</f>
        <v>United States</v>
      </c>
      <c r="I145" t="str" cm="1">
        <f t="array" ref="I145">_xlfn.XLOOKUP(orders!D145, products!$A$1:A192, products!$B$1:B192, 0)</f>
        <v>Lib</v>
      </c>
      <c r="J145" t="str" cm="1">
        <f t="array" ref="J145">_xlfn.XLOOKUP(D145, products!$A$1:A192, products!$C$1:C192, 0)</f>
        <v>M</v>
      </c>
      <c r="K145" s="4" cm="1">
        <f t="array" ref="K145">_xlfn.XLOOKUP(D145, products!$A$1:A192, products!$D$1:D192, 0)</f>
        <v>0.5</v>
      </c>
      <c r="L145" s="4" cm="1">
        <f t="array" ref="L145">_xlfn.XLOOKUP(D145, products!$A$1:A192, products!$E$1:E192)</f>
        <v>8.73</v>
      </c>
      <c r="M145">
        <f t="shared" si="4"/>
        <v>17.46</v>
      </c>
      <c r="N145" t="str">
        <f t="shared" si="5"/>
        <v>Liberica</v>
      </c>
      <c r="O145" t="str" cm="1">
        <f t="array" ref="O145">_xlfn.IFS(J145="M", "Medium", J145="L", "Light", J145="D", "Dark")</f>
        <v>Medium</v>
      </c>
      <c r="P145" t="str">
        <f>_xlfn.XLOOKUP(Orders[[#This Row],[Customer ID]], customers!$A$2:$A$1001, customers!$I$2:$I$1001, 0)</f>
        <v>No</v>
      </c>
    </row>
    <row r="146" spans="1:16" x14ac:dyDescent="0.35">
      <c r="A146" s="2" t="s">
        <v>1299</v>
      </c>
      <c r="B146" s="3">
        <v>44265</v>
      </c>
      <c r="C146" s="2" t="s">
        <v>1300</v>
      </c>
      <c r="D146" t="s">
        <v>6148</v>
      </c>
      <c r="E146" s="2">
        <v>2</v>
      </c>
      <c r="F146" s="2" t="str" cm="1">
        <f t="array" ref="F146">_xlfn.XLOOKUP(C146, customers!$A$1:A1145, customers!$B$1:B1145, 0)</f>
        <v>Winn Keyse</v>
      </c>
      <c r="G146" s="2" t="str">
        <f>IF(_xlfn.XLOOKUP(C146, customers!A145:A1145, customers!C145:C1145, 0)=0, "", _xlfn.XLOOKUP(C146, customers!A145:A1145, customers!C145:C1145, 0))</f>
        <v>wkeyse40@apple.com</v>
      </c>
      <c r="H146" s="2" t="str" cm="1">
        <f t="array" ref="H146">_xlfn.XLOOKUP(C146, customers!$A$1:A1145, customers!$G$1:G1145,, 0)</f>
        <v>United States</v>
      </c>
      <c r="I146" t="str" cm="1">
        <f t="array" ref="I146">_xlfn.XLOOKUP(orders!D146, products!$A$1:A193, products!$B$1:B193, 0)</f>
        <v>Exc</v>
      </c>
      <c r="J146" t="str" cm="1">
        <f t="array" ref="J146">_xlfn.XLOOKUP(D146, products!$A$1:A193, products!$C$1:C193, 0)</f>
        <v>L</v>
      </c>
      <c r="K146" s="4" cm="1">
        <f t="array" ref="K146">_xlfn.XLOOKUP(D146, products!$A$1:A193, products!$D$1:D193, 0)</f>
        <v>2.5</v>
      </c>
      <c r="L146" s="4" cm="1">
        <f t="array" ref="L146">_xlfn.XLOOKUP(D146, products!$A$1:A193, products!$E$1:E193)</f>
        <v>34.154999999999994</v>
      </c>
      <c r="M146">
        <f t="shared" si="4"/>
        <v>68.309999999999988</v>
      </c>
      <c r="N146" t="str">
        <f t="shared" si="5"/>
        <v>Excelsa</v>
      </c>
      <c r="O146" t="str" cm="1">
        <f t="array" ref="O146">_xlfn.IFS(J146="M", "Medium", J146="L", "Light", J146="D", "Dark")</f>
        <v>Light</v>
      </c>
      <c r="P146" t="str">
        <f>_xlfn.XLOOKUP(Orders[[#This Row],[Customer ID]], customers!$A$2:$A$1001, customers!$I$2:$I$1001, 0)</f>
        <v>Yes</v>
      </c>
    </row>
    <row r="147" spans="1:16" x14ac:dyDescent="0.35">
      <c r="A147" s="2" t="s">
        <v>1305</v>
      </c>
      <c r="B147" s="3">
        <v>43562</v>
      </c>
      <c r="C147" s="2" t="s">
        <v>1306</v>
      </c>
      <c r="D147" t="s">
        <v>6159</v>
      </c>
      <c r="E147" s="2">
        <v>4</v>
      </c>
      <c r="F147" s="2" t="str" cm="1">
        <f t="array" ref="F147">_xlfn.XLOOKUP(C147, customers!$A$1:A1146, customers!$B$1:B1146, 0)</f>
        <v>Osmund Clausen-Thue</v>
      </c>
      <c r="G147" s="2" t="str">
        <f>IF(_xlfn.XLOOKUP(C147, customers!A146:A1146, customers!C146:C1146, 0)=0, "", _xlfn.XLOOKUP(C147, customers!A146:A1146, customers!C146:C1146, 0))</f>
        <v>oclausenthue41@marriott.com</v>
      </c>
      <c r="H147" s="2" t="str" cm="1">
        <f t="array" ref="H147">_xlfn.XLOOKUP(C147, customers!$A$1:A1146, customers!$G$1:G1146,, 0)</f>
        <v>United States</v>
      </c>
      <c r="I147" t="str" cm="1">
        <f t="array" ref="I147">_xlfn.XLOOKUP(orders!D147, products!$A$1:A194, products!$B$1:B194, 0)</f>
        <v>Lib</v>
      </c>
      <c r="J147" t="str" cm="1">
        <f t="array" ref="J147">_xlfn.XLOOKUP(D147, products!$A$1:A194, products!$C$1:C194, 0)</f>
        <v>M</v>
      </c>
      <c r="K147" s="4" cm="1">
        <f t="array" ref="K147">_xlfn.XLOOKUP(D147, products!$A$1:A194, products!$D$1:D194, 0)</f>
        <v>0.2</v>
      </c>
      <c r="L147" s="4" cm="1">
        <f t="array" ref="L147">_xlfn.XLOOKUP(D147, products!$A$1:A194, products!$E$1:E194)</f>
        <v>4.3650000000000002</v>
      </c>
      <c r="M147">
        <f t="shared" si="4"/>
        <v>17.46</v>
      </c>
      <c r="N147" t="str">
        <f t="shared" si="5"/>
        <v>Liberica</v>
      </c>
      <c r="O147" t="str" cm="1">
        <f t="array" ref="O147">_xlfn.IFS(J147="M", "Medium", J147="L", "Light", J147="D", "Dark")</f>
        <v>Medium</v>
      </c>
      <c r="P147" t="str">
        <f>_xlfn.XLOOKUP(Orders[[#This Row],[Customer ID]], customers!$A$2:$A$1001, customers!$I$2:$I$1001, 0)</f>
        <v>No</v>
      </c>
    </row>
    <row r="148" spans="1:16" x14ac:dyDescent="0.35">
      <c r="A148" s="2" t="s">
        <v>1311</v>
      </c>
      <c r="B148" s="3">
        <v>44024</v>
      </c>
      <c r="C148" s="2" t="s">
        <v>1312</v>
      </c>
      <c r="D148" t="s">
        <v>6162</v>
      </c>
      <c r="E148" s="2">
        <v>3</v>
      </c>
      <c r="F148" s="2" t="str" cm="1">
        <f t="array" ref="F148">_xlfn.XLOOKUP(C148, customers!$A$1:A1147, customers!$B$1:B1147, 0)</f>
        <v>Leonore Francisco</v>
      </c>
      <c r="G148" s="2" t="str">
        <f>IF(_xlfn.XLOOKUP(C148, customers!A147:A1147, customers!C147:C1147, 0)=0, "", _xlfn.XLOOKUP(C148, customers!A147:A1147, customers!C147:C1147, 0))</f>
        <v>lfrancisco42@fema.gov</v>
      </c>
      <c r="H148" s="2" t="str" cm="1">
        <f t="array" ref="H148">_xlfn.XLOOKUP(C148, customers!$A$1:A1147, customers!$G$1:G1147,, 0)</f>
        <v>United States</v>
      </c>
      <c r="I148" t="str" cm="1">
        <f t="array" ref="I148">_xlfn.XLOOKUP(orders!D148, products!$A$1:A195, products!$B$1:B195, 0)</f>
        <v>Lib</v>
      </c>
      <c r="J148" t="str" cm="1">
        <f t="array" ref="J148">_xlfn.XLOOKUP(D148, products!$A$1:A195, products!$C$1:C195, 0)</f>
        <v>M</v>
      </c>
      <c r="K148" s="4" cm="1">
        <f t="array" ref="K148">_xlfn.XLOOKUP(D148, products!$A$1:A195, products!$D$1:D195, 0)</f>
        <v>1</v>
      </c>
      <c r="L148" s="4" cm="1">
        <f t="array" ref="L148">_xlfn.XLOOKUP(D148, products!$A$1:A195, products!$E$1:E195)</f>
        <v>14.55</v>
      </c>
      <c r="M148">
        <f t="shared" si="4"/>
        <v>43.650000000000006</v>
      </c>
      <c r="N148" t="str">
        <f t="shared" si="5"/>
        <v>Liberica</v>
      </c>
      <c r="O148" t="str" cm="1">
        <f t="array" ref="O148">_xlfn.IFS(J148="M", "Medium", J148="L", "Light", J148="D", "Dark")</f>
        <v>Medium</v>
      </c>
      <c r="P148" t="str">
        <f>_xlfn.XLOOKUP(Orders[[#This Row],[Customer ID]], customers!$A$2:$A$1001, customers!$I$2:$I$1001, 0)</f>
        <v>No</v>
      </c>
    </row>
    <row r="149" spans="1:16" x14ac:dyDescent="0.35">
      <c r="A149" s="2" t="s">
        <v>1311</v>
      </c>
      <c r="B149" s="3">
        <v>44024</v>
      </c>
      <c r="C149" s="2" t="s">
        <v>1312</v>
      </c>
      <c r="D149" t="s">
        <v>6141</v>
      </c>
      <c r="E149" s="2">
        <v>2</v>
      </c>
      <c r="F149" s="2" t="str" cm="1">
        <f t="array" ref="F149">_xlfn.XLOOKUP(C149, customers!$A$1:A1148, customers!$B$1:B1148, 0)</f>
        <v>Leonore Francisco</v>
      </c>
      <c r="G149" s="2" t="str">
        <f>IF(_xlfn.XLOOKUP(C149, customers!A148:A1148, customers!C148:C1148, 0)=0, "", _xlfn.XLOOKUP(C149, customers!A148:A1148, customers!C148:C1148, 0))</f>
        <v>lfrancisco42@fema.gov</v>
      </c>
      <c r="H149" s="2" t="str" cm="1">
        <f t="array" ref="H149">_xlfn.XLOOKUP(C149, customers!$A$1:A1148, customers!$G$1:G1148,, 0)</f>
        <v>United States</v>
      </c>
      <c r="I149" t="str" cm="1">
        <f t="array" ref="I149">_xlfn.XLOOKUP(orders!D149, products!$A$1:A196, products!$B$1:B196, 0)</f>
        <v>Exc</v>
      </c>
      <c r="J149" t="str" cm="1">
        <f t="array" ref="J149">_xlfn.XLOOKUP(D149, products!$A$1:A196, products!$C$1:C196, 0)</f>
        <v>M</v>
      </c>
      <c r="K149" s="4" cm="1">
        <f t="array" ref="K149">_xlfn.XLOOKUP(D149, products!$A$1:A196, products!$D$1:D196, 0)</f>
        <v>1</v>
      </c>
      <c r="L149" s="4" cm="1">
        <f t="array" ref="L149">_xlfn.XLOOKUP(D149, products!$A$1:A196, products!$E$1:E196)</f>
        <v>13.75</v>
      </c>
      <c r="M149">
        <f t="shared" si="4"/>
        <v>27.5</v>
      </c>
      <c r="N149" t="str">
        <f t="shared" si="5"/>
        <v>Excelsa</v>
      </c>
      <c r="O149" t="str" cm="1">
        <f t="array" ref="O149">_xlfn.IFS(J149="M", "Medium", J149="L", "Light", J149="D", "Dark")</f>
        <v>Medium</v>
      </c>
      <c r="P149" t="str">
        <f>_xlfn.XLOOKUP(Orders[[#This Row],[Customer ID]], customers!$A$2:$A$1001, customers!$I$2:$I$1001, 0)</f>
        <v>No</v>
      </c>
    </row>
    <row r="150" spans="1:16" x14ac:dyDescent="0.35">
      <c r="A150" s="2" t="s">
        <v>1322</v>
      </c>
      <c r="B150" s="3">
        <v>44551</v>
      </c>
      <c r="C150" s="2" t="s">
        <v>1323</v>
      </c>
      <c r="D150" t="s">
        <v>6153</v>
      </c>
      <c r="E150" s="2">
        <v>5</v>
      </c>
      <c r="F150" s="2" t="str" cm="1">
        <f t="array" ref="F150">_xlfn.XLOOKUP(C150, customers!$A$1:A1149, customers!$B$1:B1149, 0)</f>
        <v>Giacobo Skingle</v>
      </c>
      <c r="G150" s="2" t="str">
        <f>IF(_xlfn.XLOOKUP(C150, customers!A149:A1149, customers!C149:C1149, 0)=0, "", _xlfn.XLOOKUP(C150, customers!A149:A1149, customers!C149:C1149, 0))</f>
        <v>gskingle44@clickbank.net</v>
      </c>
      <c r="H150" s="2" t="str" cm="1">
        <f t="array" ref="H150">_xlfn.XLOOKUP(C150, customers!$A$1:A1149, customers!$G$1:G1149,, 0)</f>
        <v>United States</v>
      </c>
      <c r="I150" t="str" cm="1">
        <f t="array" ref="I150">_xlfn.XLOOKUP(orders!D150, products!$A$1:A197, products!$B$1:B197, 0)</f>
        <v>Exc</v>
      </c>
      <c r="J150" t="str" cm="1">
        <f t="array" ref="J150">_xlfn.XLOOKUP(D150, products!$A$1:A197, products!$C$1:C197, 0)</f>
        <v>D</v>
      </c>
      <c r="K150" s="4" cm="1">
        <f t="array" ref="K150">_xlfn.XLOOKUP(D150, products!$A$1:A197, products!$D$1:D197, 0)</f>
        <v>0.2</v>
      </c>
      <c r="L150" s="4" cm="1">
        <f t="array" ref="L150">_xlfn.XLOOKUP(D150, products!$A$1:A197, products!$E$1:E197)</f>
        <v>3.645</v>
      </c>
      <c r="M150">
        <f t="shared" si="4"/>
        <v>18.225000000000001</v>
      </c>
      <c r="N150" t="str">
        <f t="shared" si="5"/>
        <v>Excelsa</v>
      </c>
      <c r="O150" t="str" cm="1">
        <f t="array" ref="O150">_xlfn.IFS(J150="M", "Medium", J150="L", "Light", J150="D", "Dark")</f>
        <v>Dark</v>
      </c>
      <c r="P150" t="str">
        <f>_xlfn.XLOOKUP(Orders[[#This Row],[Customer ID]], customers!$A$2:$A$1001, customers!$I$2:$I$1001, 0)</f>
        <v>Yes</v>
      </c>
    </row>
    <row r="151" spans="1:16" x14ac:dyDescent="0.35">
      <c r="A151" s="2" t="s">
        <v>1328</v>
      </c>
      <c r="B151" s="3">
        <v>44108</v>
      </c>
      <c r="C151" s="2" t="s">
        <v>1329</v>
      </c>
      <c r="D151" t="s">
        <v>6175</v>
      </c>
      <c r="E151" s="2">
        <v>2</v>
      </c>
      <c r="F151" s="2" t="str" cm="1">
        <f t="array" ref="F151">_xlfn.XLOOKUP(C151, customers!$A$1:A1150, customers!$B$1:B1150, 0)</f>
        <v>Gerard Pirdy</v>
      </c>
      <c r="G151" s="2" t="str">
        <f>IF(_xlfn.XLOOKUP(C151, customers!A150:A1150, customers!C150:C1150, 0)=0, "", _xlfn.XLOOKUP(C151, customers!A150:A1150, customers!C150:C1150, 0))</f>
        <v/>
      </c>
      <c r="H151" s="2" t="str" cm="1">
        <f t="array" ref="H151">_xlfn.XLOOKUP(C151, customers!$A$1:A1150, customers!$G$1:G1150,, 0)</f>
        <v>United States</v>
      </c>
      <c r="I151" t="str" cm="1">
        <f t="array" ref="I151">_xlfn.XLOOKUP(orders!D151, products!$A$1:A198, products!$B$1:B198, 0)</f>
        <v>Ara</v>
      </c>
      <c r="J151" t="str" cm="1">
        <f t="array" ref="J151">_xlfn.XLOOKUP(D151, products!$A$1:A198, products!$C$1:C198, 0)</f>
        <v>M</v>
      </c>
      <c r="K151" s="4" cm="1">
        <f t="array" ref="K151">_xlfn.XLOOKUP(D151, products!$A$1:A198, products!$D$1:D198, 0)</f>
        <v>2.5</v>
      </c>
      <c r="L151" s="4" cm="1">
        <f t="array" ref="L151">_xlfn.XLOOKUP(D151, products!$A$1:A198, products!$E$1:E198)</f>
        <v>25.874999999999996</v>
      </c>
      <c r="M151">
        <f t="shared" si="4"/>
        <v>51.749999999999993</v>
      </c>
      <c r="N151" t="str">
        <f t="shared" si="5"/>
        <v>Arabica</v>
      </c>
      <c r="O151" t="str" cm="1">
        <f t="array" ref="O151">_xlfn.IFS(J151="M", "Medium", J151="L", "Light", J151="D", "Dark")</f>
        <v>Medium</v>
      </c>
      <c r="P151" t="str">
        <f>_xlfn.XLOOKUP(Orders[[#This Row],[Customer ID]], customers!$A$2:$A$1001, customers!$I$2:$I$1001, 0)</f>
        <v>Yes</v>
      </c>
    </row>
    <row r="152" spans="1:16" x14ac:dyDescent="0.35">
      <c r="A152" s="2" t="s">
        <v>1333</v>
      </c>
      <c r="B152" s="3">
        <v>44051</v>
      </c>
      <c r="C152" s="2" t="s">
        <v>1334</v>
      </c>
      <c r="D152" t="s">
        <v>6143</v>
      </c>
      <c r="E152" s="2">
        <v>1</v>
      </c>
      <c r="F152" s="2" t="str" cm="1">
        <f t="array" ref="F152">_xlfn.XLOOKUP(C152, customers!$A$1:A1151, customers!$B$1:B1151, 0)</f>
        <v>Jacinthe Balsillie</v>
      </c>
      <c r="G152" s="2" t="str">
        <f>IF(_xlfn.XLOOKUP(C152, customers!A151:A1151, customers!C151:C1151, 0)=0, "", _xlfn.XLOOKUP(C152, customers!A151:A1151, customers!C151:C1151, 0))</f>
        <v>jbalsillie46@princeton.edu</v>
      </c>
      <c r="H152" s="2" t="str" cm="1">
        <f t="array" ref="H152">_xlfn.XLOOKUP(C152, customers!$A$1:A1151, customers!$G$1:G1151,, 0)</f>
        <v>United States</v>
      </c>
      <c r="I152" t="str" cm="1">
        <f t="array" ref="I152">_xlfn.XLOOKUP(orders!D152, products!$A$1:A199, products!$B$1:B199, 0)</f>
        <v>Lib</v>
      </c>
      <c r="J152" t="str" cm="1">
        <f t="array" ref="J152">_xlfn.XLOOKUP(D152, products!$A$1:A199, products!$C$1:C199, 0)</f>
        <v>D</v>
      </c>
      <c r="K152" s="4" cm="1">
        <f t="array" ref="K152">_xlfn.XLOOKUP(D152, products!$A$1:A199, products!$D$1:D199, 0)</f>
        <v>1</v>
      </c>
      <c r="L152" s="4" cm="1">
        <f t="array" ref="L152">_xlfn.XLOOKUP(D152, products!$A$1:A199, products!$E$1:E199)</f>
        <v>12.95</v>
      </c>
      <c r="M152">
        <f t="shared" si="4"/>
        <v>12.95</v>
      </c>
      <c r="N152" t="str">
        <f t="shared" si="5"/>
        <v>Liberica</v>
      </c>
      <c r="O152" t="str" cm="1">
        <f t="array" ref="O152">_xlfn.IFS(J152="M", "Medium", J152="L", "Light", J152="D", "Dark")</f>
        <v>Dark</v>
      </c>
      <c r="P152" t="str">
        <f>_xlfn.XLOOKUP(Orders[[#This Row],[Customer ID]], customers!$A$2:$A$1001, customers!$I$2:$I$1001, 0)</f>
        <v>Yes</v>
      </c>
    </row>
    <row r="153" spans="1:16" x14ac:dyDescent="0.35">
      <c r="A153" s="2" t="s">
        <v>1339</v>
      </c>
      <c r="B153" s="3">
        <v>44115</v>
      </c>
      <c r="C153" s="2" t="s">
        <v>1340</v>
      </c>
      <c r="D153" t="s">
        <v>6155</v>
      </c>
      <c r="E153" s="2">
        <v>3</v>
      </c>
      <c r="F153" s="2" t="str" cm="1">
        <f t="array" ref="F153">_xlfn.XLOOKUP(C153, customers!$A$1:A1152, customers!$B$1:B1152, 0)</f>
        <v>Quinton Fouracres</v>
      </c>
      <c r="G153" s="2" t="str">
        <f>IF(_xlfn.XLOOKUP(C153, customers!A152:A1152, customers!C152:C1152, 0)=0, "", _xlfn.XLOOKUP(C153, customers!A152:A1152, customers!C152:C1152, 0))</f>
        <v/>
      </c>
      <c r="H153" s="2" t="str" cm="1">
        <f t="array" ref="H153">_xlfn.XLOOKUP(C153, customers!$A$1:A1152, customers!$G$1:G1152,, 0)</f>
        <v>United States</v>
      </c>
      <c r="I153" t="str" cm="1">
        <f t="array" ref="I153">_xlfn.XLOOKUP(orders!D153, products!$A$1:A200, products!$B$1:B200, 0)</f>
        <v>Ara</v>
      </c>
      <c r="J153" t="str" cm="1">
        <f t="array" ref="J153">_xlfn.XLOOKUP(D153, products!$A$1:A200, products!$C$1:C200, 0)</f>
        <v>M</v>
      </c>
      <c r="K153" s="4" cm="1">
        <f t="array" ref="K153">_xlfn.XLOOKUP(D153, products!$A$1:A200, products!$D$1:D200, 0)</f>
        <v>1</v>
      </c>
      <c r="L153" s="4" cm="1">
        <f t="array" ref="L153">_xlfn.XLOOKUP(D153, products!$A$1:A200, products!$E$1:E200)</f>
        <v>11.25</v>
      </c>
      <c r="M153">
        <f t="shared" si="4"/>
        <v>33.75</v>
      </c>
      <c r="N153" t="str">
        <f t="shared" si="5"/>
        <v>Arabica</v>
      </c>
      <c r="O153" t="str" cm="1">
        <f t="array" ref="O153">_xlfn.IFS(J153="M", "Medium", J153="L", "Light", J153="D", "Dark")</f>
        <v>Medium</v>
      </c>
      <c r="P153" t="str">
        <f>_xlfn.XLOOKUP(Orders[[#This Row],[Customer ID]], customers!$A$2:$A$1001, customers!$I$2:$I$1001, 0)</f>
        <v>Yes</v>
      </c>
    </row>
    <row r="154" spans="1:16" x14ac:dyDescent="0.35">
      <c r="A154" s="2" t="s">
        <v>1344</v>
      </c>
      <c r="B154" s="3">
        <v>44510</v>
      </c>
      <c r="C154" s="2" t="s">
        <v>1345</v>
      </c>
      <c r="D154" t="s">
        <v>6151</v>
      </c>
      <c r="E154" s="2">
        <v>3</v>
      </c>
      <c r="F154" s="2" t="str" cm="1">
        <f t="array" ref="F154">_xlfn.XLOOKUP(C154, customers!$A$1:A1153, customers!$B$1:B1153, 0)</f>
        <v>Bettina Leffek</v>
      </c>
      <c r="G154" s="2" t="str">
        <f>IF(_xlfn.XLOOKUP(C154, customers!A153:A1153, customers!C153:C1153, 0)=0, "", _xlfn.XLOOKUP(C154, customers!A153:A1153, customers!C153:C1153, 0))</f>
        <v>bleffek48@ning.com</v>
      </c>
      <c r="H154" s="2" t="str" cm="1">
        <f t="array" ref="H154">_xlfn.XLOOKUP(C154, customers!$A$1:A1153, customers!$G$1:G1153,, 0)</f>
        <v>United States</v>
      </c>
      <c r="I154" t="str" cm="1">
        <f t="array" ref="I154">_xlfn.XLOOKUP(orders!D154, products!$A$1:A201, products!$B$1:B201, 0)</f>
        <v>Rob</v>
      </c>
      <c r="J154" t="str" cm="1">
        <f t="array" ref="J154">_xlfn.XLOOKUP(D154, products!$A$1:A201, products!$C$1:C201, 0)</f>
        <v>M</v>
      </c>
      <c r="K154" s="4" cm="1">
        <f t="array" ref="K154">_xlfn.XLOOKUP(D154, products!$A$1:A201, products!$D$1:D201, 0)</f>
        <v>2.5</v>
      </c>
      <c r="L154" s="4" cm="1">
        <f t="array" ref="L154">_xlfn.XLOOKUP(D154, products!$A$1:A201, products!$E$1:E201)</f>
        <v>22.884999999999998</v>
      </c>
      <c r="M154">
        <f t="shared" si="4"/>
        <v>68.655000000000001</v>
      </c>
      <c r="N154" t="str">
        <f t="shared" si="5"/>
        <v>Robusta</v>
      </c>
      <c r="O154" t="str" cm="1">
        <f t="array" ref="O154">_xlfn.IFS(J154="M", "Medium", J154="L", "Light", J154="D", "Dark")</f>
        <v>Medium</v>
      </c>
      <c r="P154" t="str">
        <f>_xlfn.XLOOKUP(Orders[[#This Row],[Customer ID]], customers!$A$2:$A$1001, customers!$I$2:$I$1001, 0)</f>
        <v>Yes</v>
      </c>
    </row>
    <row r="155" spans="1:16" x14ac:dyDescent="0.35">
      <c r="A155" s="2" t="s">
        <v>1350</v>
      </c>
      <c r="B155" s="3">
        <v>44367</v>
      </c>
      <c r="C155" s="2" t="s">
        <v>1351</v>
      </c>
      <c r="D155" t="s">
        <v>6163</v>
      </c>
      <c r="E155" s="2">
        <v>1</v>
      </c>
      <c r="F155" s="2" t="str" cm="1">
        <f t="array" ref="F155">_xlfn.XLOOKUP(C155, customers!$A$1:A1154, customers!$B$1:B1154, 0)</f>
        <v>Hetti Penson</v>
      </c>
      <c r="G155" s="2" t="str">
        <f>IF(_xlfn.XLOOKUP(C155, customers!A154:A1154, customers!C154:C1154, 0)=0, "", _xlfn.XLOOKUP(C155, customers!A154:A1154, customers!C154:C1154, 0))</f>
        <v/>
      </c>
      <c r="H155" s="2" t="str" cm="1">
        <f t="array" ref="H155">_xlfn.XLOOKUP(C155, customers!$A$1:A1154, customers!$G$1:G1154,, 0)</f>
        <v>United States</v>
      </c>
      <c r="I155" t="str" cm="1">
        <f t="array" ref="I155">_xlfn.XLOOKUP(orders!D155, products!$A$1:A202, products!$B$1:B202, 0)</f>
        <v>Rob</v>
      </c>
      <c r="J155" t="str" cm="1">
        <f t="array" ref="J155">_xlfn.XLOOKUP(D155, products!$A$1:A202, products!$C$1:C202, 0)</f>
        <v>D</v>
      </c>
      <c r="K155" s="4" cm="1">
        <f t="array" ref="K155">_xlfn.XLOOKUP(D155, products!$A$1:A202, products!$D$1:D202, 0)</f>
        <v>0.2</v>
      </c>
      <c r="L155" s="4" cm="1">
        <f t="array" ref="L155">_xlfn.XLOOKUP(D155, products!$A$1:A202, products!$E$1:E202)</f>
        <v>2.6849999999999996</v>
      </c>
      <c r="M155">
        <f t="shared" si="4"/>
        <v>2.6849999999999996</v>
      </c>
      <c r="N155" t="str">
        <f t="shared" si="5"/>
        <v>Robusta</v>
      </c>
      <c r="O155" t="str" cm="1">
        <f t="array" ref="O155">_xlfn.IFS(J155="M", "Medium", J155="L", "Light", J155="D", "Dark")</f>
        <v>Dark</v>
      </c>
      <c r="P155" t="str">
        <f>_xlfn.XLOOKUP(Orders[[#This Row],[Customer ID]], customers!$A$2:$A$1001, customers!$I$2:$I$1001, 0)</f>
        <v>No</v>
      </c>
    </row>
    <row r="156" spans="1:16" x14ac:dyDescent="0.35">
      <c r="A156" s="2" t="s">
        <v>1355</v>
      </c>
      <c r="B156" s="3">
        <v>44473</v>
      </c>
      <c r="C156" s="2" t="s">
        <v>1356</v>
      </c>
      <c r="D156" t="s">
        <v>6168</v>
      </c>
      <c r="E156" s="2">
        <v>5</v>
      </c>
      <c r="F156" s="2" t="str" cm="1">
        <f t="array" ref="F156">_xlfn.XLOOKUP(C156, customers!$A$1:A1155, customers!$B$1:B1155, 0)</f>
        <v>Jocko Pray</v>
      </c>
      <c r="G156" s="2" t="str">
        <f>IF(_xlfn.XLOOKUP(C156, customers!A155:A1155, customers!C155:C1155, 0)=0, "", _xlfn.XLOOKUP(C156, customers!A155:A1155, customers!C155:C1155, 0))</f>
        <v>jpray4a@youtube.com</v>
      </c>
      <c r="H156" s="2" t="str" cm="1">
        <f t="array" ref="H156">_xlfn.XLOOKUP(C156, customers!$A$1:A1155, customers!$G$1:G1155,, 0)</f>
        <v>United States</v>
      </c>
      <c r="I156" t="str" cm="1">
        <f t="array" ref="I156">_xlfn.XLOOKUP(orders!D156, products!$A$1:A203, products!$B$1:B203, 0)</f>
        <v>Ara</v>
      </c>
      <c r="J156" t="str" cm="1">
        <f t="array" ref="J156">_xlfn.XLOOKUP(D156, products!$A$1:A203, products!$C$1:C203, 0)</f>
        <v>D</v>
      </c>
      <c r="K156" s="4" cm="1">
        <f t="array" ref="K156">_xlfn.XLOOKUP(D156, products!$A$1:A203, products!$D$1:D203, 0)</f>
        <v>2.5</v>
      </c>
      <c r="L156" s="4" cm="1">
        <f t="array" ref="L156">_xlfn.XLOOKUP(D156, products!$A$1:A203, products!$E$1:E203)</f>
        <v>22.884999999999998</v>
      </c>
      <c r="M156">
        <f t="shared" si="4"/>
        <v>114.42499999999998</v>
      </c>
      <c r="N156" t="str">
        <f t="shared" si="5"/>
        <v>Arabica</v>
      </c>
      <c r="O156" t="str" cm="1">
        <f t="array" ref="O156">_xlfn.IFS(J156="M", "Medium", J156="L", "Light", J156="D", "Dark")</f>
        <v>Dark</v>
      </c>
      <c r="P156" t="str">
        <f>_xlfn.XLOOKUP(Orders[[#This Row],[Customer ID]], customers!$A$2:$A$1001, customers!$I$2:$I$1001, 0)</f>
        <v>No</v>
      </c>
    </row>
    <row r="157" spans="1:16" x14ac:dyDescent="0.35">
      <c r="A157" s="2" t="s">
        <v>1361</v>
      </c>
      <c r="B157" s="3">
        <v>43640</v>
      </c>
      <c r="C157" s="2" t="s">
        <v>1362</v>
      </c>
      <c r="D157" t="s">
        <v>6175</v>
      </c>
      <c r="E157" s="2">
        <v>6</v>
      </c>
      <c r="F157" s="2" t="str" cm="1">
        <f t="array" ref="F157">_xlfn.XLOOKUP(C157, customers!$A$1:A1156, customers!$B$1:B1156, 0)</f>
        <v>Grete Holborn</v>
      </c>
      <c r="G157" s="2" t="str">
        <f>IF(_xlfn.XLOOKUP(C157, customers!A156:A1156, customers!C156:C1156, 0)=0, "", _xlfn.XLOOKUP(C157, customers!A156:A1156, customers!C156:C1156, 0))</f>
        <v>gholborn4b@ow.ly</v>
      </c>
      <c r="H157" s="2" t="str" cm="1">
        <f t="array" ref="H157">_xlfn.XLOOKUP(C157, customers!$A$1:A1156, customers!$G$1:G1156,, 0)</f>
        <v>United States</v>
      </c>
      <c r="I157" t="str" cm="1">
        <f t="array" ref="I157">_xlfn.XLOOKUP(orders!D157, products!$A$1:A204, products!$B$1:B204, 0)</f>
        <v>Ara</v>
      </c>
      <c r="J157" t="str" cm="1">
        <f t="array" ref="J157">_xlfn.XLOOKUP(D157, products!$A$1:A204, products!$C$1:C204, 0)</f>
        <v>M</v>
      </c>
      <c r="K157" s="4" cm="1">
        <f t="array" ref="K157">_xlfn.XLOOKUP(D157, products!$A$1:A204, products!$D$1:D204, 0)</f>
        <v>2.5</v>
      </c>
      <c r="L157" s="4" cm="1">
        <f t="array" ref="L157">_xlfn.XLOOKUP(D157, products!$A$1:A204, products!$E$1:E204)</f>
        <v>25.874999999999996</v>
      </c>
      <c r="M157">
        <f t="shared" si="4"/>
        <v>155.24999999999997</v>
      </c>
      <c r="N157" t="str">
        <f t="shared" si="5"/>
        <v>Arabica</v>
      </c>
      <c r="O157" t="str" cm="1">
        <f t="array" ref="O157">_xlfn.IFS(J157="M", "Medium", J157="L", "Light", J157="D", "Dark")</f>
        <v>Medium</v>
      </c>
      <c r="P157" t="str">
        <f>_xlfn.XLOOKUP(Orders[[#This Row],[Customer ID]], customers!$A$2:$A$1001, customers!$I$2:$I$1001, 0)</f>
        <v>Yes</v>
      </c>
    </row>
    <row r="158" spans="1:16" x14ac:dyDescent="0.35">
      <c r="A158" s="2" t="s">
        <v>1367</v>
      </c>
      <c r="B158" s="3">
        <v>43764</v>
      </c>
      <c r="C158" s="2" t="s">
        <v>1368</v>
      </c>
      <c r="D158" t="s">
        <v>6175</v>
      </c>
      <c r="E158" s="2">
        <v>3</v>
      </c>
      <c r="F158" s="2" t="str" cm="1">
        <f t="array" ref="F158">_xlfn.XLOOKUP(C158, customers!$A$1:A1157, customers!$B$1:B1157, 0)</f>
        <v>Fielding Keinrat</v>
      </c>
      <c r="G158" s="2" t="str">
        <f>IF(_xlfn.XLOOKUP(C158, customers!A157:A1157, customers!C157:C1157, 0)=0, "", _xlfn.XLOOKUP(C158, customers!A157:A1157, customers!C157:C1157, 0))</f>
        <v>fkeinrat4c@dailymail.co.uk</v>
      </c>
      <c r="H158" s="2" t="str" cm="1">
        <f t="array" ref="H158">_xlfn.XLOOKUP(C158, customers!$A$1:A1157, customers!$G$1:G1157,, 0)</f>
        <v>United States</v>
      </c>
      <c r="I158" t="str" cm="1">
        <f t="array" ref="I158">_xlfn.XLOOKUP(orders!D158, products!$A$1:A205, products!$B$1:B205, 0)</f>
        <v>Ara</v>
      </c>
      <c r="J158" t="str" cm="1">
        <f t="array" ref="J158">_xlfn.XLOOKUP(D158, products!$A$1:A205, products!$C$1:C205, 0)</f>
        <v>M</v>
      </c>
      <c r="K158" s="4" cm="1">
        <f t="array" ref="K158">_xlfn.XLOOKUP(D158, products!$A$1:A205, products!$D$1:D205, 0)</f>
        <v>2.5</v>
      </c>
      <c r="L158" s="4" cm="1">
        <f t="array" ref="L158">_xlfn.XLOOKUP(D158, products!$A$1:A205, products!$E$1:E205)</f>
        <v>25.874999999999996</v>
      </c>
      <c r="M158">
        <f t="shared" si="4"/>
        <v>77.624999999999986</v>
      </c>
      <c r="N158" t="str">
        <f t="shared" si="5"/>
        <v>Arabica</v>
      </c>
      <c r="O158" t="str" cm="1">
        <f t="array" ref="O158">_xlfn.IFS(J158="M", "Medium", J158="L", "Light", J158="D", "Dark")</f>
        <v>Medium</v>
      </c>
      <c r="P158" t="str">
        <f>_xlfn.XLOOKUP(Orders[[#This Row],[Customer ID]], customers!$A$2:$A$1001, customers!$I$2:$I$1001, 0)</f>
        <v>Yes</v>
      </c>
    </row>
    <row r="159" spans="1:16" x14ac:dyDescent="0.35">
      <c r="A159" s="2" t="s">
        <v>1373</v>
      </c>
      <c r="B159" s="3">
        <v>44374</v>
      </c>
      <c r="C159" s="2" t="s">
        <v>1374</v>
      </c>
      <c r="D159" t="s">
        <v>6149</v>
      </c>
      <c r="E159" s="2">
        <v>3</v>
      </c>
      <c r="F159" s="2" t="str" cm="1">
        <f t="array" ref="F159">_xlfn.XLOOKUP(C159, customers!$A$1:A1158, customers!$B$1:B1158, 0)</f>
        <v>Paulo Yea</v>
      </c>
      <c r="G159" s="2" t="str">
        <f>IF(_xlfn.XLOOKUP(C159, customers!A158:A1158, customers!C158:C1158, 0)=0, "", _xlfn.XLOOKUP(C159, customers!A158:A1158, customers!C158:C1158, 0))</f>
        <v>pyea4d@aol.com</v>
      </c>
      <c r="H159" s="2" t="str" cm="1">
        <f t="array" ref="H159">_xlfn.XLOOKUP(C159, customers!$A$1:A1158, customers!$G$1:G1158,, 0)</f>
        <v>Ireland</v>
      </c>
      <c r="I159" t="str" cm="1">
        <f t="array" ref="I159">_xlfn.XLOOKUP(orders!D159, products!$A$1:A206, products!$B$1:B206, 0)</f>
        <v>Rob</v>
      </c>
      <c r="J159" t="str" cm="1">
        <f t="array" ref="J159">_xlfn.XLOOKUP(D159, products!$A$1:A206, products!$C$1:C206, 0)</f>
        <v>D</v>
      </c>
      <c r="K159" s="4" cm="1">
        <f t="array" ref="K159">_xlfn.XLOOKUP(D159, products!$A$1:A206, products!$D$1:D206, 0)</f>
        <v>2.5</v>
      </c>
      <c r="L159" s="4" cm="1">
        <f t="array" ref="L159">_xlfn.XLOOKUP(D159, products!$A$1:A206, products!$E$1:E206)</f>
        <v>20.584999999999997</v>
      </c>
      <c r="M159">
        <f t="shared" si="4"/>
        <v>61.754999999999995</v>
      </c>
      <c r="N159" t="str">
        <f t="shared" si="5"/>
        <v>Robusta</v>
      </c>
      <c r="O159" t="str" cm="1">
        <f t="array" ref="O159">_xlfn.IFS(J159="M", "Medium", J159="L", "Light", J159="D", "Dark")</f>
        <v>Dark</v>
      </c>
      <c r="P159" t="str">
        <f>_xlfn.XLOOKUP(Orders[[#This Row],[Customer ID]], customers!$A$2:$A$1001, customers!$I$2:$I$1001, 0)</f>
        <v>No</v>
      </c>
    </row>
    <row r="160" spans="1:16" x14ac:dyDescent="0.35">
      <c r="A160" s="2" t="s">
        <v>1379</v>
      </c>
      <c r="B160" s="3">
        <v>43714</v>
      </c>
      <c r="C160" s="2" t="s">
        <v>1380</v>
      </c>
      <c r="D160" t="s">
        <v>6149</v>
      </c>
      <c r="E160" s="2">
        <v>6</v>
      </c>
      <c r="F160" s="2" t="str" cm="1">
        <f t="array" ref="F160">_xlfn.XLOOKUP(C160, customers!$A$1:A1159, customers!$B$1:B1159, 0)</f>
        <v>Say Risborough</v>
      </c>
      <c r="G160" s="2" t="str">
        <f>IF(_xlfn.XLOOKUP(C160, customers!A159:A1159, customers!C159:C1159, 0)=0, "", _xlfn.XLOOKUP(C160, customers!A159:A1159, customers!C159:C1159, 0))</f>
        <v/>
      </c>
      <c r="H160" s="2" t="str" cm="1">
        <f t="array" ref="H160">_xlfn.XLOOKUP(C160, customers!$A$1:A1159, customers!$G$1:G1159,, 0)</f>
        <v>United States</v>
      </c>
      <c r="I160" t="str" cm="1">
        <f t="array" ref="I160">_xlfn.XLOOKUP(orders!D160, products!$A$1:A207, products!$B$1:B207, 0)</f>
        <v>Rob</v>
      </c>
      <c r="J160" t="str" cm="1">
        <f t="array" ref="J160">_xlfn.XLOOKUP(D160, products!$A$1:A207, products!$C$1:C207, 0)</f>
        <v>D</v>
      </c>
      <c r="K160" s="4" cm="1">
        <f t="array" ref="K160">_xlfn.XLOOKUP(D160, products!$A$1:A207, products!$D$1:D207, 0)</f>
        <v>2.5</v>
      </c>
      <c r="L160" s="4" cm="1">
        <f t="array" ref="L160">_xlfn.XLOOKUP(D160, products!$A$1:A207, products!$E$1:E207)</f>
        <v>20.584999999999997</v>
      </c>
      <c r="M160">
        <f t="shared" si="4"/>
        <v>123.50999999999999</v>
      </c>
      <c r="N160" t="str">
        <f t="shared" si="5"/>
        <v>Robusta</v>
      </c>
      <c r="O160" t="str" cm="1">
        <f t="array" ref="O160">_xlfn.IFS(J160="M", "Medium", J160="L", "Light", J160="D", "Dark")</f>
        <v>Dark</v>
      </c>
      <c r="P160" t="str">
        <f>_xlfn.XLOOKUP(Orders[[#This Row],[Customer ID]], customers!$A$2:$A$1001, customers!$I$2:$I$1001, 0)</f>
        <v>Yes</v>
      </c>
    </row>
    <row r="161" spans="1:16" x14ac:dyDescent="0.35">
      <c r="A161" s="2" t="s">
        <v>1384</v>
      </c>
      <c r="B161" s="3">
        <v>44316</v>
      </c>
      <c r="C161" s="2" t="s">
        <v>1385</v>
      </c>
      <c r="D161" t="s">
        <v>6164</v>
      </c>
      <c r="E161" s="2">
        <v>6</v>
      </c>
      <c r="F161" s="2" t="str" cm="1">
        <f t="array" ref="F161">_xlfn.XLOOKUP(C161, customers!$A$1:A1160, customers!$B$1:B1160, 0)</f>
        <v>Alexa Sizey</v>
      </c>
      <c r="G161" s="2" t="str">
        <f>IF(_xlfn.XLOOKUP(C161, customers!A160:A1160, customers!C160:C1160, 0)=0, "", _xlfn.XLOOKUP(C161, customers!A160:A1160, customers!C160:C1160, 0))</f>
        <v/>
      </c>
      <c r="H161" s="2" t="str" cm="1">
        <f t="array" ref="H161">_xlfn.XLOOKUP(C161, customers!$A$1:A1160, customers!$G$1:G1160,, 0)</f>
        <v>United States</v>
      </c>
      <c r="I161" t="str" cm="1">
        <f t="array" ref="I161">_xlfn.XLOOKUP(orders!D161, products!$A$1:A208, products!$B$1:B208, 0)</f>
        <v>Lib</v>
      </c>
      <c r="J161" t="str" cm="1">
        <f t="array" ref="J161">_xlfn.XLOOKUP(D161, products!$A$1:A208, products!$C$1:C208, 0)</f>
        <v>L</v>
      </c>
      <c r="K161" s="4" cm="1">
        <f t="array" ref="K161">_xlfn.XLOOKUP(D161, products!$A$1:A208, products!$D$1:D208, 0)</f>
        <v>2.5</v>
      </c>
      <c r="L161" s="4" cm="1">
        <f t="array" ref="L161">_xlfn.XLOOKUP(D161, products!$A$1:A208, products!$E$1:E208)</f>
        <v>36.454999999999998</v>
      </c>
      <c r="M161">
        <f t="shared" si="4"/>
        <v>218.73</v>
      </c>
      <c r="N161" t="str">
        <f t="shared" si="5"/>
        <v>Liberica</v>
      </c>
      <c r="O161" t="str" cm="1">
        <f t="array" ref="O161">_xlfn.IFS(J161="M", "Medium", J161="L", "Light", J161="D", "Dark")</f>
        <v>Light</v>
      </c>
      <c r="P161" t="str">
        <f>_xlfn.XLOOKUP(Orders[[#This Row],[Customer ID]], customers!$A$2:$A$1001, customers!$I$2:$I$1001, 0)</f>
        <v>No</v>
      </c>
    </row>
    <row r="162" spans="1:16" x14ac:dyDescent="0.35">
      <c r="A162" s="2" t="s">
        <v>1389</v>
      </c>
      <c r="B162" s="3">
        <v>43837</v>
      </c>
      <c r="C162" s="2" t="s">
        <v>1390</v>
      </c>
      <c r="D162" t="s">
        <v>6139</v>
      </c>
      <c r="E162" s="2">
        <v>4</v>
      </c>
      <c r="F162" s="2" t="str" cm="1">
        <f t="array" ref="F162">_xlfn.XLOOKUP(C162, customers!$A$1:A1161, customers!$B$1:B1161, 0)</f>
        <v>Kari Swede</v>
      </c>
      <c r="G162" s="2" t="str">
        <f>IF(_xlfn.XLOOKUP(C162, customers!A161:A1161, customers!C161:C1161, 0)=0, "", _xlfn.XLOOKUP(C162, customers!A161:A1161, customers!C161:C1161, 0))</f>
        <v>kswede4g@addthis.com</v>
      </c>
      <c r="H162" s="2" t="str" cm="1">
        <f t="array" ref="H162">_xlfn.XLOOKUP(C162, customers!$A$1:A1161, customers!$G$1:G1161,, 0)</f>
        <v>United States</v>
      </c>
      <c r="I162" t="str" cm="1">
        <f t="array" ref="I162">_xlfn.XLOOKUP(orders!D162, products!$A$1:A209, products!$B$1:B209, 0)</f>
        <v>Exc</v>
      </c>
      <c r="J162" t="str" cm="1">
        <f t="array" ref="J162">_xlfn.XLOOKUP(D162, products!$A$1:A209, products!$C$1:C209, 0)</f>
        <v>M</v>
      </c>
      <c r="K162" s="4" cm="1">
        <f t="array" ref="K162">_xlfn.XLOOKUP(D162, products!$A$1:A209, products!$D$1:D209, 0)</f>
        <v>0.5</v>
      </c>
      <c r="L162" s="4" cm="1">
        <f t="array" ref="L162">_xlfn.XLOOKUP(D162, products!$A$1:A209, products!$E$1:E209)</f>
        <v>8.25</v>
      </c>
      <c r="M162">
        <f t="shared" si="4"/>
        <v>33</v>
      </c>
      <c r="N162" t="str">
        <f t="shared" si="5"/>
        <v>Excelsa</v>
      </c>
      <c r="O162" t="str" cm="1">
        <f t="array" ref="O162">_xlfn.IFS(J162="M", "Medium", J162="L", "Light", J162="D", "Dark")</f>
        <v>Medium</v>
      </c>
      <c r="P162" t="str">
        <f>_xlfn.XLOOKUP(Orders[[#This Row],[Customer ID]], customers!$A$2:$A$1001, customers!$I$2:$I$1001, 0)</f>
        <v>No</v>
      </c>
    </row>
    <row r="163" spans="1:16" x14ac:dyDescent="0.35">
      <c r="A163" s="2" t="s">
        <v>1395</v>
      </c>
      <c r="B163" s="3">
        <v>44207</v>
      </c>
      <c r="C163" s="2" t="s">
        <v>1396</v>
      </c>
      <c r="D163" t="s">
        <v>6180</v>
      </c>
      <c r="E163" s="2">
        <v>3</v>
      </c>
      <c r="F163" s="2" t="str" cm="1">
        <f t="array" ref="F163">_xlfn.XLOOKUP(C163, customers!$A$1:A1162, customers!$B$1:B1162, 0)</f>
        <v>Leontine Rubrow</v>
      </c>
      <c r="G163" s="2" t="str">
        <f>IF(_xlfn.XLOOKUP(C163, customers!A162:A1162, customers!C162:C1162, 0)=0, "", _xlfn.XLOOKUP(C163, customers!A162:A1162, customers!C162:C1162, 0))</f>
        <v>lrubrow4h@microsoft.com</v>
      </c>
      <c r="H163" s="2" t="str" cm="1">
        <f t="array" ref="H163">_xlfn.XLOOKUP(C163, customers!$A$1:A1162, customers!$G$1:G1162,, 0)</f>
        <v>United States</v>
      </c>
      <c r="I163" t="str" cm="1">
        <f t="array" ref="I163">_xlfn.XLOOKUP(orders!D163, products!$A$1:A210, products!$B$1:B210, 0)</f>
        <v>Ara</v>
      </c>
      <c r="J163" t="str" cm="1">
        <f t="array" ref="J163">_xlfn.XLOOKUP(D163, products!$A$1:A210, products!$C$1:C210, 0)</f>
        <v>L</v>
      </c>
      <c r="K163" s="4" cm="1">
        <f t="array" ref="K163">_xlfn.XLOOKUP(D163, products!$A$1:A210, products!$D$1:D210, 0)</f>
        <v>0.5</v>
      </c>
      <c r="L163" s="4" cm="1">
        <f t="array" ref="L163">_xlfn.XLOOKUP(D163, products!$A$1:A210, products!$E$1:E210)</f>
        <v>7.77</v>
      </c>
      <c r="M163">
        <f t="shared" si="4"/>
        <v>23.31</v>
      </c>
      <c r="N163" t="str">
        <f t="shared" si="5"/>
        <v>Arabica</v>
      </c>
      <c r="O163" t="str" cm="1">
        <f t="array" ref="O163">_xlfn.IFS(J163="M", "Medium", J163="L", "Light", J163="D", "Dark")</f>
        <v>Light</v>
      </c>
      <c r="P163" t="str">
        <f>_xlfn.XLOOKUP(Orders[[#This Row],[Customer ID]], customers!$A$2:$A$1001, customers!$I$2:$I$1001, 0)</f>
        <v>No</v>
      </c>
    </row>
    <row r="164" spans="1:16" x14ac:dyDescent="0.35">
      <c r="A164" s="2" t="s">
        <v>1401</v>
      </c>
      <c r="B164" s="3">
        <v>44515</v>
      </c>
      <c r="C164" s="2" t="s">
        <v>1402</v>
      </c>
      <c r="D164" t="s">
        <v>6144</v>
      </c>
      <c r="E164" s="2">
        <v>3</v>
      </c>
      <c r="F164" s="2" t="str" cm="1">
        <f t="array" ref="F164">_xlfn.XLOOKUP(C164, customers!$A$1:A1163, customers!$B$1:B1163, 0)</f>
        <v>Dottie Tift</v>
      </c>
      <c r="G164" s="2" t="str">
        <f>IF(_xlfn.XLOOKUP(C164, customers!A163:A1163, customers!C163:C1163, 0)=0, "", _xlfn.XLOOKUP(C164, customers!A163:A1163, customers!C163:C1163, 0))</f>
        <v>dtift4i@netvibes.com</v>
      </c>
      <c r="H164" s="2" t="str" cm="1">
        <f t="array" ref="H164">_xlfn.XLOOKUP(C164, customers!$A$1:A1163, customers!$G$1:G1163,, 0)</f>
        <v>United States</v>
      </c>
      <c r="I164" t="str" cm="1">
        <f t="array" ref="I164">_xlfn.XLOOKUP(orders!D164, products!$A$1:A211, products!$B$1:B211, 0)</f>
        <v>Exc</v>
      </c>
      <c r="J164" t="str" cm="1">
        <f t="array" ref="J164">_xlfn.XLOOKUP(D164, products!$A$1:A211, products!$C$1:C211, 0)</f>
        <v>D</v>
      </c>
      <c r="K164" s="4" cm="1">
        <f t="array" ref="K164">_xlfn.XLOOKUP(D164, products!$A$1:A211, products!$D$1:D211, 0)</f>
        <v>0.5</v>
      </c>
      <c r="L164" s="4" cm="1">
        <f t="array" ref="L164">_xlfn.XLOOKUP(D164, products!$A$1:A211, products!$E$1:E211)</f>
        <v>7.29</v>
      </c>
      <c r="M164">
        <f t="shared" si="4"/>
        <v>21.87</v>
      </c>
      <c r="N164" t="str">
        <f t="shared" si="5"/>
        <v>Excelsa</v>
      </c>
      <c r="O164" t="str" cm="1">
        <f t="array" ref="O164">_xlfn.IFS(J164="M", "Medium", J164="L", "Light", J164="D", "Dark")</f>
        <v>Dark</v>
      </c>
      <c r="P164" t="str">
        <f>_xlfn.XLOOKUP(Orders[[#This Row],[Customer ID]], customers!$A$2:$A$1001, customers!$I$2:$I$1001, 0)</f>
        <v>Yes</v>
      </c>
    </row>
    <row r="165" spans="1:16" x14ac:dyDescent="0.35">
      <c r="A165" s="2" t="s">
        <v>1407</v>
      </c>
      <c r="B165" s="3">
        <v>43619</v>
      </c>
      <c r="C165" s="2" t="s">
        <v>1408</v>
      </c>
      <c r="D165" t="s">
        <v>6163</v>
      </c>
      <c r="E165" s="2">
        <v>6</v>
      </c>
      <c r="F165" s="2" t="str" cm="1">
        <f t="array" ref="F165">_xlfn.XLOOKUP(C165, customers!$A$1:A1164, customers!$B$1:B1164, 0)</f>
        <v>Gerardo Schonfeld</v>
      </c>
      <c r="G165" s="2" t="str">
        <f>IF(_xlfn.XLOOKUP(C165, customers!A164:A1164, customers!C164:C1164, 0)=0, "", _xlfn.XLOOKUP(C165, customers!A164:A1164, customers!C164:C1164, 0))</f>
        <v>gschonfeld4j@oracle.com</v>
      </c>
      <c r="H165" s="2" t="str" cm="1">
        <f t="array" ref="H165">_xlfn.XLOOKUP(C165, customers!$A$1:A1164, customers!$G$1:G1164,, 0)</f>
        <v>United States</v>
      </c>
      <c r="I165" t="str" cm="1">
        <f t="array" ref="I165">_xlfn.XLOOKUP(orders!D165, products!$A$1:A212, products!$B$1:B212, 0)</f>
        <v>Rob</v>
      </c>
      <c r="J165" t="str" cm="1">
        <f t="array" ref="J165">_xlfn.XLOOKUP(D165, products!$A$1:A212, products!$C$1:C212, 0)</f>
        <v>D</v>
      </c>
      <c r="K165" s="4" cm="1">
        <f t="array" ref="K165">_xlfn.XLOOKUP(D165, products!$A$1:A212, products!$D$1:D212, 0)</f>
        <v>0.2</v>
      </c>
      <c r="L165" s="4" cm="1">
        <f t="array" ref="L165">_xlfn.XLOOKUP(D165, products!$A$1:A212, products!$E$1:E212)</f>
        <v>2.6849999999999996</v>
      </c>
      <c r="M165">
        <f t="shared" si="4"/>
        <v>16.11</v>
      </c>
      <c r="N165" t="str">
        <f t="shared" si="5"/>
        <v>Robusta</v>
      </c>
      <c r="O165" t="str" cm="1">
        <f t="array" ref="O165">_xlfn.IFS(J165="M", "Medium", J165="L", "Light", J165="D", "Dark")</f>
        <v>Dark</v>
      </c>
      <c r="P165" t="str">
        <f>_xlfn.XLOOKUP(Orders[[#This Row],[Customer ID]], customers!$A$2:$A$1001, customers!$I$2:$I$1001, 0)</f>
        <v>No</v>
      </c>
    </row>
    <row r="166" spans="1:16" x14ac:dyDescent="0.35">
      <c r="A166" s="2" t="s">
        <v>1413</v>
      </c>
      <c r="B166" s="3">
        <v>44182</v>
      </c>
      <c r="C166" s="2" t="s">
        <v>1414</v>
      </c>
      <c r="D166" t="s">
        <v>6144</v>
      </c>
      <c r="E166" s="2">
        <v>4</v>
      </c>
      <c r="F166" s="2" t="str" cm="1">
        <f t="array" ref="F166">_xlfn.XLOOKUP(C166, customers!$A$1:A1165, customers!$B$1:B1165, 0)</f>
        <v>Claiborne Feye</v>
      </c>
      <c r="G166" s="2" t="str">
        <f>IF(_xlfn.XLOOKUP(C166, customers!A165:A1165, customers!C165:C1165, 0)=0, "", _xlfn.XLOOKUP(C166, customers!A165:A1165, customers!C165:C1165, 0))</f>
        <v>cfeye4k@google.co.jp</v>
      </c>
      <c r="H166" s="2" t="str" cm="1">
        <f t="array" ref="H166">_xlfn.XLOOKUP(C166, customers!$A$1:A1165, customers!$G$1:G1165,, 0)</f>
        <v>Ireland</v>
      </c>
      <c r="I166" t="str" cm="1">
        <f t="array" ref="I166">_xlfn.XLOOKUP(orders!D166, products!$A$1:A213, products!$B$1:B213, 0)</f>
        <v>Exc</v>
      </c>
      <c r="J166" t="str" cm="1">
        <f t="array" ref="J166">_xlfn.XLOOKUP(D166, products!$A$1:A213, products!$C$1:C213, 0)</f>
        <v>D</v>
      </c>
      <c r="K166" s="4" cm="1">
        <f t="array" ref="K166">_xlfn.XLOOKUP(D166, products!$A$1:A213, products!$D$1:D213, 0)</f>
        <v>0.5</v>
      </c>
      <c r="L166" s="4" cm="1">
        <f t="array" ref="L166">_xlfn.XLOOKUP(D166, products!$A$1:A213, products!$E$1:E213)</f>
        <v>7.29</v>
      </c>
      <c r="M166">
        <f t="shared" si="4"/>
        <v>29.16</v>
      </c>
      <c r="N166" t="str">
        <f t="shared" si="5"/>
        <v>Excelsa</v>
      </c>
      <c r="O166" t="str" cm="1">
        <f t="array" ref="O166">_xlfn.IFS(J166="M", "Medium", J166="L", "Light", J166="D", "Dark")</f>
        <v>Dark</v>
      </c>
      <c r="P166" t="str">
        <f>_xlfn.XLOOKUP(Orders[[#This Row],[Customer ID]], customers!$A$2:$A$1001, customers!$I$2:$I$1001, 0)</f>
        <v>No</v>
      </c>
    </row>
    <row r="167" spans="1:16" x14ac:dyDescent="0.35">
      <c r="A167" s="2" t="s">
        <v>1420</v>
      </c>
      <c r="B167" s="3">
        <v>44234</v>
      </c>
      <c r="C167" s="2" t="s">
        <v>1421</v>
      </c>
      <c r="D167" t="s">
        <v>6177</v>
      </c>
      <c r="E167" s="2">
        <v>6</v>
      </c>
      <c r="F167" s="2" t="str" cm="1">
        <f t="array" ref="F167">_xlfn.XLOOKUP(C167, customers!$A$1:A1166, customers!$B$1:B1166, 0)</f>
        <v>Mina Elstone</v>
      </c>
      <c r="G167" s="2" t="str">
        <f>IF(_xlfn.XLOOKUP(C167, customers!A166:A1166, customers!C166:C1166, 0)=0, "", _xlfn.XLOOKUP(C167, customers!A166:A1166, customers!C166:C1166, 0))</f>
        <v/>
      </c>
      <c r="H167" s="2" t="str" cm="1">
        <f t="array" ref="H167">_xlfn.XLOOKUP(C167, customers!$A$1:A1166, customers!$G$1:G1166,, 0)</f>
        <v>United States</v>
      </c>
      <c r="I167" t="str" cm="1">
        <f t="array" ref="I167">_xlfn.XLOOKUP(orders!D167, products!$A$1:A214, products!$B$1:B214, 0)</f>
        <v>Rob</v>
      </c>
      <c r="J167" t="str" cm="1">
        <f t="array" ref="J167">_xlfn.XLOOKUP(D167, products!$A$1:A214, products!$C$1:C214, 0)</f>
        <v>D</v>
      </c>
      <c r="K167" s="4" cm="1">
        <f t="array" ref="K167">_xlfn.XLOOKUP(D167, products!$A$1:A214, products!$D$1:D214, 0)</f>
        <v>1</v>
      </c>
      <c r="L167" s="4" cm="1">
        <f t="array" ref="L167">_xlfn.XLOOKUP(D167, products!$A$1:A214, products!$E$1:E214)</f>
        <v>8.9499999999999993</v>
      </c>
      <c r="M167">
        <f t="shared" si="4"/>
        <v>53.699999999999996</v>
      </c>
      <c r="N167" t="str">
        <f t="shared" si="5"/>
        <v>Robusta</v>
      </c>
      <c r="O167" t="str" cm="1">
        <f t="array" ref="O167">_xlfn.IFS(J167="M", "Medium", J167="L", "Light", J167="D", "Dark")</f>
        <v>Dark</v>
      </c>
      <c r="P167" t="str">
        <f>_xlfn.XLOOKUP(Orders[[#This Row],[Customer ID]], customers!$A$2:$A$1001, customers!$I$2:$I$1001, 0)</f>
        <v>Yes</v>
      </c>
    </row>
    <row r="168" spans="1:16" x14ac:dyDescent="0.35">
      <c r="A168" s="2" t="s">
        <v>1425</v>
      </c>
      <c r="B168" s="3">
        <v>44270</v>
      </c>
      <c r="C168" s="2" t="s">
        <v>1426</v>
      </c>
      <c r="D168" t="s">
        <v>6172</v>
      </c>
      <c r="E168" s="2">
        <v>5</v>
      </c>
      <c r="F168" s="2" t="str" cm="1">
        <f t="array" ref="F168">_xlfn.XLOOKUP(C168, customers!$A$1:A1167, customers!$B$1:B1167, 0)</f>
        <v>Sherman Mewrcik</v>
      </c>
      <c r="G168" s="2" t="str">
        <f>IF(_xlfn.XLOOKUP(C168, customers!A167:A1167, customers!C167:C1167, 0)=0, "", _xlfn.XLOOKUP(C168, customers!A167:A1167, customers!C167:C1167, 0))</f>
        <v/>
      </c>
      <c r="H168" s="2" t="str" cm="1">
        <f t="array" ref="H168">_xlfn.XLOOKUP(C168, customers!$A$1:A1167, customers!$G$1:G1167,, 0)</f>
        <v>United States</v>
      </c>
      <c r="I168" t="str" cm="1">
        <f t="array" ref="I168">_xlfn.XLOOKUP(orders!D168, products!$A$1:A215, products!$B$1:B215, 0)</f>
        <v>Rob</v>
      </c>
      <c r="J168" t="str" cm="1">
        <f t="array" ref="J168">_xlfn.XLOOKUP(D168, products!$A$1:A215, products!$C$1:C215, 0)</f>
        <v>D</v>
      </c>
      <c r="K168" s="4" cm="1">
        <f t="array" ref="K168">_xlfn.XLOOKUP(D168, products!$A$1:A215, products!$D$1:D215, 0)</f>
        <v>0.5</v>
      </c>
      <c r="L168" s="4" cm="1">
        <f t="array" ref="L168">_xlfn.XLOOKUP(D168, products!$A$1:A215, products!$E$1:E215)</f>
        <v>5.3699999999999992</v>
      </c>
      <c r="M168">
        <f t="shared" si="4"/>
        <v>26.849999999999994</v>
      </c>
      <c r="N168" t="str">
        <f t="shared" si="5"/>
        <v>Robusta</v>
      </c>
      <c r="O168" t="str" cm="1">
        <f t="array" ref="O168">_xlfn.IFS(J168="M", "Medium", J168="L", "Light", J168="D", "Dark")</f>
        <v>Dark</v>
      </c>
      <c r="P168" t="str">
        <f>_xlfn.XLOOKUP(Orders[[#This Row],[Customer ID]], customers!$A$2:$A$1001, customers!$I$2:$I$1001, 0)</f>
        <v>Yes</v>
      </c>
    </row>
    <row r="169" spans="1:16" x14ac:dyDescent="0.35">
      <c r="A169" s="2" t="s">
        <v>1430</v>
      </c>
      <c r="B169" s="3">
        <v>44777</v>
      </c>
      <c r="C169" s="2" t="s">
        <v>1431</v>
      </c>
      <c r="D169" t="s">
        <v>6139</v>
      </c>
      <c r="E169" s="2">
        <v>5</v>
      </c>
      <c r="F169" s="2" t="str" cm="1">
        <f t="array" ref="F169">_xlfn.XLOOKUP(C169, customers!$A$1:A1168, customers!$B$1:B1168, 0)</f>
        <v>Tamarah Fero</v>
      </c>
      <c r="G169" s="2" t="str">
        <f>IF(_xlfn.XLOOKUP(C169, customers!A168:A1168, customers!C168:C1168, 0)=0, "", _xlfn.XLOOKUP(C169, customers!A168:A1168, customers!C168:C1168, 0))</f>
        <v>tfero4n@comsenz.com</v>
      </c>
      <c r="H169" s="2" t="str" cm="1">
        <f t="array" ref="H169">_xlfn.XLOOKUP(C169, customers!$A$1:A1168, customers!$G$1:G1168,, 0)</f>
        <v>United States</v>
      </c>
      <c r="I169" t="str" cm="1">
        <f t="array" ref="I169">_xlfn.XLOOKUP(orders!D169, products!$A$1:A216, products!$B$1:B216, 0)</f>
        <v>Exc</v>
      </c>
      <c r="J169" t="str" cm="1">
        <f t="array" ref="J169">_xlfn.XLOOKUP(D169, products!$A$1:A216, products!$C$1:C216, 0)</f>
        <v>M</v>
      </c>
      <c r="K169" s="4" cm="1">
        <f t="array" ref="K169">_xlfn.XLOOKUP(D169, products!$A$1:A216, products!$D$1:D216, 0)</f>
        <v>0.5</v>
      </c>
      <c r="L169" s="4" cm="1">
        <f t="array" ref="L169">_xlfn.XLOOKUP(D169, products!$A$1:A216, products!$E$1:E216)</f>
        <v>8.25</v>
      </c>
      <c r="M169">
        <f t="shared" si="4"/>
        <v>41.25</v>
      </c>
      <c r="N169" t="str">
        <f t="shared" si="5"/>
        <v>Excelsa</v>
      </c>
      <c r="O169" t="str" cm="1">
        <f t="array" ref="O169">_xlfn.IFS(J169="M", "Medium", J169="L", "Light", J169="D", "Dark")</f>
        <v>Medium</v>
      </c>
      <c r="P169" t="str">
        <f>_xlfn.XLOOKUP(Orders[[#This Row],[Customer ID]], customers!$A$2:$A$1001, customers!$I$2:$I$1001, 0)</f>
        <v>Yes</v>
      </c>
    </row>
    <row r="170" spans="1:16" x14ac:dyDescent="0.35">
      <c r="A170" s="2" t="s">
        <v>1436</v>
      </c>
      <c r="B170" s="3">
        <v>43484</v>
      </c>
      <c r="C170" s="2" t="s">
        <v>1437</v>
      </c>
      <c r="D170" t="s">
        <v>6157</v>
      </c>
      <c r="E170" s="2">
        <v>6</v>
      </c>
      <c r="F170" s="2" t="str" cm="1">
        <f t="array" ref="F170">_xlfn.XLOOKUP(C170, customers!$A$1:A1169, customers!$B$1:B1169, 0)</f>
        <v>Stanislaus Valsler</v>
      </c>
      <c r="G170" s="2" t="str">
        <f>IF(_xlfn.XLOOKUP(C170, customers!A169:A1169, customers!C169:C1169, 0)=0, "", _xlfn.XLOOKUP(C170, customers!A169:A1169, customers!C169:C1169, 0))</f>
        <v/>
      </c>
      <c r="H170" s="2" t="str" cm="1">
        <f t="array" ref="H170">_xlfn.XLOOKUP(C170, customers!$A$1:A1169, customers!$G$1:G1169,, 0)</f>
        <v>Ireland</v>
      </c>
      <c r="I170" t="str" cm="1">
        <f t="array" ref="I170">_xlfn.XLOOKUP(orders!D170, products!$A$1:A217, products!$B$1:B217, 0)</f>
        <v>Ara</v>
      </c>
      <c r="J170" t="str" cm="1">
        <f t="array" ref="J170">_xlfn.XLOOKUP(D170, products!$A$1:A217, products!$C$1:C217, 0)</f>
        <v>M</v>
      </c>
      <c r="K170" s="4" cm="1">
        <f t="array" ref="K170">_xlfn.XLOOKUP(D170, products!$A$1:A217, products!$D$1:D217, 0)</f>
        <v>0.5</v>
      </c>
      <c r="L170" s="4" cm="1">
        <f t="array" ref="L170">_xlfn.XLOOKUP(D170, products!$A$1:A217, products!$E$1:E217)</f>
        <v>6.75</v>
      </c>
      <c r="M170">
        <f t="shared" si="4"/>
        <v>40.5</v>
      </c>
      <c r="N170" t="str">
        <f t="shared" si="5"/>
        <v>Arabica</v>
      </c>
      <c r="O170" t="str" cm="1">
        <f t="array" ref="O170">_xlfn.IFS(J170="M", "Medium", J170="L", "Light", J170="D", "Dark")</f>
        <v>Medium</v>
      </c>
      <c r="P170" t="str">
        <f>_xlfn.XLOOKUP(Orders[[#This Row],[Customer ID]], customers!$A$2:$A$1001, customers!$I$2:$I$1001, 0)</f>
        <v>No</v>
      </c>
    </row>
    <row r="171" spans="1:16" x14ac:dyDescent="0.35">
      <c r="A171" s="2" t="s">
        <v>1441</v>
      </c>
      <c r="B171" s="3">
        <v>44643</v>
      </c>
      <c r="C171" s="2" t="s">
        <v>1442</v>
      </c>
      <c r="D171" t="s">
        <v>6177</v>
      </c>
      <c r="E171" s="2">
        <v>2</v>
      </c>
      <c r="F171" s="2" t="str" cm="1">
        <f t="array" ref="F171">_xlfn.XLOOKUP(C171, customers!$A$1:A1170, customers!$B$1:B1170, 0)</f>
        <v>Felita Dauney</v>
      </c>
      <c r="G171" s="2" t="str">
        <f>IF(_xlfn.XLOOKUP(C171, customers!A170:A1170, customers!C170:C1170, 0)=0, "", _xlfn.XLOOKUP(C171, customers!A170:A1170, customers!C170:C1170, 0))</f>
        <v>fdauney4p@sphinn.com</v>
      </c>
      <c r="H171" s="2" t="str" cm="1">
        <f t="array" ref="H171">_xlfn.XLOOKUP(C171, customers!$A$1:A1170, customers!$G$1:G1170,, 0)</f>
        <v>Ireland</v>
      </c>
      <c r="I171" t="str" cm="1">
        <f t="array" ref="I171">_xlfn.XLOOKUP(orders!D171, products!$A$1:A218, products!$B$1:B218, 0)</f>
        <v>Rob</v>
      </c>
      <c r="J171" t="str" cm="1">
        <f t="array" ref="J171">_xlfn.XLOOKUP(D171, products!$A$1:A218, products!$C$1:C218, 0)</f>
        <v>D</v>
      </c>
      <c r="K171" s="4" cm="1">
        <f t="array" ref="K171">_xlfn.XLOOKUP(D171, products!$A$1:A218, products!$D$1:D218, 0)</f>
        <v>1</v>
      </c>
      <c r="L171" s="4" cm="1">
        <f t="array" ref="L171">_xlfn.XLOOKUP(D171, products!$A$1:A218, products!$E$1:E218)</f>
        <v>8.9499999999999993</v>
      </c>
      <c r="M171">
        <f t="shared" si="4"/>
        <v>17.899999999999999</v>
      </c>
      <c r="N171" t="str">
        <f t="shared" si="5"/>
        <v>Robusta</v>
      </c>
      <c r="O171" t="str" cm="1">
        <f t="array" ref="O171">_xlfn.IFS(J171="M", "Medium", J171="L", "Light", J171="D", "Dark")</f>
        <v>Dark</v>
      </c>
      <c r="P171" t="str">
        <f>_xlfn.XLOOKUP(Orders[[#This Row],[Customer ID]], customers!$A$2:$A$1001, customers!$I$2:$I$1001, 0)</f>
        <v>No</v>
      </c>
    </row>
    <row r="172" spans="1:16" x14ac:dyDescent="0.35">
      <c r="A172" s="2" t="s">
        <v>1448</v>
      </c>
      <c r="B172" s="3">
        <v>44476</v>
      </c>
      <c r="C172" s="2" t="s">
        <v>1449</v>
      </c>
      <c r="D172" t="s">
        <v>6148</v>
      </c>
      <c r="E172" s="2">
        <v>2</v>
      </c>
      <c r="F172" s="2" t="str" cm="1">
        <f t="array" ref="F172">_xlfn.XLOOKUP(C172, customers!$A$1:A1171, customers!$B$1:B1171, 0)</f>
        <v>Serena Earley</v>
      </c>
      <c r="G172" s="2" t="str">
        <f>IF(_xlfn.XLOOKUP(C172, customers!A171:A1171, customers!C171:C1171, 0)=0, "", _xlfn.XLOOKUP(C172, customers!A171:A1171, customers!C171:C1171, 0))</f>
        <v>searley4q@youku.com</v>
      </c>
      <c r="H172" s="2" t="str" cm="1">
        <f t="array" ref="H172">_xlfn.XLOOKUP(C172, customers!$A$1:A1171, customers!$G$1:G1171,, 0)</f>
        <v>United Kingdom</v>
      </c>
      <c r="I172" t="str" cm="1">
        <f t="array" ref="I172">_xlfn.XLOOKUP(orders!D172, products!$A$1:A219, products!$B$1:B219, 0)</f>
        <v>Exc</v>
      </c>
      <c r="J172" t="str" cm="1">
        <f t="array" ref="J172">_xlfn.XLOOKUP(D172, products!$A$1:A219, products!$C$1:C219, 0)</f>
        <v>L</v>
      </c>
      <c r="K172" s="4" cm="1">
        <f t="array" ref="K172">_xlfn.XLOOKUP(D172, products!$A$1:A219, products!$D$1:D219, 0)</f>
        <v>2.5</v>
      </c>
      <c r="L172" s="4" cm="1">
        <f t="array" ref="L172">_xlfn.XLOOKUP(D172, products!$A$1:A219, products!$E$1:E219)</f>
        <v>34.154999999999994</v>
      </c>
      <c r="M172">
        <f t="shared" si="4"/>
        <v>68.309999999999988</v>
      </c>
      <c r="N172" t="str">
        <f t="shared" si="5"/>
        <v>Excelsa</v>
      </c>
      <c r="O172" t="str" cm="1">
        <f t="array" ref="O172">_xlfn.IFS(J172="M", "Medium", J172="L", "Light", J172="D", "Dark")</f>
        <v>Light</v>
      </c>
      <c r="P172" t="str">
        <f>_xlfn.XLOOKUP(Orders[[#This Row],[Customer ID]], customers!$A$2:$A$1001, customers!$I$2:$I$1001, 0)</f>
        <v>No</v>
      </c>
    </row>
    <row r="173" spans="1:16" x14ac:dyDescent="0.35">
      <c r="A173" s="2" t="s">
        <v>1453</v>
      </c>
      <c r="B173" s="3">
        <v>43544</v>
      </c>
      <c r="C173" s="2" t="s">
        <v>1454</v>
      </c>
      <c r="D173" t="s">
        <v>6166</v>
      </c>
      <c r="E173" s="2">
        <v>2</v>
      </c>
      <c r="F173" s="2" t="str" cm="1">
        <f t="array" ref="F173">_xlfn.XLOOKUP(C173, customers!$A$1:A1172, customers!$B$1:B1172, 0)</f>
        <v>Minny Chamberlayne</v>
      </c>
      <c r="G173" s="2" t="str">
        <f>IF(_xlfn.XLOOKUP(C173, customers!A172:A1172, customers!C172:C1172, 0)=0, "", _xlfn.XLOOKUP(C173, customers!A172:A1172, customers!C172:C1172, 0))</f>
        <v>mchamberlayne4r@bigcartel.com</v>
      </c>
      <c r="H173" s="2" t="str" cm="1">
        <f t="array" ref="H173">_xlfn.XLOOKUP(C173, customers!$A$1:A1172, customers!$G$1:G1172,, 0)</f>
        <v>United States</v>
      </c>
      <c r="I173" t="str" cm="1">
        <f t="array" ref="I173">_xlfn.XLOOKUP(orders!D173, products!$A$1:A220, products!$B$1:B220, 0)</f>
        <v>Exc</v>
      </c>
      <c r="J173" t="str" cm="1">
        <f t="array" ref="J173">_xlfn.XLOOKUP(D173, products!$A$1:A220, products!$C$1:C220, 0)</f>
        <v>M</v>
      </c>
      <c r="K173" s="4" cm="1">
        <f t="array" ref="K173">_xlfn.XLOOKUP(D173, products!$A$1:A220, products!$D$1:D220, 0)</f>
        <v>2.5</v>
      </c>
      <c r="L173" s="4" cm="1">
        <f t="array" ref="L173">_xlfn.XLOOKUP(D173, products!$A$1:A220, products!$E$1:E220)</f>
        <v>31.624999999999996</v>
      </c>
      <c r="M173">
        <f t="shared" si="4"/>
        <v>63.249999999999993</v>
      </c>
      <c r="N173" t="str">
        <f t="shared" si="5"/>
        <v>Excelsa</v>
      </c>
      <c r="O173" t="str" cm="1">
        <f t="array" ref="O173">_xlfn.IFS(J173="M", "Medium", J173="L", "Light", J173="D", "Dark")</f>
        <v>Medium</v>
      </c>
      <c r="P173" t="str">
        <f>_xlfn.XLOOKUP(Orders[[#This Row],[Customer ID]], customers!$A$2:$A$1001, customers!$I$2:$I$1001, 0)</f>
        <v>Yes</v>
      </c>
    </row>
    <row r="174" spans="1:16" x14ac:dyDescent="0.35">
      <c r="A174" s="2" t="s">
        <v>1459</v>
      </c>
      <c r="B174" s="3">
        <v>44545</v>
      </c>
      <c r="C174" s="2" t="s">
        <v>1460</v>
      </c>
      <c r="D174" t="s">
        <v>6144</v>
      </c>
      <c r="E174" s="2">
        <v>3</v>
      </c>
      <c r="F174" s="2" t="str" cm="1">
        <f t="array" ref="F174">_xlfn.XLOOKUP(C174, customers!$A$1:A1173, customers!$B$1:B1173, 0)</f>
        <v>Bartholemy Flaherty</v>
      </c>
      <c r="G174" s="2" t="str">
        <f>IF(_xlfn.XLOOKUP(C174, customers!A173:A1173, customers!C173:C1173, 0)=0, "", _xlfn.XLOOKUP(C174, customers!A173:A1173, customers!C173:C1173, 0))</f>
        <v>bflaherty4s@moonfruit.com</v>
      </c>
      <c r="H174" s="2" t="str" cm="1">
        <f t="array" ref="H174">_xlfn.XLOOKUP(C174, customers!$A$1:A1173, customers!$G$1:G1173,, 0)</f>
        <v>Ireland</v>
      </c>
      <c r="I174" t="str" cm="1">
        <f t="array" ref="I174">_xlfn.XLOOKUP(orders!D174, products!$A$1:A221, products!$B$1:B221, 0)</f>
        <v>Exc</v>
      </c>
      <c r="J174" t="str" cm="1">
        <f t="array" ref="J174">_xlfn.XLOOKUP(D174, products!$A$1:A221, products!$C$1:C221, 0)</f>
        <v>D</v>
      </c>
      <c r="K174" s="4" cm="1">
        <f t="array" ref="K174">_xlfn.XLOOKUP(D174, products!$A$1:A221, products!$D$1:D221, 0)</f>
        <v>0.5</v>
      </c>
      <c r="L174" s="4" cm="1">
        <f t="array" ref="L174">_xlfn.XLOOKUP(D174, products!$A$1:A221, products!$E$1:E221)</f>
        <v>7.29</v>
      </c>
      <c r="M174">
        <f t="shared" si="4"/>
        <v>21.87</v>
      </c>
      <c r="N174" t="str">
        <f t="shared" si="5"/>
        <v>Excelsa</v>
      </c>
      <c r="O174" t="str" cm="1">
        <f t="array" ref="O174">_xlfn.IFS(J174="M", "Medium", J174="L", "Light", J174="D", "Dark")</f>
        <v>Dark</v>
      </c>
      <c r="P174" t="str">
        <f>_xlfn.XLOOKUP(Orders[[#This Row],[Customer ID]], customers!$A$2:$A$1001, customers!$I$2:$I$1001, 0)</f>
        <v>No</v>
      </c>
    </row>
    <row r="175" spans="1:16" x14ac:dyDescent="0.35">
      <c r="A175" s="2" t="s">
        <v>1464</v>
      </c>
      <c r="B175" s="3">
        <v>44720</v>
      </c>
      <c r="C175" s="2" t="s">
        <v>1465</v>
      </c>
      <c r="D175" t="s">
        <v>6151</v>
      </c>
      <c r="E175" s="2">
        <v>4</v>
      </c>
      <c r="F175" s="2" t="str" cm="1">
        <f t="array" ref="F175">_xlfn.XLOOKUP(C175, customers!$A$1:A1174, customers!$B$1:B1174, 0)</f>
        <v>Oran Colbeck</v>
      </c>
      <c r="G175" s="2" t="str">
        <f>IF(_xlfn.XLOOKUP(C175, customers!A174:A1174, customers!C174:C1174, 0)=0, "", _xlfn.XLOOKUP(C175, customers!A174:A1174, customers!C174:C1174, 0))</f>
        <v>ocolbeck4t@sina.com.cn</v>
      </c>
      <c r="H175" s="2" t="str" cm="1">
        <f t="array" ref="H175">_xlfn.XLOOKUP(C175, customers!$A$1:A1174, customers!$G$1:G1174,, 0)</f>
        <v>United States</v>
      </c>
      <c r="I175" t="str" cm="1">
        <f t="array" ref="I175">_xlfn.XLOOKUP(orders!D175, products!$A$1:A222, products!$B$1:B222, 0)</f>
        <v>Rob</v>
      </c>
      <c r="J175" t="str" cm="1">
        <f t="array" ref="J175">_xlfn.XLOOKUP(D175, products!$A$1:A222, products!$C$1:C222, 0)</f>
        <v>M</v>
      </c>
      <c r="K175" s="4" cm="1">
        <f t="array" ref="K175">_xlfn.XLOOKUP(D175, products!$A$1:A222, products!$D$1:D222, 0)</f>
        <v>2.5</v>
      </c>
      <c r="L175" s="4" cm="1">
        <f t="array" ref="L175">_xlfn.XLOOKUP(D175, products!$A$1:A222, products!$E$1:E222)</f>
        <v>22.884999999999998</v>
      </c>
      <c r="M175">
        <f t="shared" si="4"/>
        <v>91.539999999999992</v>
      </c>
      <c r="N175" t="str">
        <f t="shared" si="5"/>
        <v>Robusta</v>
      </c>
      <c r="O175" t="str" cm="1">
        <f t="array" ref="O175">_xlfn.IFS(J175="M", "Medium", J175="L", "Light", J175="D", "Dark")</f>
        <v>Medium</v>
      </c>
      <c r="P175" t="str">
        <f>_xlfn.XLOOKUP(Orders[[#This Row],[Customer ID]], customers!$A$2:$A$1001, customers!$I$2:$I$1001, 0)</f>
        <v>No</v>
      </c>
    </row>
    <row r="176" spans="1:16" x14ac:dyDescent="0.35">
      <c r="A176" s="2" t="s">
        <v>1470</v>
      </c>
      <c r="B176" s="3">
        <v>43813</v>
      </c>
      <c r="C176" s="2" t="s">
        <v>1471</v>
      </c>
      <c r="D176" t="s">
        <v>6148</v>
      </c>
      <c r="E176" s="2">
        <v>6</v>
      </c>
      <c r="F176" s="2" t="str" cm="1">
        <f t="array" ref="F176">_xlfn.XLOOKUP(C176, customers!$A$1:A1175, customers!$B$1:B1175, 0)</f>
        <v>Elysee Sketch</v>
      </c>
      <c r="G176" s="2" t="str">
        <f>IF(_xlfn.XLOOKUP(C176, customers!A175:A1175, customers!C175:C1175, 0)=0, "", _xlfn.XLOOKUP(C176, customers!A175:A1175, customers!C175:C1175, 0))</f>
        <v/>
      </c>
      <c r="H176" s="2" t="str" cm="1">
        <f t="array" ref="H176">_xlfn.XLOOKUP(C176, customers!$A$1:A1175, customers!$G$1:G1175,, 0)</f>
        <v>United States</v>
      </c>
      <c r="I176" t="str" cm="1">
        <f t="array" ref="I176">_xlfn.XLOOKUP(orders!D176, products!$A$1:A223, products!$B$1:B223, 0)</f>
        <v>Exc</v>
      </c>
      <c r="J176" t="str" cm="1">
        <f t="array" ref="J176">_xlfn.XLOOKUP(D176, products!$A$1:A223, products!$C$1:C223, 0)</f>
        <v>L</v>
      </c>
      <c r="K176" s="4" cm="1">
        <f t="array" ref="K176">_xlfn.XLOOKUP(D176, products!$A$1:A223, products!$D$1:D223, 0)</f>
        <v>2.5</v>
      </c>
      <c r="L176" s="4" cm="1">
        <f t="array" ref="L176">_xlfn.XLOOKUP(D176, products!$A$1:A223, products!$E$1:E223)</f>
        <v>34.154999999999994</v>
      </c>
      <c r="M176">
        <f t="shared" si="4"/>
        <v>204.92999999999995</v>
      </c>
      <c r="N176" t="str">
        <f t="shared" si="5"/>
        <v>Excelsa</v>
      </c>
      <c r="O176" t="str" cm="1">
        <f t="array" ref="O176">_xlfn.IFS(J176="M", "Medium", J176="L", "Light", J176="D", "Dark")</f>
        <v>Light</v>
      </c>
      <c r="P176" t="str">
        <f>_xlfn.XLOOKUP(Orders[[#This Row],[Customer ID]], customers!$A$2:$A$1001, customers!$I$2:$I$1001, 0)</f>
        <v>Yes</v>
      </c>
    </row>
    <row r="177" spans="1:16" x14ac:dyDescent="0.35">
      <c r="A177" s="2" t="s">
        <v>1475</v>
      </c>
      <c r="B177" s="3">
        <v>44296</v>
      </c>
      <c r="C177" s="2" t="s">
        <v>1476</v>
      </c>
      <c r="D177" t="s">
        <v>6166</v>
      </c>
      <c r="E177" s="2">
        <v>2</v>
      </c>
      <c r="F177" s="2" t="str" cm="1">
        <f t="array" ref="F177">_xlfn.XLOOKUP(C177, customers!$A$1:A1176, customers!$B$1:B1176, 0)</f>
        <v>Ethelda Hobbing</v>
      </c>
      <c r="G177" s="2" t="str">
        <f>IF(_xlfn.XLOOKUP(C177, customers!A176:A1176, customers!C176:C1176, 0)=0, "", _xlfn.XLOOKUP(C177, customers!A176:A1176, customers!C176:C1176, 0))</f>
        <v>ehobbing4v@nsw.gov.au</v>
      </c>
      <c r="H177" s="2" t="str" cm="1">
        <f t="array" ref="H177">_xlfn.XLOOKUP(C177, customers!$A$1:A1176, customers!$G$1:G1176,, 0)</f>
        <v>United States</v>
      </c>
      <c r="I177" t="str" cm="1">
        <f t="array" ref="I177">_xlfn.XLOOKUP(orders!D177, products!$A$1:A224, products!$B$1:B224, 0)</f>
        <v>Exc</v>
      </c>
      <c r="J177" t="str" cm="1">
        <f t="array" ref="J177">_xlfn.XLOOKUP(D177, products!$A$1:A224, products!$C$1:C224, 0)</f>
        <v>M</v>
      </c>
      <c r="K177" s="4" cm="1">
        <f t="array" ref="K177">_xlfn.XLOOKUP(D177, products!$A$1:A224, products!$D$1:D224, 0)</f>
        <v>2.5</v>
      </c>
      <c r="L177" s="4" cm="1">
        <f t="array" ref="L177">_xlfn.XLOOKUP(D177, products!$A$1:A224, products!$E$1:E224)</f>
        <v>31.624999999999996</v>
      </c>
      <c r="M177">
        <f t="shared" si="4"/>
        <v>63.249999999999993</v>
      </c>
      <c r="N177" t="str">
        <f t="shared" si="5"/>
        <v>Excelsa</v>
      </c>
      <c r="O177" t="str" cm="1">
        <f t="array" ref="O177">_xlfn.IFS(J177="M", "Medium", J177="L", "Light", J177="D", "Dark")</f>
        <v>Medium</v>
      </c>
      <c r="P177" t="str">
        <f>_xlfn.XLOOKUP(Orders[[#This Row],[Customer ID]], customers!$A$2:$A$1001, customers!$I$2:$I$1001, 0)</f>
        <v>Yes</v>
      </c>
    </row>
    <row r="178" spans="1:16" x14ac:dyDescent="0.35">
      <c r="A178" s="2" t="s">
        <v>1481</v>
      </c>
      <c r="B178" s="3">
        <v>43900</v>
      </c>
      <c r="C178" s="2" t="s">
        <v>1482</v>
      </c>
      <c r="D178" t="s">
        <v>6148</v>
      </c>
      <c r="E178" s="2">
        <v>1</v>
      </c>
      <c r="F178" s="2" t="str" cm="1">
        <f t="array" ref="F178">_xlfn.XLOOKUP(C178, customers!$A$1:A1177, customers!$B$1:B1177, 0)</f>
        <v>Odille Thynne</v>
      </c>
      <c r="G178" s="2" t="str">
        <f>IF(_xlfn.XLOOKUP(C178, customers!A177:A1177, customers!C177:C1177, 0)=0, "", _xlfn.XLOOKUP(C178, customers!A177:A1177, customers!C177:C1177, 0))</f>
        <v>othynne4w@auda.org.au</v>
      </c>
      <c r="H178" s="2" t="str" cm="1">
        <f t="array" ref="H178">_xlfn.XLOOKUP(C178, customers!$A$1:A1177, customers!$G$1:G1177,, 0)</f>
        <v>United States</v>
      </c>
      <c r="I178" t="str" cm="1">
        <f t="array" ref="I178">_xlfn.XLOOKUP(orders!D178, products!$A$1:A225, products!$B$1:B225, 0)</f>
        <v>Exc</v>
      </c>
      <c r="J178" t="str" cm="1">
        <f t="array" ref="J178">_xlfn.XLOOKUP(D178, products!$A$1:A225, products!$C$1:C225, 0)</f>
        <v>L</v>
      </c>
      <c r="K178" s="4" cm="1">
        <f t="array" ref="K178">_xlfn.XLOOKUP(D178, products!$A$1:A225, products!$D$1:D225, 0)</f>
        <v>2.5</v>
      </c>
      <c r="L178" s="4" cm="1">
        <f t="array" ref="L178">_xlfn.XLOOKUP(D178, products!$A$1:A225, products!$E$1:E225)</f>
        <v>34.154999999999994</v>
      </c>
      <c r="M178">
        <f t="shared" si="4"/>
        <v>34.154999999999994</v>
      </c>
      <c r="N178" t="str">
        <f t="shared" si="5"/>
        <v>Excelsa</v>
      </c>
      <c r="O178" t="str" cm="1">
        <f t="array" ref="O178">_xlfn.IFS(J178="M", "Medium", J178="L", "Light", J178="D", "Dark")</f>
        <v>Light</v>
      </c>
      <c r="P178" t="str">
        <f>_xlfn.XLOOKUP(Orders[[#This Row],[Customer ID]], customers!$A$2:$A$1001, customers!$I$2:$I$1001, 0)</f>
        <v>Yes</v>
      </c>
    </row>
    <row r="179" spans="1:16" x14ac:dyDescent="0.35">
      <c r="A179" s="2" t="s">
        <v>1487</v>
      </c>
      <c r="B179" s="3">
        <v>44120</v>
      </c>
      <c r="C179" s="2" t="s">
        <v>1488</v>
      </c>
      <c r="D179" t="s">
        <v>6142</v>
      </c>
      <c r="E179" s="2">
        <v>4</v>
      </c>
      <c r="F179" s="2" t="str" cm="1">
        <f t="array" ref="F179">_xlfn.XLOOKUP(C179, customers!$A$1:A1178, customers!$B$1:B1178, 0)</f>
        <v>Emlynne Heining</v>
      </c>
      <c r="G179" s="2" t="str">
        <f>IF(_xlfn.XLOOKUP(C179, customers!A178:A1178, customers!C178:C1178, 0)=0, "", _xlfn.XLOOKUP(C179, customers!A178:A1178, customers!C178:C1178, 0))</f>
        <v>eheining4x@flickr.com</v>
      </c>
      <c r="H179" s="2" t="str" cm="1">
        <f t="array" ref="H179">_xlfn.XLOOKUP(C179, customers!$A$1:A1178, customers!$G$1:G1178,, 0)</f>
        <v>United States</v>
      </c>
      <c r="I179" t="str" cm="1">
        <f t="array" ref="I179">_xlfn.XLOOKUP(orders!D179, products!$A$1:A226, products!$B$1:B226, 0)</f>
        <v>Rob</v>
      </c>
      <c r="J179" t="str" cm="1">
        <f t="array" ref="J179">_xlfn.XLOOKUP(D179, products!$A$1:A226, products!$C$1:C226, 0)</f>
        <v>L</v>
      </c>
      <c r="K179" s="4" cm="1">
        <f t="array" ref="K179">_xlfn.XLOOKUP(D179, products!$A$1:A226, products!$D$1:D226, 0)</f>
        <v>2.5</v>
      </c>
      <c r="L179" s="4" cm="1">
        <f t="array" ref="L179">_xlfn.XLOOKUP(D179, products!$A$1:A226, products!$E$1:E226)</f>
        <v>27.484999999999996</v>
      </c>
      <c r="M179">
        <f t="shared" si="4"/>
        <v>109.93999999999998</v>
      </c>
      <c r="N179" t="str">
        <f t="shared" si="5"/>
        <v>Robusta</v>
      </c>
      <c r="O179" t="str" cm="1">
        <f t="array" ref="O179">_xlfn.IFS(J179="M", "Medium", J179="L", "Light", J179="D", "Dark")</f>
        <v>Light</v>
      </c>
      <c r="P179" t="str">
        <f>_xlfn.XLOOKUP(Orders[[#This Row],[Customer ID]], customers!$A$2:$A$1001, customers!$I$2:$I$1001, 0)</f>
        <v>Yes</v>
      </c>
    </row>
    <row r="180" spans="1:16" x14ac:dyDescent="0.35">
      <c r="A180" s="2" t="s">
        <v>1492</v>
      </c>
      <c r="B180" s="3">
        <v>43746</v>
      </c>
      <c r="C180" s="2" t="s">
        <v>1493</v>
      </c>
      <c r="D180" t="s">
        <v>6140</v>
      </c>
      <c r="E180" s="2">
        <v>2</v>
      </c>
      <c r="F180" s="2" t="str" cm="1">
        <f t="array" ref="F180">_xlfn.XLOOKUP(C180, customers!$A$1:A1179, customers!$B$1:B1179, 0)</f>
        <v>Katerina Melloi</v>
      </c>
      <c r="G180" s="2" t="str">
        <f>IF(_xlfn.XLOOKUP(C180, customers!A179:A1179, customers!C179:C1179, 0)=0, "", _xlfn.XLOOKUP(C180, customers!A179:A1179, customers!C179:C1179, 0))</f>
        <v>kmelloi4y@imdb.com</v>
      </c>
      <c r="H180" s="2" t="str" cm="1">
        <f t="array" ref="H180">_xlfn.XLOOKUP(C180, customers!$A$1:A1179, customers!$G$1:G1179,, 0)</f>
        <v>United States</v>
      </c>
      <c r="I180" t="str" cm="1">
        <f t="array" ref="I180">_xlfn.XLOOKUP(orders!D180, products!$A$1:A227, products!$B$1:B227, 0)</f>
        <v>Ara</v>
      </c>
      <c r="J180" t="str" cm="1">
        <f t="array" ref="J180">_xlfn.XLOOKUP(D180, products!$A$1:A227, products!$C$1:C227, 0)</f>
        <v>L</v>
      </c>
      <c r="K180" s="4" cm="1">
        <f t="array" ref="K180">_xlfn.XLOOKUP(D180, products!$A$1:A227, products!$D$1:D227, 0)</f>
        <v>1</v>
      </c>
      <c r="L180" s="4" cm="1">
        <f t="array" ref="L180">_xlfn.XLOOKUP(D180, products!$A$1:A227, products!$E$1:E227)</f>
        <v>12.95</v>
      </c>
      <c r="M180">
        <f t="shared" si="4"/>
        <v>25.9</v>
      </c>
      <c r="N180" t="str">
        <f t="shared" si="5"/>
        <v>Arabica</v>
      </c>
      <c r="O180" t="str" cm="1">
        <f t="array" ref="O180">_xlfn.IFS(J180="M", "Medium", J180="L", "Light", J180="D", "Dark")</f>
        <v>Light</v>
      </c>
      <c r="P180" t="str">
        <f>_xlfn.XLOOKUP(Orders[[#This Row],[Customer ID]], customers!$A$2:$A$1001, customers!$I$2:$I$1001, 0)</f>
        <v>No</v>
      </c>
    </row>
    <row r="181" spans="1:16" x14ac:dyDescent="0.35">
      <c r="A181" s="2" t="s">
        <v>1498</v>
      </c>
      <c r="B181" s="3">
        <v>43830</v>
      </c>
      <c r="C181" s="2" t="s">
        <v>1499</v>
      </c>
      <c r="D181" t="s">
        <v>6154</v>
      </c>
      <c r="E181" s="2">
        <v>1</v>
      </c>
      <c r="F181" s="2" t="str" cm="1">
        <f t="array" ref="F181">_xlfn.XLOOKUP(C181, customers!$A$1:A1180, customers!$B$1:B1180, 0)</f>
        <v>Tiffany Scardafield</v>
      </c>
      <c r="G181" s="2" t="str">
        <f>IF(_xlfn.XLOOKUP(C181, customers!A180:A1180, customers!C180:C1180, 0)=0, "", _xlfn.XLOOKUP(C181, customers!A180:A1180, customers!C180:C1180, 0))</f>
        <v/>
      </c>
      <c r="H181" s="2" t="str" cm="1">
        <f t="array" ref="H181">_xlfn.XLOOKUP(C181, customers!$A$1:A1180, customers!$G$1:G1180,, 0)</f>
        <v>Ireland</v>
      </c>
      <c r="I181" t="str" cm="1">
        <f t="array" ref="I181">_xlfn.XLOOKUP(orders!D181, products!$A$1:A228, products!$B$1:B228, 0)</f>
        <v>Ara</v>
      </c>
      <c r="J181" t="str" cm="1">
        <f t="array" ref="J181">_xlfn.XLOOKUP(D181, products!$A$1:A228, products!$C$1:C228, 0)</f>
        <v>D</v>
      </c>
      <c r="K181" s="4" cm="1">
        <f t="array" ref="K181">_xlfn.XLOOKUP(D181, products!$A$1:A228, products!$D$1:D228, 0)</f>
        <v>0.2</v>
      </c>
      <c r="L181" s="4" cm="1">
        <f t="array" ref="L181">_xlfn.XLOOKUP(D181, products!$A$1:A228, products!$E$1:E228)</f>
        <v>2.9849999999999999</v>
      </c>
      <c r="M181">
        <f t="shared" si="4"/>
        <v>2.9849999999999999</v>
      </c>
      <c r="N181" t="str">
        <f t="shared" si="5"/>
        <v>Arabica</v>
      </c>
      <c r="O181" t="str" cm="1">
        <f t="array" ref="O181">_xlfn.IFS(J181="M", "Medium", J181="L", "Light", J181="D", "Dark")</f>
        <v>Dark</v>
      </c>
      <c r="P181" t="str">
        <f>_xlfn.XLOOKUP(Orders[[#This Row],[Customer ID]], customers!$A$2:$A$1001, customers!$I$2:$I$1001, 0)</f>
        <v>No</v>
      </c>
    </row>
    <row r="182" spans="1:16" x14ac:dyDescent="0.35">
      <c r="A182" s="2" t="s">
        <v>1503</v>
      </c>
      <c r="B182" s="3">
        <v>43910</v>
      </c>
      <c r="C182" s="2" t="s">
        <v>1504</v>
      </c>
      <c r="D182" t="s">
        <v>6184</v>
      </c>
      <c r="E182" s="2">
        <v>5</v>
      </c>
      <c r="F182" s="2" t="str" cm="1">
        <f t="array" ref="F182">_xlfn.XLOOKUP(C182, customers!$A$1:A1181, customers!$B$1:B1181, 0)</f>
        <v>Abrahan Mussen</v>
      </c>
      <c r="G182" s="2" t="str">
        <f>IF(_xlfn.XLOOKUP(C182, customers!A181:A1181, customers!C181:C1181, 0)=0, "", _xlfn.XLOOKUP(C182, customers!A181:A1181, customers!C181:C1181, 0))</f>
        <v>amussen50@51.la</v>
      </c>
      <c r="H182" s="2" t="str" cm="1">
        <f t="array" ref="H182">_xlfn.XLOOKUP(C182, customers!$A$1:A1181, customers!$G$1:G1181,, 0)</f>
        <v>United States</v>
      </c>
      <c r="I182" t="str" cm="1">
        <f t="array" ref="I182">_xlfn.XLOOKUP(orders!D182, products!$A$1:A229, products!$B$1:B229, 0)</f>
        <v>Exc</v>
      </c>
      <c r="J182" t="str" cm="1">
        <f t="array" ref="J182">_xlfn.XLOOKUP(D182, products!$A$1:A229, products!$C$1:C229, 0)</f>
        <v>L</v>
      </c>
      <c r="K182" s="4" cm="1">
        <f t="array" ref="K182">_xlfn.XLOOKUP(D182, products!$A$1:A229, products!$D$1:D229, 0)</f>
        <v>0.2</v>
      </c>
      <c r="L182" s="4" cm="1">
        <f t="array" ref="L182">_xlfn.XLOOKUP(D182, products!$A$1:A229, products!$E$1:E229)</f>
        <v>4.4550000000000001</v>
      </c>
      <c r="M182">
        <f t="shared" si="4"/>
        <v>22.274999999999999</v>
      </c>
      <c r="N182" t="str">
        <f t="shared" si="5"/>
        <v>Excelsa</v>
      </c>
      <c r="O182" t="str" cm="1">
        <f t="array" ref="O182">_xlfn.IFS(J182="M", "Medium", J182="L", "Light", J182="D", "Dark")</f>
        <v>Light</v>
      </c>
      <c r="P182" t="str">
        <f>_xlfn.XLOOKUP(Orders[[#This Row],[Customer ID]], customers!$A$2:$A$1001, customers!$I$2:$I$1001, 0)</f>
        <v>No</v>
      </c>
    </row>
    <row r="183" spans="1:16" x14ac:dyDescent="0.35">
      <c r="A183" s="2" t="s">
        <v>1503</v>
      </c>
      <c r="B183" s="3">
        <v>43910</v>
      </c>
      <c r="C183" s="2" t="s">
        <v>1504</v>
      </c>
      <c r="D183" t="s">
        <v>6158</v>
      </c>
      <c r="E183" s="2">
        <v>5</v>
      </c>
      <c r="F183" s="2" t="str" cm="1">
        <f t="array" ref="F183">_xlfn.XLOOKUP(C183, customers!$A$1:A1182, customers!$B$1:B1182, 0)</f>
        <v>Abrahan Mussen</v>
      </c>
      <c r="G183" s="2" t="str">
        <f>IF(_xlfn.XLOOKUP(C183, customers!A182:A1182, customers!C182:C1182, 0)=0, "", _xlfn.XLOOKUP(C183, customers!A182:A1182, customers!C182:C1182, 0))</f>
        <v>amussen50@51.la</v>
      </c>
      <c r="H183" s="2" t="str" cm="1">
        <f t="array" ref="H183">_xlfn.XLOOKUP(C183, customers!$A$1:A1182, customers!$G$1:G1182,, 0)</f>
        <v>United States</v>
      </c>
      <c r="I183" t="str" cm="1">
        <f t="array" ref="I183">_xlfn.XLOOKUP(orders!D183, products!$A$1:A230, products!$B$1:B230, 0)</f>
        <v>Ara</v>
      </c>
      <c r="J183" t="str" cm="1">
        <f t="array" ref="J183">_xlfn.XLOOKUP(D183, products!$A$1:A230, products!$C$1:C230, 0)</f>
        <v>D</v>
      </c>
      <c r="K183" s="4" cm="1">
        <f t="array" ref="K183">_xlfn.XLOOKUP(D183, products!$A$1:A230, products!$D$1:D230, 0)</f>
        <v>0.5</v>
      </c>
      <c r="L183" s="4" cm="1">
        <f t="array" ref="L183">_xlfn.XLOOKUP(D183, products!$A$1:A230, products!$E$1:E230)</f>
        <v>5.97</v>
      </c>
      <c r="M183">
        <f t="shared" si="4"/>
        <v>29.849999999999998</v>
      </c>
      <c r="N183" t="str">
        <f t="shared" si="5"/>
        <v>Arabica</v>
      </c>
      <c r="O183" t="str" cm="1">
        <f t="array" ref="O183">_xlfn.IFS(J183="M", "Medium", J183="L", "Light", J183="D", "Dark")</f>
        <v>Dark</v>
      </c>
      <c r="P183" t="str">
        <f>_xlfn.XLOOKUP(Orders[[#This Row],[Customer ID]], customers!$A$2:$A$1001, customers!$I$2:$I$1001, 0)</f>
        <v>No</v>
      </c>
    </row>
    <row r="184" spans="1:16" x14ac:dyDescent="0.35">
      <c r="A184" s="2" t="s">
        <v>1514</v>
      </c>
      <c r="B184" s="3">
        <v>44284</v>
      </c>
      <c r="C184" s="2" t="s">
        <v>1515</v>
      </c>
      <c r="D184" t="s">
        <v>6172</v>
      </c>
      <c r="E184" s="2">
        <v>6</v>
      </c>
      <c r="F184" s="2" t="str" cm="1">
        <f t="array" ref="F184">_xlfn.XLOOKUP(C184, customers!$A$1:A1183, customers!$B$1:B1183, 0)</f>
        <v>Anny Mundford</v>
      </c>
      <c r="G184" s="2" t="str">
        <f>IF(_xlfn.XLOOKUP(C184, customers!A183:A1183, customers!C183:C1183, 0)=0, "", _xlfn.XLOOKUP(C184, customers!A183:A1183, customers!C183:C1183, 0))</f>
        <v>amundford52@nbcnews.com</v>
      </c>
      <c r="H184" s="2" t="str" cm="1">
        <f t="array" ref="H184">_xlfn.XLOOKUP(C184, customers!$A$1:A1183, customers!$G$1:G1183,, 0)</f>
        <v>United States</v>
      </c>
      <c r="I184" t="str" cm="1">
        <f t="array" ref="I184">_xlfn.XLOOKUP(orders!D184, products!$A$1:A231, products!$B$1:B231, 0)</f>
        <v>Rob</v>
      </c>
      <c r="J184" t="str" cm="1">
        <f t="array" ref="J184">_xlfn.XLOOKUP(D184, products!$A$1:A231, products!$C$1:C231, 0)</f>
        <v>D</v>
      </c>
      <c r="K184" s="4" cm="1">
        <f t="array" ref="K184">_xlfn.XLOOKUP(D184, products!$A$1:A231, products!$D$1:D231, 0)</f>
        <v>0.5</v>
      </c>
      <c r="L184" s="4" cm="1">
        <f t="array" ref="L184">_xlfn.XLOOKUP(D184, products!$A$1:A231, products!$E$1:E231)</f>
        <v>5.3699999999999992</v>
      </c>
      <c r="M184">
        <f t="shared" si="4"/>
        <v>32.22</v>
      </c>
      <c r="N184" t="str">
        <f t="shared" si="5"/>
        <v>Robusta</v>
      </c>
      <c r="O184" t="str" cm="1">
        <f t="array" ref="O184">_xlfn.IFS(J184="M", "Medium", J184="L", "Light", J184="D", "Dark")</f>
        <v>Dark</v>
      </c>
      <c r="P184" t="str">
        <f>_xlfn.XLOOKUP(Orders[[#This Row],[Customer ID]], customers!$A$2:$A$1001, customers!$I$2:$I$1001, 0)</f>
        <v>No</v>
      </c>
    </row>
    <row r="185" spans="1:16" x14ac:dyDescent="0.35">
      <c r="A185" s="2" t="s">
        <v>1520</v>
      </c>
      <c r="B185" s="3">
        <v>44512</v>
      </c>
      <c r="C185" s="2" t="s">
        <v>1521</v>
      </c>
      <c r="D185" t="s">
        <v>6156</v>
      </c>
      <c r="E185" s="2">
        <v>2</v>
      </c>
      <c r="F185" s="2" t="str" cm="1">
        <f t="array" ref="F185">_xlfn.XLOOKUP(C185, customers!$A$1:A1184, customers!$B$1:B1184, 0)</f>
        <v>Tory Walas</v>
      </c>
      <c r="G185" s="2" t="str">
        <f>IF(_xlfn.XLOOKUP(C185, customers!A184:A1184, customers!C184:C1184, 0)=0, "", _xlfn.XLOOKUP(C185, customers!A184:A1184, customers!C184:C1184, 0))</f>
        <v>twalas53@google.ca</v>
      </c>
      <c r="H185" s="2" t="str" cm="1">
        <f t="array" ref="H185">_xlfn.XLOOKUP(C185, customers!$A$1:A1184, customers!$G$1:G1184,, 0)</f>
        <v>United States</v>
      </c>
      <c r="I185" t="str" cm="1">
        <f t="array" ref="I185">_xlfn.XLOOKUP(orders!D185, products!$A$1:A232, products!$B$1:B232, 0)</f>
        <v>Exc</v>
      </c>
      <c r="J185" t="str" cm="1">
        <f t="array" ref="J185">_xlfn.XLOOKUP(D185, products!$A$1:A232, products!$C$1:C232, 0)</f>
        <v>M</v>
      </c>
      <c r="K185" s="4" cm="1">
        <f t="array" ref="K185">_xlfn.XLOOKUP(D185, products!$A$1:A232, products!$D$1:D232, 0)</f>
        <v>0.2</v>
      </c>
      <c r="L185" s="4" cm="1">
        <f t="array" ref="L185">_xlfn.XLOOKUP(D185, products!$A$1:A232, products!$E$1:E232)</f>
        <v>4.125</v>
      </c>
      <c r="M185">
        <f t="shared" si="4"/>
        <v>8.25</v>
      </c>
      <c r="N185" t="str">
        <f t="shared" si="5"/>
        <v>Excelsa</v>
      </c>
      <c r="O185" t="str" cm="1">
        <f t="array" ref="O185">_xlfn.IFS(J185="M", "Medium", J185="L", "Light", J185="D", "Dark")</f>
        <v>Medium</v>
      </c>
      <c r="P185" t="str">
        <f>_xlfn.XLOOKUP(Orders[[#This Row],[Customer ID]], customers!$A$2:$A$1001, customers!$I$2:$I$1001, 0)</f>
        <v>No</v>
      </c>
    </row>
    <row r="186" spans="1:16" x14ac:dyDescent="0.35">
      <c r="A186" s="2" t="s">
        <v>1526</v>
      </c>
      <c r="B186" s="3">
        <v>44397</v>
      </c>
      <c r="C186" s="2" t="s">
        <v>1527</v>
      </c>
      <c r="D186" t="s">
        <v>6180</v>
      </c>
      <c r="E186" s="2">
        <v>4</v>
      </c>
      <c r="F186" s="2" t="str" cm="1">
        <f t="array" ref="F186">_xlfn.XLOOKUP(C186, customers!$A$1:A1185, customers!$B$1:B1185, 0)</f>
        <v>Isa Blazewicz</v>
      </c>
      <c r="G186" s="2" t="str">
        <f>IF(_xlfn.XLOOKUP(C186, customers!A185:A1185, customers!C185:C1185, 0)=0, "", _xlfn.XLOOKUP(C186, customers!A185:A1185, customers!C185:C1185, 0))</f>
        <v>iblazewicz54@thetimes.co.uk</v>
      </c>
      <c r="H186" s="2" t="str" cm="1">
        <f t="array" ref="H186">_xlfn.XLOOKUP(C186, customers!$A$1:A1185, customers!$G$1:G1185,, 0)</f>
        <v>United States</v>
      </c>
      <c r="I186" t="str" cm="1">
        <f t="array" ref="I186">_xlfn.XLOOKUP(orders!D186, products!$A$1:A233, products!$B$1:B233, 0)</f>
        <v>Ara</v>
      </c>
      <c r="J186" t="str" cm="1">
        <f t="array" ref="J186">_xlfn.XLOOKUP(D186, products!$A$1:A233, products!$C$1:C233, 0)</f>
        <v>L</v>
      </c>
      <c r="K186" s="4" cm="1">
        <f t="array" ref="K186">_xlfn.XLOOKUP(D186, products!$A$1:A233, products!$D$1:D233, 0)</f>
        <v>0.5</v>
      </c>
      <c r="L186" s="4" cm="1">
        <f t="array" ref="L186">_xlfn.XLOOKUP(D186, products!$A$1:A233, products!$E$1:E233)</f>
        <v>7.77</v>
      </c>
      <c r="M186">
        <f t="shared" si="4"/>
        <v>31.08</v>
      </c>
      <c r="N186" t="str">
        <f t="shared" si="5"/>
        <v>Arabica</v>
      </c>
      <c r="O186" t="str" cm="1">
        <f t="array" ref="O186">_xlfn.IFS(J186="M", "Medium", J186="L", "Light", J186="D", "Dark")</f>
        <v>Light</v>
      </c>
      <c r="P186" t="str">
        <f>_xlfn.XLOOKUP(Orders[[#This Row],[Customer ID]], customers!$A$2:$A$1001, customers!$I$2:$I$1001, 0)</f>
        <v>No</v>
      </c>
    </row>
    <row r="187" spans="1:16" x14ac:dyDescent="0.35">
      <c r="A187" s="2" t="s">
        <v>1532</v>
      </c>
      <c r="B187" s="3">
        <v>43483</v>
      </c>
      <c r="C187" s="2" t="s">
        <v>1533</v>
      </c>
      <c r="D187" t="s">
        <v>6144</v>
      </c>
      <c r="E187" s="2">
        <v>5</v>
      </c>
      <c r="F187" s="2" t="str" cm="1">
        <f t="array" ref="F187">_xlfn.XLOOKUP(C187, customers!$A$1:A1186, customers!$B$1:B1186, 0)</f>
        <v>Angie Rizzetti</v>
      </c>
      <c r="G187" s="2" t="str">
        <f>IF(_xlfn.XLOOKUP(C187, customers!A186:A1186, customers!C186:C1186, 0)=0, "", _xlfn.XLOOKUP(C187, customers!A186:A1186, customers!C186:C1186, 0))</f>
        <v>arizzetti55@naver.com</v>
      </c>
      <c r="H187" s="2" t="str" cm="1">
        <f t="array" ref="H187">_xlfn.XLOOKUP(C187, customers!$A$1:A1186, customers!$G$1:G1186,, 0)</f>
        <v>United States</v>
      </c>
      <c r="I187" t="str" cm="1">
        <f t="array" ref="I187">_xlfn.XLOOKUP(orders!D187, products!$A$1:A234, products!$B$1:B234, 0)</f>
        <v>Exc</v>
      </c>
      <c r="J187" t="str" cm="1">
        <f t="array" ref="J187">_xlfn.XLOOKUP(D187, products!$A$1:A234, products!$C$1:C234, 0)</f>
        <v>D</v>
      </c>
      <c r="K187" s="4" cm="1">
        <f t="array" ref="K187">_xlfn.XLOOKUP(D187, products!$A$1:A234, products!$D$1:D234, 0)</f>
        <v>0.5</v>
      </c>
      <c r="L187" s="4" cm="1">
        <f t="array" ref="L187">_xlfn.XLOOKUP(D187, products!$A$1:A234, products!$E$1:E234)</f>
        <v>7.29</v>
      </c>
      <c r="M187">
        <f t="shared" si="4"/>
        <v>36.450000000000003</v>
      </c>
      <c r="N187" t="str">
        <f t="shared" si="5"/>
        <v>Excelsa</v>
      </c>
      <c r="O187" t="str" cm="1">
        <f t="array" ref="O187">_xlfn.IFS(J187="M", "Medium", J187="L", "Light", J187="D", "Dark")</f>
        <v>Dark</v>
      </c>
      <c r="P187" t="str">
        <f>_xlfn.XLOOKUP(Orders[[#This Row],[Customer ID]], customers!$A$2:$A$1001, customers!$I$2:$I$1001, 0)</f>
        <v>Yes</v>
      </c>
    </row>
    <row r="188" spans="1:16" x14ac:dyDescent="0.35">
      <c r="A188" s="2" t="s">
        <v>1538</v>
      </c>
      <c r="B188" s="3">
        <v>43684</v>
      </c>
      <c r="C188" s="2" t="s">
        <v>1539</v>
      </c>
      <c r="D188" t="s">
        <v>6151</v>
      </c>
      <c r="E188" s="2">
        <v>3</v>
      </c>
      <c r="F188" s="2" t="str" cm="1">
        <f t="array" ref="F188">_xlfn.XLOOKUP(C188, customers!$A$1:A1187, customers!$B$1:B1187, 0)</f>
        <v>Mord Meriet</v>
      </c>
      <c r="G188" s="2" t="str">
        <f>IF(_xlfn.XLOOKUP(C188, customers!A187:A1187, customers!C187:C1187, 0)=0, "", _xlfn.XLOOKUP(C188, customers!A187:A1187, customers!C187:C1187, 0))</f>
        <v>mmeriet56@noaa.gov</v>
      </c>
      <c r="H188" s="2" t="str" cm="1">
        <f t="array" ref="H188">_xlfn.XLOOKUP(C188, customers!$A$1:A1187, customers!$G$1:G1187,, 0)</f>
        <v>United States</v>
      </c>
      <c r="I188" t="str" cm="1">
        <f t="array" ref="I188">_xlfn.XLOOKUP(orders!D188, products!$A$1:A235, products!$B$1:B235, 0)</f>
        <v>Rob</v>
      </c>
      <c r="J188" t="str" cm="1">
        <f t="array" ref="J188">_xlfn.XLOOKUP(D188, products!$A$1:A235, products!$C$1:C235, 0)</f>
        <v>M</v>
      </c>
      <c r="K188" s="4" cm="1">
        <f t="array" ref="K188">_xlfn.XLOOKUP(D188, products!$A$1:A235, products!$D$1:D235, 0)</f>
        <v>2.5</v>
      </c>
      <c r="L188" s="4" cm="1">
        <f t="array" ref="L188">_xlfn.XLOOKUP(D188, products!$A$1:A235, products!$E$1:E235)</f>
        <v>22.884999999999998</v>
      </c>
      <c r="M188">
        <f t="shared" si="4"/>
        <v>68.655000000000001</v>
      </c>
      <c r="N188" t="str">
        <f t="shared" si="5"/>
        <v>Robusta</v>
      </c>
      <c r="O188" t="str" cm="1">
        <f t="array" ref="O188">_xlfn.IFS(J188="M", "Medium", J188="L", "Light", J188="D", "Dark")</f>
        <v>Medium</v>
      </c>
      <c r="P188" t="str">
        <f>_xlfn.XLOOKUP(Orders[[#This Row],[Customer ID]], customers!$A$2:$A$1001, customers!$I$2:$I$1001, 0)</f>
        <v>No</v>
      </c>
    </row>
    <row r="189" spans="1:16" x14ac:dyDescent="0.35">
      <c r="A189" s="2" t="s">
        <v>1544</v>
      </c>
      <c r="B189" s="3">
        <v>44633</v>
      </c>
      <c r="C189" s="2" t="s">
        <v>1545</v>
      </c>
      <c r="D189" t="s">
        <v>6160</v>
      </c>
      <c r="E189" s="2">
        <v>5</v>
      </c>
      <c r="F189" s="2" t="str" cm="1">
        <f t="array" ref="F189">_xlfn.XLOOKUP(C189, customers!$A$1:A1188, customers!$B$1:B1188, 0)</f>
        <v>Lawrence Pratt</v>
      </c>
      <c r="G189" s="2" t="str">
        <f>IF(_xlfn.XLOOKUP(C189, customers!A188:A1188, customers!C188:C1188, 0)=0, "", _xlfn.XLOOKUP(C189, customers!A188:A1188, customers!C188:C1188, 0))</f>
        <v>lpratt57@netvibes.com</v>
      </c>
      <c r="H189" s="2" t="str" cm="1">
        <f t="array" ref="H189">_xlfn.XLOOKUP(C189, customers!$A$1:A1188, customers!$G$1:G1188,, 0)</f>
        <v>United States</v>
      </c>
      <c r="I189" t="str" cm="1">
        <f t="array" ref="I189">_xlfn.XLOOKUP(orders!D189, products!$A$1:A236, products!$B$1:B236, 0)</f>
        <v>Lib</v>
      </c>
      <c r="J189" t="str" cm="1">
        <f t="array" ref="J189">_xlfn.XLOOKUP(D189, products!$A$1:A236, products!$C$1:C236, 0)</f>
        <v>M</v>
      </c>
      <c r="K189" s="4" cm="1">
        <f t="array" ref="K189">_xlfn.XLOOKUP(D189, products!$A$1:A236, products!$D$1:D236, 0)</f>
        <v>0.5</v>
      </c>
      <c r="L189" s="4" cm="1">
        <f t="array" ref="L189">_xlfn.XLOOKUP(D189, products!$A$1:A236, products!$E$1:E236)</f>
        <v>8.73</v>
      </c>
      <c r="M189">
        <f t="shared" si="4"/>
        <v>43.650000000000006</v>
      </c>
      <c r="N189" t="str">
        <f t="shared" si="5"/>
        <v>Liberica</v>
      </c>
      <c r="O189" t="str" cm="1">
        <f t="array" ref="O189">_xlfn.IFS(J189="M", "Medium", J189="L", "Light", J189="D", "Dark")</f>
        <v>Medium</v>
      </c>
      <c r="P189" t="str">
        <f>_xlfn.XLOOKUP(Orders[[#This Row],[Customer ID]], customers!$A$2:$A$1001, customers!$I$2:$I$1001, 0)</f>
        <v>Yes</v>
      </c>
    </row>
    <row r="190" spans="1:16" x14ac:dyDescent="0.35">
      <c r="A190" s="2" t="s">
        <v>1549</v>
      </c>
      <c r="B190" s="3">
        <v>44698</v>
      </c>
      <c r="C190" s="2" t="s">
        <v>1550</v>
      </c>
      <c r="D190" t="s">
        <v>6184</v>
      </c>
      <c r="E190" s="2">
        <v>1</v>
      </c>
      <c r="F190" s="2" t="str" cm="1">
        <f t="array" ref="F190">_xlfn.XLOOKUP(C190, customers!$A$1:A1189, customers!$B$1:B1189, 0)</f>
        <v>Astrix Kitchingham</v>
      </c>
      <c r="G190" s="2" t="str">
        <f>IF(_xlfn.XLOOKUP(C190, customers!A189:A1189, customers!C189:C1189, 0)=0, "", _xlfn.XLOOKUP(C190, customers!A189:A1189, customers!C189:C1189, 0))</f>
        <v>akitchingham58@com.com</v>
      </c>
      <c r="H190" s="2" t="str" cm="1">
        <f t="array" ref="H190">_xlfn.XLOOKUP(C190, customers!$A$1:A1189, customers!$G$1:G1189,, 0)</f>
        <v>United States</v>
      </c>
      <c r="I190" t="str" cm="1">
        <f t="array" ref="I190">_xlfn.XLOOKUP(orders!D190, products!$A$1:A237, products!$B$1:B237, 0)</f>
        <v>Exc</v>
      </c>
      <c r="J190" t="str" cm="1">
        <f t="array" ref="J190">_xlfn.XLOOKUP(D190, products!$A$1:A237, products!$C$1:C237, 0)</f>
        <v>L</v>
      </c>
      <c r="K190" s="4" cm="1">
        <f t="array" ref="K190">_xlfn.XLOOKUP(D190, products!$A$1:A237, products!$D$1:D237, 0)</f>
        <v>0.2</v>
      </c>
      <c r="L190" s="4" cm="1">
        <f t="array" ref="L190">_xlfn.XLOOKUP(D190, products!$A$1:A237, products!$E$1:E237)</f>
        <v>4.4550000000000001</v>
      </c>
      <c r="M190">
        <f t="shared" si="4"/>
        <v>4.4550000000000001</v>
      </c>
      <c r="N190" t="str">
        <f t="shared" si="5"/>
        <v>Excelsa</v>
      </c>
      <c r="O190" t="str" cm="1">
        <f t="array" ref="O190">_xlfn.IFS(J190="M", "Medium", J190="L", "Light", J190="D", "Dark")</f>
        <v>Light</v>
      </c>
      <c r="P190" t="str">
        <f>_xlfn.XLOOKUP(Orders[[#This Row],[Customer ID]], customers!$A$2:$A$1001, customers!$I$2:$I$1001, 0)</f>
        <v>Yes</v>
      </c>
    </row>
    <row r="191" spans="1:16" x14ac:dyDescent="0.35">
      <c r="A191" s="2" t="s">
        <v>1555</v>
      </c>
      <c r="B191" s="3">
        <v>43813</v>
      </c>
      <c r="C191" s="2" t="s">
        <v>1556</v>
      </c>
      <c r="D191" t="s">
        <v>6162</v>
      </c>
      <c r="E191" s="2">
        <v>3</v>
      </c>
      <c r="F191" s="2" t="str" cm="1">
        <f t="array" ref="F191">_xlfn.XLOOKUP(C191, customers!$A$1:A1190, customers!$B$1:B1190, 0)</f>
        <v>Burnard Bartholin</v>
      </c>
      <c r="G191" s="2" t="str">
        <f>IF(_xlfn.XLOOKUP(C191, customers!A190:A1190, customers!C190:C1190, 0)=0, "", _xlfn.XLOOKUP(C191, customers!A190:A1190, customers!C190:C1190, 0))</f>
        <v>bbartholin59@xinhuanet.com</v>
      </c>
      <c r="H191" s="2" t="str" cm="1">
        <f t="array" ref="H191">_xlfn.XLOOKUP(C191, customers!$A$1:A1190, customers!$G$1:G1190,, 0)</f>
        <v>United States</v>
      </c>
      <c r="I191" t="str" cm="1">
        <f t="array" ref="I191">_xlfn.XLOOKUP(orders!D191, products!$A$1:A238, products!$B$1:B238, 0)</f>
        <v>Lib</v>
      </c>
      <c r="J191" t="str" cm="1">
        <f t="array" ref="J191">_xlfn.XLOOKUP(D191, products!$A$1:A238, products!$C$1:C238, 0)</f>
        <v>M</v>
      </c>
      <c r="K191" s="4" cm="1">
        <f t="array" ref="K191">_xlfn.XLOOKUP(D191, products!$A$1:A238, products!$D$1:D238, 0)</f>
        <v>1</v>
      </c>
      <c r="L191" s="4" cm="1">
        <f t="array" ref="L191">_xlfn.XLOOKUP(D191, products!$A$1:A238, products!$E$1:E238)</f>
        <v>14.55</v>
      </c>
      <c r="M191">
        <f t="shared" si="4"/>
        <v>43.650000000000006</v>
      </c>
      <c r="N191" t="str">
        <f t="shared" si="5"/>
        <v>Liberica</v>
      </c>
      <c r="O191" t="str" cm="1">
        <f t="array" ref="O191">_xlfn.IFS(J191="M", "Medium", J191="L", "Light", J191="D", "Dark")</f>
        <v>Medium</v>
      </c>
      <c r="P191" t="str">
        <f>_xlfn.XLOOKUP(Orders[[#This Row],[Customer ID]], customers!$A$2:$A$1001, customers!$I$2:$I$1001, 0)</f>
        <v>Yes</v>
      </c>
    </row>
    <row r="192" spans="1:16" x14ac:dyDescent="0.35">
      <c r="A192" s="2" t="s">
        <v>1561</v>
      </c>
      <c r="B192" s="3">
        <v>43845</v>
      </c>
      <c r="C192" s="2" t="s">
        <v>1562</v>
      </c>
      <c r="D192" t="s">
        <v>6181</v>
      </c>
      <c r="E192" s="2">
        <v>1</v>
      </c>
      <c r="F192" s="2" t="str" cm="1">
        <f t="array" ref="F192">_xlfn.XLOOKUP(C192, customers!$A$1:A1191, customers!$B$1:B1191, 0)</f>
        <v>Madelene Prinn</v>
      </c>
      <c r="G192" s="2" t="str">
        <f>IF(_xlfn.XLOOKUP(C192, customers!A191:A1191, customers!C191:C1191, 0)=0, "", _xlfn.XLOOKUP(C192, customers!A191:A1191, customers!C191:C1191, 0))</f>
        <v>mprinn5a@usa.gov</v>
      </c>
      <c r="H192" s="2" t="str" cm="1">
        <f t="array" ref="H192">_xlfn.XLOOKUP(C192, customers!$A$1:A1191, customers!$G$1:G1191,, 0)</f>
        <v>United States</v>
      </c>
      <c r="I192" t="str" cm="1">
        <f t="array" ref="I192">_xlfn.XLOOKUP(orders!D192, products!$A$1:A239, products!$B$1:B239, 0)</f>
        <v>Lib</v>
      </c>
      <c r="J192" t="str" cm="1">
        <f t="array" ref="J192">_xlfn.XLOOKUP(D192, products!$A$1:A239, products!$C$1:C239, 0)</f>
        <v>M</v>
      </c>
      <c r="K192" s="4" cm="1">
        <f t="array" ref="K192">_xlfn.XLOOKUP(D192, products!$A$1:A239, products!$D$1:D239, 0)</f>
        <v>2.5</v>
      </c>
      <c r="L192" s="4" cm="1">
        <f t="array" ref="L192">_xlfn.XLOOKUP(D192, products!$A$1:A239, products!$E$1:E239)</f>
        <v>33.464999999999996</v>
      </c>
      <c r="M192">
        <f t="shared" si="4"/>
        <v>33.464999999999996</v>
      </c>
      <c r="N192" t="str">
        <f t="shared" si="5"/>
        <v>Liberica</v>
      </c>
      <c r="O192" t="str" cm="1">
        <f t="array" ref="O192">_xlfn.IFS(J192="M", "Medium", J192="L", "Light", J192="D", "Dark")</f>
        <v>Medium</v>
      </c>
      <c r="P192" t="str">
        <f>_xlfn.XLOOKUP(Orders[[#This Row],[Customer ID]], customers!$A$2:$A$1001, customers!$I$2:$I$1001, 0)</f>
        <v>Yes</v>
      </c>
    </row>
    <row r="193" spans="1:16" x14ac:dyDescent="0.35">
      <c r="A193" s="2" t="s">
        <v>1567</v>
      </c>
      <c r="B193" s="3">
        <v>43567</v>
      </c>
      <c r="C193" s="2" t="s">
        <v>1568</v>
      </c>
      <c r="D193" t="s">
        <v>6150</v>
      </c>
      <c r="E193" s="2">
        <v>5</v>
      </c>
      <c r="F193" s="2" t="str" cm="1">
        <f t="array" ref="F193">_xlfn.XLOOKUP(C193, customers!$A$1:A1192, customers!$B$1:B1192, 0)</f>
        <v>Alisun Baudino</v>
      </c>
      <c r="G193" s="2" t="str">
        <f>IF(_xlfn.XLOOKUP(C193, customers!A192:A1192, customers!C192:C1192, 0)=0, "", _xlfn.XLOOKUP(C193, customers!A192:A1192, customers!C192:C1192, 0))</f>
        <v>abaudino5b@netvibes.com</v>
      </c>
      <c r="H193" s="2" t="str" cm="1">
        <f t="array" ref="H193">_xlfn.XLOOKUP(C193, customers!$A$1:A1192, customers!$G$1:G1192,, 0)</f>
        <v>United States</v>
      </c>
      <c r="I193" t="str" cm="1">
        <f t="array" ref="I193">_xlfn.XLOOKUP(orders!D193, products!$A$1:A240, products!$B$1:B240, 0)</f>
        <v>Lib</v>
      </c>
      <c r="J193" t="str" cm="1">
        <f t="array" ref="J193">_xlfn.XLOOKUP(D193, products!$A$1:A240, products!$C$1:C240, 0)</f>
        <v>D</v>
      </c>
      <c r="K193" s="4" cm="1">
        <f t="array" ref="K193">_xlfn.XLOOKUP(D193, products!$A$1:A240, products!$D$1:D240, 0)</f>
        <v>0.2</v>
      </c>
      <c r="L193" s="4" cm="1">
        <f t="array" ref="L193">_xlfn.XLOOKUP(D193, products!$A$1:A240, products!$E$1:E240)</f>
        <v>3.8849999999999998</v>
      </c>
      <c r="M193">
        <f t="shared" si="4"/>
        <v>19.424999999999997</v>
      </c>
      <c r="N193" t="str">
        <f t="shared" si="5"/>
        <v>Liberica</v>
      </c>
      <c r="O193" t="str" cm="1">
        <f t="array" ref="O193">_xlfn.IFS(J193="M", "Medium", J193="L", "Light", J193="D", "Dark")</f>
        <v>Dark</v>
      </c>
      <c r="P193" t="str">
        <f>_xlfn.XLOOKUP(Orders[[#This Row],[Customer ID]], customers!$A$2:$A$1001, customers!$I$2:$I$1001, 0)</f>
        <v>Yes</v>
      </c>
    </row>
    <row r="194" spans="1:16" x14ac:dyDescent="0.35">
      <c r="A194" s="2" t="s">
        <v>1573</v>
      </c>
      <c r="B194" s="3">
        <v>43919</v>
      </c>
      <c r="C194" s="2" t="s">
        <v>1574</v>
      </c>
      <c r="D194" t="s">
        <v>6183</v>
      </c>
      <c r="E194" s="2">
        <v>6</v>
      </c>
      <c r="F194" s="2" t="str" cm="1">
        <f t="array" ref="F194">_xlfn.XLOOKUP(C194, customers!$A$1:A1193, customers!$B$1:B1193, 0)</f>
        <v>Philipa Petrushanko</v>
      </c>
      <c r="G194" s="2" t="str">
        <f>IF(_xlfn.XLOOKUP(C194, customers!A193:A1193, customers!C193:C1193, 0)=0, "", _xlfn.XLOOKUP(C194, customers!A193:A1193, customers!C193:C1193, 0))</f>
        <v>ppetrushanko5c@blinklist.com</v>
      </c>
      <c r="H194" s="2" t="str" cm="1">
        <f t="array" ref="H194">_xlfn.XLOOKUP(C194, customers!$A$1:A1193, customers!$G$1:G1193,, 0)</f>
        <v>Ireland</v>
      </c>
      <c r="I194" t="str" cm="1">
        <f t="array" ref="I194">_xlfn.XLOOKUP(orders!D194, products!$A$1:A241, products!$B$1:B241, 0)</f>
        <v>Exc</v>
      </c>
      <c r="J194" t="str" cm="1">
        <f t="array" ref="J194">_xlfn.XLOOKUP(D194, products!$A$1:A241, products!$C$1:C241, 0)</f>
        <v>D</v>
      </c>
      <c r="K194" s="4" cm="1">
        <f t="array" ref="K194">_xlfn.XLOOKUP(D194, products!$A$1:A241, products!$D$1:D241, 0)</f>
        <v>1</v>
      </c>
      <c r="L194" s="4" cm="1">
        <f t="array" ref="L194">_xlfn.XLOOKUP(D194, products!$A$1:A241, products!$E$1:E241)</f>
        <v>12.15</v>
      </c>
      <c r="M194">
        <f t="shared" si="4"/>
        <v>72.900000000000006</v>
      </c>
      <c r="N194" t="str">
        <f t="shared" si="5"/>
        <v>Excelsa</v>
      </c>
      <c r="O194" t="str" cm="1">
        <f t="array" ref="O194">_xlfn.IFS(J194="M", "Medium", J194="L", "Light", J194="D", "Dark")</f>
        <v>Dark</v>
      </c>
      <c r="P194" t="str">
        <f>_xlfn.XLOOKUP(Orders[[#This Row],[Customer ID]], customers!$A$2:$A$1001, customers!$I$2:$I$1001, 0)</f>
        <v>Yes</v>
      </c>
    </row>
    <row r="195" spans="1:16" x14ac:dyDescent="0.35">
      <c r="A195" s="2" t="s">
        <v>1579</v>
      </c>
      <c r="B195" s="3">
        <v>44644</v>
      </c>
      <c r="C195" s="2" t="s">
        <v>1580</v>
      </c>
      <c r="D195" t="s">
        <v>6171</v>
      </c>
      <c r="E195" s="2">
        <v>3</v>
      </c>
      <c r="F195" s="2" t="str" cm="1">
        <f t="array" ref="F195">_xlfn.XLOOKUP(C195, customers!$A$1:A1194, customers!$B$1:B1194, 0)</f>
        <v>Kimberli Mustchin</v>
      </c>
      <c r="G195" s="2" t="str">
        <f>IF(_xlfn.XLOOKUP(C195, customers!A194:A1194, customers!C194:C1194, 0)=0, "", _xlfn.XLOOKUP(C195, customers!A194:A1194, customers!C194:C1194, 0))</f>
        <v/>
      </c>
      <c r="H195" s="2" t="str" cm="1">
        <f t="array" ref="H195">_xlfn.XLOOKUP(C195, customers!$A$1:A1194, customers!$G$1:G1194,, 0)</f>
        <v>United States</v>
      </c>
      <c r="I195" t="str" cm="1">
        <f t="array" ref="I195">_xlfn.XLOOKUP(orders!D195, products!$A$1:A242, products!$B$1:B242, 0)</f>
        <v>Exc</v>
      </c>
      <c r="J195" t="str" cm="1">
        <f t="array" ref="J195">_xlfn.XLOOKUP(D195, products!$A$1:A242, products!$C$1:C242, 0)</f>
        <v>L</v>
      </c>
      <c r="K195" s="4" cm="1">
        <f t="array" ref="K195">_xlfn.XLOOKUP(D195, products!$A$1:A242, products!$D$1:D242, 0)</f>
        <v>1</v>
      </c>
      <c r="L195" s="4" cm="1">
        <f t="array" ref="L195">_xlfn.XLOOKUP(D195, products!$A$1:A242, products!$E$1:E242)</f>
        <v>14.85</v>
      </c>
      <c r="M195">
        <f t="shared" ref="M195:M258" si="6">L195*E195</f>
        <v>44.55</v>
      </c>
      <c r="N195" t="str">
        <f t="shared" ref="N195:N258" si="7">IF(I195="Rob", "Robusta", IF(I195="Exc", "Excelsa", IF(I195="Ara", "Arabica", IF(I195="Lib", "Liberica", ""))))</f>
        <v>Excelsa</v>
      </c>
      <c r="O195" t="str" cm="1">
        <f t="array" ref="O195">_xlfn.IFS(J195="M", "Medium", J195="L", "Light", J195="D", "Dark")</f>
        <v>Light</v>
      </c>
      <c r="P195" t="str">
        <f>_xlfn.XLOOKUP(Orders[[#This Row],[Customer ID]], customers!$A$2:$A$1001, customers!$I$2:$I$1001, 0)</f>
        <v>No</v>
      </c>
    </row>
    <row r="196" spans="1:16" x14ac:dyDescent="0.35">
      <c r="A196" s="2" t="s">
        <v>1584</v>
      </c>
      <c r="B196" s="3">
        <v>44398</v>
      </c>
      <c r="C196" s="2" t="s">
        <v>1585</v>
      </c>
      <c r="D196" t="s">
        <v>6144</v>
      </c>
      <c r="E196" s="2">
        <v>5</v>
      </c>
      <c r="F196" s="2" t="str" cm="1">
        <f t="array" ref="F196">_xlfn.XLOOKUP(C196, customers!$A$1:A1195, customers!$B$1:B1195, 0)</f>
        <v>Emlynne Laird</v>
      </c>
      <c r="G196" s="2" t="str">
        <f>IF(_xlfn.XLOOKUP(C196, customers!A195:A1195, customers!C195:C1195, 0)=0, "", _xlfn.XLOOKUP(C196, customers!A195:A1195, customers!C195:C1195, 0))</f>
        <v>elaird5e@bing.com</v>
      </c>
      <c r="H196" s="2" t="str" cm="1">
        <f t="array" ref="H196">_xlfn.XLOOKUP(C196, customers!$A$1:A1195, customers!$G$1:G1195,, 0)</f>
        <v>United States</v>
      </c>
      <c r="I196" t="str" cm="1">
        <f t="array" ref="I196">_xlfn.XLOOKUP(orders!D196, products!$A$1:A243, products!$B$1:B243, 0)</f>
        <v>Exc</v>
      </c>
      <c r="J196" t="str" cm="1">
        <f t="array" ref="J196">_xlfn.XLOOKUP(D196, products!$A$1:A243, products!$C$1:C243, 0)</f>
        <v>D</v>
      </c>
      <c r="K196" s="4" cm="1">
        <f t="array" ref="K196">_xlfn.XLOOKUP(D196, products!$A$1:A243, products!$D$1:D243, 0)</f>
        <v>0.5</v>
      </c>
      <c r="L196" s="4" cm="1">
        <f t="array" ref="L196">_xlfn.XLOOKUP(D196, products!$A$1:A243, products!$E$1:E243)</f>
        <v>7.29</v>
      </c>
      <c r="M196">
        <f t="shared" si="6"/>
        <v>36.450000000000003</v>
      </c>
      <c r="N196" t="str">
        <f t="shared" si="7"/>
        <v>Excelsa</v>
      </c>
      <c r="O196" t="str" cm="1">
        <f t="array" ref="O196">_xlfn.IFS(J196="M", "Medium", J196="L", "Light", J196="D", "Dark")</f>
        <v>Dark</v>
      </c>
      <c r="P196" t="str">
        <f>_xlfn.XLOOKUP(Orders[[#This Row],[Customer ID]], customers!$A$2:$A$1001, customers!$I$2:$I$1001, 0)</f>
        <v>No</v>
      </c>
    </row>
    <row r="197" spans="1:16" x14ac:dyDescent="0.35">
      <c r="A197" s="2" t="s">
        <v>1590</v>
      </c>
      <c r="B197" s="3">
        <v>43683</v>
      </c>
      <c r="C197" s="2" t="s">
        <v>1591</v>
      </c>
      <c r="D197" t="s">
        <v>6140</v>
      </c>
      <c r="E197" s="2">
        <v>3</v>
      </c>
      <c r="F197" s="2" t="str" cm="1">
        <f t="array" ref="F197">_xlfn.XLOOKUP(C197, customers!$A$1:A1196, customers!$B$1:B1196, 0)</f>
        <v>Marlena Howsden</v>
      </c>
      <c r="G197" s="2" t="str">
        <f>IF(_xlfn.XLOOKUP(C197, customers!A196:A1196, customers!C196:C1196, 0)=0, "", _xlfn.XLOOKUP(C197, customers!A196:A1196, customers!C196:C1196, 0))</f>
        <v>mhowsden5f@infoseek.co.jp</v>
      </c>
      <c r="H197" s="2" t="str" cm="1">
        <f t="array" ref="H197">_xlfn.XLOOKUP(C197, customers!$A$1:A1196, customers!$G$1:G1196,, 0)</f>
        <v>United States</v>
      </c>
      <c r="I197" t="str" cm="1">
        <f t="array" ref="I197">_xlfn.XLOOKUP(orders!D197, products!$A$1:A244, products!$B$1:B244, 0)</f>
        <v>Ara</v>
      </c>
      <c r="J197" t="str" cm="1">
        <f t="array" ref="J197">_xlfn.XLOOKUP(D197, products!$A$1:A244, products!$C$1:C244, 0)</f>
        <v>L</v>
      </c>
      <c r="K197" s="4" cm="1">
        <f t="array" ref="K197">_xlfn.XLOOKUP(D197, products!$A$1:A244, products!$D$1:D244, 0)</f>
        <v>1</v>
      </c>
      <c r="L197" s="4" cm="1">
        <f t="array" ref="L197">_xlfn.XLOOKUP(D197, products!$A$1:A244, products!$E$1:E244)</f>
        <v>12.95</v>
      </c>
      <c r="M197">
        <f t="shared" si="6"/>
        <v>38.849999999999994</v>
      </c>
      <c r="N197" t="str">
        <f t="shared" si="7"/>
        <v>Arabica</v>
      </c>
      <c r="O197" t="str" cm="1">
        <f t="array" ref="O197">_xlfn.IFS(J197="M", "Medium", J197="L", "Light", J197="D", "Dark")</f>
        <v>Light</v>
      </c>
      <c r="P197" t="str">
        <f>_xlfn.XLOOKUP(Orders[[#This Row],[Customer ID]], customers!$A$2:$A$1001, customers!$I$2:$I$1001, 0)</f>
        <v>No</v>
      </c>
    </row>
    <row r="198" spans="1:16" x14ac:dyDescent="0.35">
      <c r="A198" s="2" t="s">
        <v>1596</v>
      </c>
      <c r="B198" s="3">
        <v>44339</v>
      </c>
      <c r="C198" s="2" t="s">
        <v>1597</v>
      </c>
      <c r="D198" t="s">
        <v>6176</v>
      </c>
      <c r="E198" s="2">
        <v>6</v>
      </c>
      <c r="F198" s="2" t="str" cm="1">
        <f t="array" ref="F198">_xlfn.XLOOKUP(C198, customers!$A$1:A1197, customers!$B$1:B1197, 0)</f>
        <v>Nealson Cuttler</v>
      </c>
      <c r="G198" s="2" t="str">
        <f>IF(_xlfn.XLOOKUP(C198, customers!A197:A1197, customers!C197:C1197, 0)=0, "", _xlfn.XLOOKUP(C198, customers!A197:A1197, customers!C197:C1197, 0))</f>
        <v>ncuttler5g@parallels.com</v>
      </c>
      <c r="H198" s="2" t="str" cm="1">
        <f t="array" ref="H198">_xlfn.XLOOKUP(C198, customers!$A$1:A1197, customers!$G$1:G1197,, 0)</f>
        <v>United States</v>
      </c>
      <c r="I198" t="str" cm="1">
        <f t="array" ref="I198">_xlfn.XLOOKUP(orders!D198, products!$A$1:A245, products!$B$1:B245, 0)</f>
        <v>Exc</v>
      </c>
      <c r="J198" t="str" cm="1">
        <f t="array" ref="J198">_xlfn.XLOOKUP(D198, products!$A$1:A245, products!$C$1:C245, 0)</f>
        <v>L</v>
      </c>
      <c r="K198" s="4" cm="1">
        <f t="array" ref="K198">_xlfn.XLOOKUP(D198, products!$A$1:A245, products!$D$1:D245, 0)</f>
        <v>0.5</v>
      </c>
      <c r="L198" s="4" cm="1">
        <f t="array" ref="L198">_xlfn.XLOOKUP(D198, products!$A$1:A245, products!$E$1:E245)</f>
        <v>8.91</v>
      </c>
      <c r="M198">
        <f t="shared" si="6"/>
        <v>53.46</v>
      </c>
      <c r="N198" t="str">
        <f t="shared" si="7"/>
        <v>Excelsa</v>
      </c>
      <c r="O198" t="str" cm="1">
        <f t="array" ref="O198">_xlfn.IFS(J198="M", "Medium", J198="L", "Light", J198="D", "Dark")</f>
        <v>Light</v>
      </c>
      <c r="P198" t="str">
        <f>_xlfn.XLOOKUP(Orders[[#This Row],[Customer ID]], customers!$A$2:$A$1001, customers!$I$2:$I$1001, 0)</f>
        <v>No</v>
      </c>
    </row>
    <row r="199" spans="1:16" x14ac:dyDescent="0.35">
      <c r="A199" s="2" t="s">
        <v>1596</v>
      </c>
      <c r="B199" s="3">
        <v>44339</v>
      </c>
      <c r="C199" s="2" t="s">
        <v>1597</v>
      </c>
      <c r="D199" t="s">
        <v>6165</v>
      </c>
      <c r="E199" s="2">
        <v>2</v>
      </c>
      <c r="F199" s="2" t="str" cm="1">
        <f t="array" ref="F199">_xlfn.XLOOKUP(C199, customers!$A$1:A1198, customers!$B$1:B1198, 0)</f>
        <v>Nealson Cuttler</v>
      </c>
      <c r="G199" s="2" t="str">
        <f>IF(_xlfn.XLOOKUP(C199, customers!A198:A1198, customers!C198:C1198, 0)=0, "", _xlfn.XLOOKUP(C199, customers!A198:A1198, customers!C198:C1198, 0))</f>
        <v>ncuttler5g@parallels.com</v>
      </c>
      <c r="H199" s="2" t="str" cm="1">
        <f t="array" ref="H199">_xlfn.XLOOKUP(C199, customers!$A$1:A1198, customers!$G$1:G1198,, 0)</f>
        <v>United States</v>
      </c>
      <c r="I199" t="str" cm="1">
        <f t="array" ref="I199">_xlfn.XLOOKUP(orders!D199, products!$A$1:A246, products!$B$1:B246, 0)</f>
        <v>Lib</v>
      </c>
      <c r="J199" t="str" cm="1">
        <f t="array" ref="J199">_xlfn.XLOOKUP(D199, products!$A$1:A246, products!$C$1:C246, 0)</f>
        <v>D</v>
      </c>
      <c r="K199" s="4" cm="1">
        <f t="array" ref="K199">_xlfn.XLOOKUP(D199, products!$A$1:A246, products!$D$1:D246, 0)</f>
        <v>2.5</v>
      </c>
      <c r="L199" s="4" cm="1">
        <f t="array" ref="L199">_xlfn.XLOOKUP(D199, products!$A$1:A246, products!$E$1:E246)</f>
        <v>29.784999999999997</v>
      </c>
      <c r="M199">
        <f t="shared" si="6"/>
        <v>59.569999999999993</v>
      </c>
      <c r="N199" t="str">
        <f t="shared" si="7"/>
        <v>Liberica</v>
      </c>
      <c r="O199" t="str" cm="1">
        <f t="array" ref="O199">_xlfn.IFS(J199="M", "Medium", J199="L", "Light", J199="D", "Dark")</f>
        <v>Dark</v>
      </c>
      <c r="P199" t="str">
        <f>_xlfn.XLOOKUP(Orders[[#This Row],[Customer ID]], customers!$A$2:$A$1001, customers!$I$2:$I$1001, 0)</f>
        <v>No</v>
      </c>
    </row>
    <row r="200" spans="1:16" x14ac:dyDescent="0.35">
      <c r="A200" s="2" t="s">
        <v>1596</v>
      </c>
      <c r="B200" s="3">
        <v>44339</v>
      </c>
      <c r="C200" s="2" t="s">
        <v>1597</v>
      </c>
      <c r="D200" t="s">
        <v>6165</v>
      </c>
      <c r="E200" s="2">
        <v>3</v>
      </c>
      <c r="F200" s="2" t="str" cm="1">
        <f t="array" ref="F200">_xlfn.XLOOKUP(C200, customers!$A$1:A1199, customers!$B$1:B1199, 0)</f>
        <v>Nealson Cuttler</v>
      </c>
      <c r="G200" s="2" t="str">
        <f>IF(_xlfn.XLOOKUP(C200, customers!A199:A1199, customers!C199:C1199, 0)=0, "", _xlfn.XLOOKUP(C200, customers!A199:A1199, customers!C199:C1199, 0))</f>
        <v/>
      </c>
      <c r="H200" s="2" t="str" cm="1">
        <f t="array" ref="H200">_xlfn.XLOOKUP(C200, customers!$A$1:A1199, customers!$G$1:G1199,, 0)</f>
        <v>United States</v>
      </c>
      <c r="I200" t="str" cm="1">
        <f t="array" ref="I200">_xlfn.XLOOKUP(orders!D200, products!$A$1:A247, products!$B$1:B247, 0)</f>
        <v>Lib</v>
      </c>
      <c r="J200" t="str" cm="1">
        <f t="array" ref="J200">_xlfn.XLOOKUP(D200, products!$A$1:A247, products!$C$1:C247, 0)</f>
        <v>D</v>
      </c>
      <c r="K200" s="4" cm="1">
        <f t="array" ref="K200">_xlfn.XLOOKUP(D200, products!$A$1:A247, products!$D$1:D247, 0)</f>
        <v>2.5</v>
      </c>
      <c r="L200" s="4" cm="1">
        <f t="array" ref="L200">_xlfn.XLOOKUP(D200, products!$A$1:A247, products!$E$1:E247)</f>
        <v>29.784999999999997</v>
      </c>
      <c r="M200">
        <f t="shared" si="6"/>
        <v>89.35499999999999</v>
      </c>
      <c r="N200" t="str">
        <f t="shared" si="7"/>
        <v>Liberica</v>
      </c>
      <c r="O200" t="str" cm="1">
        <f t="array" ref="O200">_xlfn.IFS(J200="M", "Medium", J200="L", "Light", J200="D", "Dark")</f>
        <v>Dark</v>
      </c>
      <c r="P200" t="str">
        <f>_xlfn.XLOOKUP(Orders[[#This Row],[Customer ID]], customers!$A$2:$A$1001, customers!$I$2:$I$1001, 0)</f>
        <v>No</v>
      </c>
    </row>
    <row r="201" spans="1:16" x14ac:dyDescent="0.35">
      <c r="A201" s="2" t="s">
        <v>1596</v>
      </c>
      <c r="B201" s="3">
        <v>44339</v>
      </c>
      <c r="C201" s="2" t="s">
        <v>1597</v>
      </c>
      <c r="D201" t="s">
        <v>6161</v>
      </c>
      <c r="E201" s="2">
        <v>4</v>
      </c>
      <c r="F201" s="2" t="str" cm="1">
        <f t="array" ref="F201">_xlfn.XLOOKUP(C201, customers!$A$1:A1200, customers!$B$1:B1200, 0)</f>
        <v>Nealson Cuttler</v>
      </c>
      <c r="G201" s="2" t="str">
        <f>IF(_xlfn.XLOOKUP(C201, customers!A200:A1200, customers!C200:C1200, 0)=0, "", _xlfn.XLOOKUP(C201, customers!A200:A1200, customers!C200:C1200, 0))</f>
        <v/>
      </c>
      <c r="H201" s="2" t="str" cm="1">
        <f t="array" ref="H201">_xlfn.XLOOKUP(C201, customers!$A$1:A1200, customers!$G$1:G1200,, 0)</f>
        <v>United States</v>
      </c>
      <c r="I201" t="str" cm="1">
        <f t="array" ref="I201">_xlfn.XLOOKUP(orders!D201, products!$A$1:A248, products!$B$1:B248, 0)</f>
        <v>Lib</v>
      </c>
      <c r="J201" t="str" cm="1">
        <f t="array" ref="J201">_xlfn.XLOOKUP(D201, products!$A$1:A248, products!$C$1:C248, 0)</f>
        <v>L</v>
      </c>
      <c r="K201" s="4" cm="1">
        <f t="array" ref="K201">_xlfn.XLOOKUP(D201, products!$A$1:A248, products!$D$1:D248, 0)</f>
        <v>0.5</v>
      </c>
      <c r="L201" s="4" cm="1">
        <f t="array" ref="L201">_xlfn.XLOOKUP(D201, products!$A$1:A248, products!$E$1:E248)</f>
        <v>9.51</v>
      </c>
      <c r="M201">
        <f t="shared" si="6"/>
        <v>38.04</v>
      </c>
      <c r="N201" t="str">
        <f t="shared" si="7"/>
        <v>Liberica</v>
      </c>
      <c r="O201" t="str" cm="1">
        <f t="array" ref="O201">_xlfn.IFS(J201="M", "Medium", J201="L", "Light", J201="D", "Dark")</f>
        <v>Light</v>
      </c>
      <c r="P201" t="str">
        <f>_xlfn.XLOOKUP(Orders[[#This Row],[Customer ID]], customers!$A$2:$A$1001, customers!$I$2:$I$1001, 0)</f>
        <v>No</v>
      </c>
    </row>
    <row r="202" spans="1:16" x14ac:dyDescent="0.35">
      <c r="A202" s="2" t="s">
        <v>1596</v>
      </c>
      <c r="B202" s="3">
        <v>44339</v>
      </c>
      <c r="C202" s="2" t="s">
        <v>1597</v>
      </c>
      <c r="D202" t="s">
        <v>6141</v>
      </c>
      <c r="E202" s="2">
        <v>3</v>
      </c>
      <c r="F202" s="2" t="str" cm="1">
        <f t="array" ref="F202">_xlfn.XLOOKUP(C202, customers!$A$1:A1201, customers!$B$1:B1201, 0)</f>
        <v>Nealson Cuttler</v>
      </c>
      <c r="G202" s="2" t="str">
        <f>IF(_xlfn.XLOOKUP(C202, customers!A201:A1201, customers!C201:C1201, 0)=0, "", _xlfn.XLOOKUP(C202, customers!A201:A1201, customers!C201:C1201, 0))</f>
        <v/>
      </c>
      <c r="H202" s="2" t="str" cm="1">
        <f t="array" ref="H202">_xlfn.XLOOKUP(C202, customers!$A$1:A1201, customers!$G$1:G1201,, 0)</f>
        <v>United States</v>
      </c>
      <c r="I202" t="str" cm="1">
        <f t="array" ref="I202">_xlfn.XLOOKUP(orders!D202, products!$A$1:A249, products!$B$1:B249, 0)</f>
        <v>Exc</v>
      </c>
      <c r="J202" t="str" cm="1">
        <f t="array" ref="J202">_xlfn.XLOOKUP(D202, products!$A$1:A249, products!$C$1:C249, 0)</f>
        <v>M</v>
      </c>
      <c r="K202" s="4" cm="1">
        <f t="array" ref="K202">_xlfn.XLOOKUP(D202, products!$A$1:A249, products!$D$1:D249, 0)</f>
        <v>1</v>
      </c>
      <c r="L202" s="4" cm="1">
        <f t="array" ref="L202">_xlfn.XLOOKUP(D202, products!$A$1:A249, products!$E$1:E249)</f>
        <v>13.75</v>
      </c>
      <c r="M202">
        <f t="shared" si="6"/>
        <v>41.25</v>
      </c>
      <c r="N202" t="str">
        <f t="shared" si="7"/>
        <v>Excelsa</v>
      </c>
      <c r="O202" t="str" cm="1">
        <f t="array" ref="O202">_xlfn.IFS(J202="M", "Medium", J202="L", "Light", J202="D", "Dark")</f>
        <v>Medium</v>
      </c>
      <c r="P202" t="str">
        <f>_xlfn.XLOOKUP(Orders[[#This Row],[Customer ID]], customers!$A$2:$A$1001, customers!$I$2:$I$1001, 0)</f>
        <v>No</v>
      </c>
    </row>
    <row r="203" spans="1:16" x14ac:dyDescent="0.35">
      <c r="A203" s="2" t="s">
        <v>1621</v>
      </c>
      <c r="B203" s="3">
        <v>44294</v>
      </c>
      <c r="C203" s="2" t="s">
        <v>1622</v>
      </c>
      <c r="D203" t="s">
        <v>6161</v>
      </c>
      <c r="E203" s="2">
        <v>6</v>
      </c>
      <c r="F203" s="2" t="str" cm="1">
        <f t="array" ref="F203">_xlfn.XLOOKUP(C203, customers!$A$1:A1202, customers!$B$1:B1202, 0)</f>
        <v>Adriana Lazarus</v>
      </c>
      <c r="G203" s="2" t="str">
        <f>IF(_xlfn.XLOOKUP(C203, customers!A202:A1202, customers!C202:C1202, 0)=0, "", _xlfn.XLOOKUP(C203, customers!A202:A1202, customers!C202:C1202, 0))</f>
        <v/>
      </c>
      <c r="H203" s="2" t="str" cm="1">
        <f t="array" ref="H203">_xlfn.XLOOKUP(C203, customers!$A$1:A1202, customers!$G$1:G1202,, 0)</f>
        <v>United States</v>
      </c>
      <c r="I203" t="str" cm="1">
        <f t="array" ref="I203">_xlfn.XLOOKUP(orders!D203, products!$A$1:A250, products!$B$1:B250, 0)</f>
        <v>Lib</v>
      </c>
      <c r="J203" t="str" cm="1">
        <f t="array" ref="J203">_xlfn.XLOOKUP(D203, products!$A$1:A250, products!$C$1:C250, 0)</f>
        <v>L</v>
      </c>
      <c r="K203" s="4" cm="1">
        <f t="array" ref="K203">_xlfn.XLOOKUP(D203, products!$A$1:A250, products!$D$1:D250, 0)</f>
        <v>0.5</v>
      </c>
      <c r="L203" s="4" cm="1">
        <f t="array" ref="L203">_xlfn.XLOOKUP(D203, products!$A$1:A250, products!$E$1:E250)</f>
        <v>9.51</v>
      </c>
      <c r="M203">
        <f t="shared" si="6"/>
        <v>57.06</v>
      </c>
      <c r="N203" t="str">
        <f t="shared" si="7"/>
        <v>Liberica</v>
      </c>
      <c r="O203" t="str" cm="1">
        <f t="array" ref="O203">_xlfn.IFS(J203="M", "Medium", J203="L", "Light", J203="D", "Dark")</f>
        <v>Light</v>
      </c>
      <c r="P203" t="str">
        <f>_xlfn.XLOOKUP(Orders[[#This Row],[Customer ID]], customers!$A$2:$A$1001, customers!$I$2:$I$1001, 0)</f>
        <v>No</v>
      </c>
    </row>
    <row r="204" spans="1:16" x14ac:dyDescent="0.35">
      <c r="A204" s="2" t="s">
        <v>1626</v>
      </c>
      <c r="B204" s="3">
        <v>44486</v>
      </c>
      <c r="C204" s="2" t="s">
        <v>1627</v>
      </c>
      <c r="D204" t="s">
        <v>6165</v>
      </c>
      <c r="E204" s="2">
        <v>6</v>
      </c>
      <c r="F204" s="2" t="str" cm="1">
        <f t="array" ref="F204">_xlfn.XLOOKUP(C204, customers!$A$1:A1203, customers!$B$1:B1203, 0)</f>
        <v>Tallie felip</v>
      </c>
      <c r="G204" s="2" t="str">
        <f>IF(_xlfn.XLOOKUP(C204, customers!A203:A1203, customers!C203:C1203, 0)=0, "", _xlfn.XLOOKUP(C204, customers!A203:A1203, customers!C203:C1203, 0))</f>
        <v>tfelip5m@typepad.com</v>
      </c>
      <c r="H204" s="2" t="str" cm="1">
        <f t="array" ref="H204">_xlfn.XLOOKUP(C204, customers!$A$1:A1203, customers!$G$1:G1203,, 0)</f>
        <v>United States</v>
      </c>
      <c r="I204" t="str" cm="1">
        <f t="array" ref="I204">_xlfn.XLOOKUP(orders!D204, products!$A$1:A251, products!$B$1:B251, 0)</f>
        <v>Lib</v>
      </c>
      <c r="J204" t="str" cm="1">
        <f t="array" ref="J204">_xlfn.XLOOKUP(D204, products!$A$1:A251, products!$C$1:C251, 0)</f>
        <v>D</v>
      </c>
      <c r="K204" s="4" cm="1">
        <f t="array" ref="K204">_xlfn.XLOOKUP(D204, products!$A$1:A251, products!$D$1:D251, 0)</f>
        <v>2.5</v>
      </c>
      <c r="L204" s="4" cm="1">
        <f t="array" ref="L204">_xlfn.XLOOKUP(D204, products!$A$1:A251, products!$E$1:E251)</f>
        <v>29.784999999999997</v>
      </c>
      <c r="M204">
        <f t="shared" si="6"/>
        <v>178.70999999999998</v>
      </c>
      <c r="N204" t="str">
        <f t="shared" si="7"/>
        <v>Liberica</v>
      </c>
      <c r="O204" t="str" cm="1">
        <f t="array" ref="O204">_xlfn.IFS(J204="M", "Medium", J204="L", "Light", J204="D", "Dark")</f>
        <v>Dark</v>
      </c>
      <c r="P204" t="str">
        <f>_xlfn.XLOOKUP(Orders[[#This Row],[Customer ID]], customers!$A$2:$A$1001, customers!$I$2:$I$1001, 0)</f>
        <v>Yes</v>
      </c>
    </row>
    <row r="205" spans="1:16" x14ac:dyDescent="0.35">
      <c r="A205" s="2" t="s">
        <v>1632</v>
      </c>
      <c r="B205" s="3">
        <v>44608</v>
      </c>
      <c r="C205" s="2" t="s">
        <v>1633</v>
      </c>
      <c r="D205" t="s">
        <v>6145</v>
      </c>
      <c r="E205" s="2">
        <v>1</v>
      </c>
      <c r="F205" s="2" t="str" cm="1">
        <f t="array" ref="F205">_xlfn.XLOOKUP(C205, customers!$A$1:A1204, customers!$B$1:B1204, 0)</f>
        <v>Vanna Le - Count</v>
      </c>
      <c r="G205" s="2" t="str">
        <f>IF(_xlfn.XLOOKUP(C205, customers!A204:A1204, customers!C204:C1204, 0)=0, "", _xlfn.XLOOKUP(C205, customers!A204:A1204, customers!C204:C1204, 0))</f>
        <v>vle5n@disqus.com</v>
      </c>
      <c r="H205" s="2" t="str" cm="1">
        <f t="array" ref="H205">_xlfn.XLOOKUP(C205, customers!$A$1:A1204, customers!$G$1:G1204,, 0)</f>
        <v>United States</v>
      </c>
      <c r="I205" t="str" cm="1">
        <f t="array" ref="I205">_xlfn.XLOOKUP(orders!D205, products!$A$1:A252, products!$B$1:B252, 0)</f>
        <v>Lib</v>
      </c>
      <c r="J205" t="str" cm="1">
        <f t="array" ref="J205">_xlfn.XLOOKUP(D205, products!$A$1:A252, products!$C$1:C252, 0)</f>
        <v>L</v>
      </c>
      <c r="K205" s="4" cm="1">
        <f t="array" ref="K205">_xlfn.XLOOKUP(D205, products!$A$1:A252, products!$D$1:D252, 0)</f>
        <v>0.2</v>
      </c>
      <c r="L205" s="4" cm="1">
        <f t="array" ref="L205">_xlfn.XLOOKUP(D205, products!$A$1:A252, products!$E$1:E252)</f>
        <v>4.7549999999999999</v>
      </c>
      <c r="M205">
        <f t="shared" si="6"/>
        <v>4.7549999999999999</v>
      </c>
      <c r="N205" t="str">
        <f t="shared" si="7"/>
        <v>Liberica</v>
      </c>
      <c r="O205" t="str" cm="1">
        <f t="array" ref="O205">_xlfn.IFS(J205="M", "Medium", J205="L", "Light", J205="D", "Dark")</f>
        <v>Light</v>
      </c>
      <c r="P205" t="str">
        <f>_xlfn.XLOOKUP(Orders[[#This Row],[Customer ID]], customers!$A$2:$A$1001, customers!$I$2:$I$1001, 0)</f>
        <v>No</v>
      </c>
    </row>
    <row r="206" spans="1:16" x14ac:dyDescent="0.35">
      <c r="A206" s="2" t="s">
        <v>1638</v>
      </c>
      <c r="B206" s="3">
        <v>44027</v>
      </c>
      <c r="C206" s="2" t="s">
        <v>1639</v>
      </c>
      <c r="D206" t="s">
        <v>6141</v>
      </c>
      <c r="E206" s="2">
        <v>6</v>
      </c>
      <c r="F206" s="2" t="str" cm="1">
        <f t="array" ref="F206">_xlfn.XLOOKUP(C206, customers!$A$1:A1205, customers!$B$1:B1205, 0)</f>
        <v>Sarette Ducarel</v>
      </c>
      <c r="G206" s="2" t="str">
        <f>IF(_xlfn.XLOOKUP(C206, customers!A205:A1205, customers!C205:C1205, 0)=0, "", _xlfn.XLOOKUP(C206, customers!A205:A1205, customers!C205:C1205, 0))</f>
        <v/>
      </c>
      <c r="H206" s="2" t="str" cm="1">
        <f t="array" ref="H206">_xlfn.XLOOKUP(C206, customers!$A$1:A1205, customers!$G$1:G1205,, 0)</f>
        <v>United States</v>
      </c>
      <c r="I206" t="str" cm="1">
        <f t="array" ref="I206">_xlfn.XLOOKUP(orders!D206, products!$A$1:A253, products!$B$1:B253, 0)</f>
        <v>Exc</v>
      </c>
      <c r="J206" t="str" cm="1">
        <f t="array" ref="J206">_xlfn.XLOOKUP(D206, products!$A$1:A253, products!$C$1:C253, 0)</f>
        <v>M</v>
      </c>
      <c r="K206" s="4" cm="1">
        <f t="array" ref="K206">_xlfn.XLOOKUP(D206, products!$A$1:A253, products!$D$1:D253, 0)</f>
        <v>1</v>
      </c>
      <c r="L206" s="4" cm="1">
        <f t="array" ref="L206">_xlfn.XLOOKUP(D206, products!$A$1:A253, products!$E$1:E253)</f>
        <v>13.75</v>
      </c>
      <c r="M206">
        <f t="shared" si="6"/>
        <v>82.5</v>
      </c>
      <c r="N206" t="str">
        <f t="shared" si="7"/>
        <v>Excelsa</v>
      </c>
      <c r="O206" t="str" cm="1">
        <f t="array" ref="O206">_xlfn.IFS(J206="M", "Medium", J206="L", "Light", J206="D", "Dark")</f>
        <v>Medium</v>
      </c>
      <c r="P206" t="str">
        <f>_xlfn.XLOOKUP(Orders[[#This Row],[Customer ID]], customers!$A$2:$A$1001, customers!$I$2:$I$1001, 0)</f>
        <v>No</v>
      </c>
    </row>
    <row r="207" spans="1:16" x14ac:dyDescent="0.35">
      <c r="A207" s="2" t="s">
        <v>1643</v>
      </c>
      <c r="B207" s="3">
        <v>43883</v>
      </c>
      <c r="C207" s="2" t="s">
        <v>1644</v>
      </c>
      <c r="D207" t="s">
        <v>6163</v>
      </c>
      <c r="E207" s="2">
        <v>3</v>
      </c>
      <c r="F207" s="2" t="str" cm="1">
        <f t="array" ref="F207">_xlfn.XLOOKUP(C207, customers!$A$1:A1206, customers!$B$1:B1206, 0)</f>
        <v>Kendra Glison</v>
      </c>
      <c r="G207" s="2" t="str">
        <f>IF(_xlfn.XLOOKUP(C207, customers!A206:A1206, customers!C206:C1206, 0)=0, "", _xlfn.XLOOKUP(C207, customers!A206:A1206, customers!C206:C1206, 0))</f>
        <v/>
      </c>
      <c r="H207" s="2" t="str" cm="1">
        <f t="array" ref="H207">_xlfn.XLOOKUP(C207, customers!$A$1:A1206, customers!$G$1:G1206,, 0)</f>
        <v>United States</v>
      </c>
      <c r="I207" t="str" cm="1">
        <f t="array" ref="I207">_xlfn.XLOOKUP(orders!D207, products!$A$1:A254, products!$B$1:B254, 0)</f>
        <v>Rob</v>
      </c>
      <c r="J207" t="str" cm="1">
        <f t="array" ref="J207">_xlfn.XLOOKUP(D207, products!$A$1:A254, products!$C$1:C254, 0)</f>
        <v>D</v>
      </c>
      <c r="K207" s="4" cm="1">
        <f t="array" ref="K207">_xlfn.XLOOKUP(D207, products!$A$1:A254, products!$D$1:D254, 0)</f>
        <v>0.2</v>
      </c>
      <c r="L207" s="4" cm="1">
        <f t="array" ref="L207">_xlfn.XLOOKUP(D207, products!$A$1:A254, products!$E$1:E254)</f>
        <v>2.6849999999999996</v>
      </c>
      <c r="M207">
        <f t="shared" si="6"/>
        <v>8.0549999999999997</v>
      </c>
      <c r="N207" t="str">
        <f t="shared" si="7"/>
        <v>Robusta</v>
      </c>
      <c r="O207" t="str" cm="1">
        <f t="array" ref="O207">_xlfn.IFS(J207="M", "Medium", J207="L", "Light", J207="D", "Dark")</f>
        <v>Dark</v>
      </c>
      <c r="P207" t="str">
        <f>_xlfn.XLOOKUP(Orders[[#This Row],[Customer ID]], customers!$A$2:$A$1001, customers!$I$2:$I$1001, 0)</f>
        <v>Yes</v>
      </c>
    </row>
    <row r="208" spans="1:16" x14ac:dyDescent="0.35">
      <c r="A208" s="2" t="s">
        <v>1648</v>
      </c>
      <c r="B208" s="3">
        <v>44211</v>
      </c>
      <c r="C208" s="2" t="s">
        <v>1649</v>
      </c>
      <c r="D208" t="s">
        <v>6155</v>
      </c>
      <c r="E208" s="2">
        <v>2</v>
      </c>
      <c r="F208" s="2" t="str" cm="1">
        <f t="array" ref="F208">_xlfn.XLOOKUP(C208, customers!$A$1:A1207, customers!$B$1:B1207, 0)</f>
        <v>Nertie Poolman</v>
      </c>
      <c r="G208" s="2" t="str">
        <f>IF(_xlfn.XLOOKUP(C208, customers!A207:A1207, customers!C207:C1207, 0)=0, "", _xlfn.XLOOKUP(C208, customers!A207:A1207, customers!C207:C1207, 0))</f>
        <v>npoolman5q@howstuffworks.com</v>
      </c>
      <c r="H208" s="2" t="str" cm="1">
        <f t="array" ref="H208">_xlfn.XLOOKUP(C208, customers!$A$1:A1207, customers!$G$1:G1207,, 0)</f>
        <v>United States</v>
      </c>
      <c r="I208" t="str" cm="1">
        <f t="array" ref="I208">_xlfn.XLOOKUP(orders!D208, products!$A$1:A255, products!$B$1:B255, 0)</f>
        <v>Ara</v>
      </c>
      <c r="J208" t="str" cm="1">
        <f t="array" ref="J208">_xlfn.XLOOKUP(D208, products!$A$1:A255, products!$C$1:C255, 0)</f>
        <v>M</v>
      </c>
      <c r="K208" s="4" cm="1">
        <f t="array" ref="K208">_xlfn.XLOOKUP(D208, products!$A$1:A255, products!$D$1:D255, 0)</f>
        <v>1</v>
      </c>
      <c r="L208" s="4" cm="1">
        <f t="array" ref="L208">_xlfn.XLOOKUP(D208, products!$A$1:A255, products!$E$1:E255)</f>
        <v>11.25</v>
      </c>
      <c r="M208">
        <f t="shared" si="6"/>
        <v>22.5</v>
      </c>
      <c r="N208" t="str">
        <f t="shared" si="7"/>
        <v>Arabica</v>
      </c>
      <c r="O208" t="str" cm="1">
        <f t="array" ref="O208">_xlfn.IFS(J208="M", "Medium", J208="L", "Light", J208="D", "Dark")</f>
        <v>Medium</v>
      </c>
      <c r="P208" t="str">
        <f>_xlfn.XLOOKUP(Orders[[#This Row],[Customer ID]], customers!$A$2:$A$1001, customers!$I$2:$I$1001, 0)</f>
        <v>No</v>
      </c>
    </row>
    <row r="209" spans="1:16" x14ac:dyDescent="0.35">
      <c r="A209" s="2" t="s">
        <v>1653</v>
      </c>
      <c r="B209" s="3">
        <v>44207</v>
      </c>
      <c r="C209" s="2" t="s">
        <v>1654</v>
      </c>
      <c r="D209" t="s">
        <v>6157</v>
      </c>
      <c r="E209" s="2">
        <v>6</v>
      </c>
      <c r="F209" s="2" t="str" cm="1">
        <f t="array" ref="F209">_xlfn.XLOOKUP(C209, customers!$A$1:A1208, customers!$B$1:B1208, 0)</f>
        <v>Orbadiah Duny</v>
      </c>
      <c r="G209" s="2" t="str">
        <f>IF(_xlfn.XLOOKUP(C209, customers!A208:A1208, customers!C208:C1208, 0)=0, "", _xlfn.XLOOKUP(C209, customers!A208:A1208, customers!C208:C1208, 0))</f>
        <v>oduny5r@constantcontact.com</v>
      </c>
      <c r="H209" s="2" t="str" cm="1">
        <f t="array" ref="H209">_xlfn.XLOOKUP(C209, customers!$A$1:A1208, customers!$G$1:G1208,, 0)</f>
        <v>United States</v>
      </c>
      <c r="I209" t="str" cm="1">
        <f t="array" ref="I209">_xlfn.XLOOKUP(orders!D209, products!$A$1:A256, products!$B$1:B256, 0)</f>
        <v>Ara</v>
      </c>
      <c r="J209" t="str" cm="1">
        <f t="array" ref="J209">_xlfn.XLOOKUP(D209, products!$A$1:A256, products!$C$1:C256, 0)</f>
        <v>M</v>
      </c>
      <c r="K209" s="4" cm="1">
        <f t="array" ref="K209">_xlfn.XLOOKUP(D209, products!$A$1:A256, products!$D$1:D256, 0)</f>
        <v>0.5</v>
      </c>
      <c r="L209" s="4" cm="1">
        <f t="array" ref="L209">_xlfn.XLOOKUP(D209, products!$A$1:A256, products!$E$1:E256)</f>
        <v>6.75</v>
      </c>
      <c r="M209">
        <f t="shared" si="6"/>
        <v>40.5</v>
      </c>
      <c r="N209" t="str">
        <f t="shared" si="7"/>
        <v>Arabica</v>
      </c>
      <c r="O209" t="str" cm="1">
        <f t="array" ref="O209">_xlfn.IFS(J209="M", "Medium", J209="L", "Light", J209="D", "Dark")</f>
        <v>Medium</v>
      </c>
      <c r="P209" t="str">
        <f>_xlfn.XLOOKUP(Orders[[#This Row],[Customer ID]], customers!$A$2:$A$1001, customers!$I$2:$I$1001, 0)</f>
        <v>Yes</v>
      </c>
    </row>
    <row r="210" spans="1:16" x14ac:dyDescent="0.35">
      <c r="A210" s="2" t="s">
        <v>1659</v>
      </c>
      <c r="B210" s="3">
        <v>44659</v>
      </c>
      <c r="C210" s="2" t="s">
        <v>1660</v>
      </c>
      <c r="D210" t="s">
        <v>6144</v>
      </c>
      <c r="E210" s="2">
        <v>4</v>
      </c>
      <c r="F210" s="2" t="str" cm="1">
        <f t="array" ref="F210">_xlfn.XLOOKUP(C210, customers!$A$1:A1209, customers!$B$1:B1209, 0)</f>
        <v>Constance Halfhide</v>
      </c>
      <c r="G210" s="2" t="str">
        <f>IF(_xlfn.XLOOKUP(C210, customers!A209:A1209, customers!C209:C1209, 0)=0, "", _xlfn.XLOOKUP(C210, customers!A209:A1209, customers!C209:C1209, 0))</f>
        <v>chalfhide5s@google.ru</v>
      </c>
      <c r="H210" s="2" t="str" cm="1">
        <f t="array" ref="H210">_xlfn.XLOOKUP(C210, customers!$A$1:A1209, customers!$G$1:G1209,, 0)</f>
        <v>Ireland</v>
      </c>
      <c r="I210" t="str" cm="1">
        <f t="array" ref="I210">_xlfn.XLOOKUP(orders!D210, products!$A$1:A257, products!$B$1:B257, 0)</f>
        <v>Exc</v>
      </c>
      <c r="J210" t="str" cm="1">
        <f t="array" ref="J210">_xlfn.XLOOKUP(D210, products!$A$1:A257, products!$C$1:C257, 0)</f>
        <v>D</v>
      </c>
      <c r="K210" s="4" cm="1">
        <f t="array" ref="K210">_xlfn.XLOOKUP(D210, products!$A$1:A257, products!$D$1:D257, 0)</f>
        <v>0.5</v>
      </c>
      <c r="L210" s="4" cm="1">
        <f t="array" ref="L210">_xlfn.XLOOKUP(D210, products!$A$1:A257, products!$E$1:E257)</f>
        <v>7.29</v>
      </c>
      <c r="M210">
        <f t="shared" si="6"/>
        <v>29.16</v>
      </c>
      <c r="N210" t="str">
        <f t="shared" si="7"/>
        <v>Excelsa</v>
      </c>
      <c r="O210" t="str" cm="1">
        <f t="array" ref="O210">_xlfn.IFS(J210="M", "Medium", J210="L", "Light", J210="D", "Dark")</f>
        <v>Dark</v>
      </c>
      <c r="P210" t="str">
        <f>_xlfn.XLOOKUP(Orders[[#This Row],[Customer ID]], customers!$A$2:$A$1001, customers!$I$2:$I$1001, 0)</f>
        <v>Yes</v>
      </c>
    </row>
    <row r="211" spans="1:16" x14ac:dyDescent="0.35">
      <c r="A211" s="2" t="s">
        <v>1665</v>
      </c>
      <c r="B211" s="3">
        <v>44105</v>
      </c>
      <c r="C211" s="2" t="s">
        <v>1666</v>
      </c>
      <c r="D211" t="s">
        <v>6157</v>
      </c>
      <c r="E211" s="2">
        <v>1</v>
      </c>
      <c r="F211" s="2" t="str" cm="1">
        <f t="array" ref="F211">_xlfn.XLOOKUP(C211, customers!$A$1:A1210, customers!$B$1:B1210, 0)</f>
        <v>Fransisco Malecky</v>
      </c>
      <c r="G211" s="2" t="str">
        <f>IF(_xlfn.XLOOKUP(C211, customers!A210:A1210, customers!C210:C1210, 0)=0, "", _xlfn.XLOOKUP(C211, customers!A210:A1210, customers!C210:C1210, 0))</f>
        <v>fmalecky5t@list-manage.com</v>
      </c>
      <c r="H211" s="2" t="str" cm="1">
        <f t="array" ref="H211">_xlfn.XLOOKUP(C211, customers!$A$1:A1210, customers!$G$1:G1210,, 0)</f>
        <v>United Kingdom</v>
      </c>
      <c r="I211" t="str" cm="1">
        <f t="array" ref="I211">_xlfn.XLOOKUP(orders!D211, products!$A$1:A258, products!$B$1:B258, 0)</f>
        <v>Ara</v>
      </c>
      <c r="J211" t="str" cm="1">
        <f t="array" ref="J211">_xlfn.XLOOKUP(D211, products!$A$1:A258, products!$C$1:C258, 0)</f>
        <v>M</v>
      </c>
      <c r="K211" s="4" cm="1">
        <f t="array" ref="K211">_xlfn.XLOOKUP(D211, products!$A$1:A258, products!$D$1:D258, 0)</f>
        <v>0.5</v>
      </c>
      <c r="L211" s="4" cm="1">
        <f t="array" ref="L211">_xlfn.XLOOKUP(D211, products!$A$1:A258, products!$E$1:E258)</f>
        <v>6.75</v>
      </c>
      <c r="M211">
        <f t="shared" si="6"/>
        <v>6.75</v>
      </c>
      <c r="N211" t="str">
        <f t="shared" si="7"/>
        <v>Arabica</v>
      </c>
      <c r="O211" t="str" cm="1">
        <f t="array" ref="O211">_xlfn.IFS(J211="M", "Medium", J211="L", "Light", J211="D", "Dark")</f>
        <v>Medium</v>
      </c>
      <c r="P211" t="str">
        <f>_xlfn.XLOOKUP(Orders[[#This Row],[Customer ID]], customers!$A$2:$A$1001, customers!$I$2:$I$1001, 0)</f>
        <v>No</v>
      </c>
    </row>
    <row r="212" spans="1:16" x14ac:dyDescent="0.35">
      <c r="A212" s="2" t="s">
        <v>1671</v>
      </c>
      <c r="B212" s="3">
        <v>43766</v>
      </c>
      <c r="C212" s="2" t="s">
        <v>1672</v>
      </c>
      <c r="D212" t="s">
        <v>6143</v>
      </c>
      <c r="E212" s="2">
        <v>4</v>
      </c>
      <c r="F212" s="2" t="str" cm="1">
        <f t="array" ref="F212">_xlfn.XLOOKUP(C212, customers!$A$1:A1211, customers!$B$1:B1211, 0)</f>
        <v>Anselma Attwater</v>
      </c>
      <c r="G212" s="2" t="str">
        <f>IF(_xlfn.XLOOKUP(C212, customers!A211:A1211, customers!C211:C1211, 0)=0, "", _xlfn.XLOOKUP(C212, customers!A211:A1211, customers!C211:C1211, 0))</f>
        <v>aattwater5u@wikia.com</v>
      </c>
      <c r="H212" s="2" t="str" cm="1">
        <f t="array" ref="H212">_xlfn.XLOOKUP(C212, customers!$A$1:A1211, customers!$G$1:G1211,, 0)</f>
        <v>United States</v>
      </c>
      <c r="I212" t="str" cm="1">
        <f t="array" ref="I212">_xlfn.XLOOKUP(orders!D212, products!$A$1:A259, products!$B$1:B259, 0)</f>
        <v>Lib</v>
      </c>
      <c r="J212" t="str" cm="1">
        <f t="array" ref="J212">_xlfn.XLOOKUP(D212, products!$A$1:A259, products!$C$1:C259, 0)</f>
        <v>D</v>
      </c>
      <c r="K212" s="4" cm="1">
        <f t="array" ref="K212">_xlfn.XLOOKUP(D212, products!$A$1:A259, products!$D$1:D259, 0)</f>
        <v>1</v>
      </c>
      <c r="L212" s="4" cm="1">
        <f t="array" ref="L212">_xlfn.XLOOKUP(D212, products!$A$1:A259, products!$E$1:E259)</f>
        <v>12.95</v>
      </c>
      <c r="M212">
        <f t="shared" si="6"/>
        <v>51.8</v>
      </c>
      <c r="N212" t="str">
        <f t="shared" si="7"/>
        <v>Liberica</v>
      </c>
      <c r="O212" t="str" cm="1">
        <f t="array" ref="O212">_xlfn.IFS(J212="M", "Medium", J212="L", "Light", J212="D", "Dark")</f>
        <v>Dark</v>
      </c>
      <c r="P212" t="str">
        <f>_xlfn.XLOOKUP(Orders[[#This Row],[Customer ID]], customers!$A$2:$A$1001, customers!$I$2:$I$1001, 0)</f>
        <v>Yes</v>
      </c>
    </row>
    <row r="213" spans="1:16" x14ac:dyDescent="0.35">
      <c r="A213" s="2" t="s">
        <v>1677</v>
      </c>
      <c r="B213" s="3">
        <v>44283</v>
      </c>
      <c r="C213" s="2" t="s">
        <v>1678</v>
      </c>
      <c r="D213" t="s">
        <v>6176</v>
      </c>
      <c r="E213" s="2">
        <v>6</v>
      </c>
      <c r="F213" s="2" t="str" cm="1">
        <f t="array" ref="F213">_xlfn.XLOOKUP(C213, customers!$A$1:A1212, customers!$B$1:B1212, 0)</f>
        <v>Minette Whellans</v>
      </c>
      <c r="G213" s="2" t="str">
        <f>IF(_xlfn.XLOOKUP(C213, customers!A212:A1212, customers!C212:C1212, 0)=0, "", _xlfn.XLOOKUP(C213, customers!A212:A1212, customers!C212:C1212, 0))</f>
        <v>mwhellans5v@mapquest.com</v>
      </c>
      <c r="H213" s="2" t="str" cm="1">
        <f t="array" ref="H213">_xlfn.XLOOKUP(C213, customers!$A$1:A1212, customers!$G$1:G1212,, 0)</f>
        <v>United States</v>
      </c>
      <c r="I213" t="str" cm="1">
        <f t="array" ref="I213">_xlfn.XLOOKUP(orders!D213, products!$A$1:A260, products!$B$1:B260, 0)</f>
        <v>Exc</v>
      </c>
      <c r="J213" t="str" cm="1">
        <f t="array" ref="J213">_xlfn.XLOOKUP(D213, products!$A$1:A260, products!$C$1:C260, 0)</f>
        <v>L</v>
      </c>
      <c r="K213" s="4" cm="1">
        <f t="array" ref="K213">_xlfn.XLOOKUP(D213, products!$A$1:A260, products!$D$1:D260, 0)</f>
        <v>0.5</v>
      </c>
      <c r="L213" s="4" cm="1">
        <f t="array" ref="L213">_xlfn.XLOOKUP(D213, products!$A$1:A260, products!$E$1:E260)</f>
        <v>8.91</v>
      </c>
      <c r="M213">
        <f t="shared" si="6"/>
        <v>53.46</v>
      </c>
      <c r="N213" t="str">
        <f t="shared" si="7"/>
        <v>Excelsa</v>
      </c>
      <c r="O213" t="str" cm="1">
        <f t="array" ref="O213">_xlfn.IFS(J213="M", "Medium", J213="L", "Light", J213="D", "Dark")</f>
        <v>Light</v>
      </c>
      <c r="P213" t="str">
        <f>_xlfn.XLOOKUP(Orders[[#This Row],[Customer ID]], customers!$A$2:$A$1001, customers!$I$2:$I$1001, 0)</f>
        <v>No</v>
      </c>
    </row>
    <row r="214" spans="1:16" x14ac:dyDescent="0.35">
      <c r="A214" s="2" t="s">
        <v>1682</v>
      </c>
      <c r="B214" s="3">
        <v>43921</v>
      </c>
      <c r="C214" s="2" t="s">
        <v>1683</v>
      </c>
      <c r="D214" t="s">
        <v>6153</v>
      </c>
      <c r="E214" s="2">
        <v>4</v>
      </c>
      <c r="F214" s="2" t="str" cm="1">
        <f t="array" ref="F214">_xlfn.XLOOKUP(C214, customers!$A$1:A1213, customers!$B$1:B1213, 0)</f>
        <v>Dael Camilletti</v>
      </c>
      <c r="G214" s="2" t="str">
        <f>IF(_xlfn.XLOOKUP(C214, customers!A213:A1213, customers!C213:C1213, 0)=0, "", _xlfn.XLOOKUP(C214, customers!A213:A1213, customers!C213:C1213, 0))</f>
        <v>dcamilletti5w@businesswire.com</v>
      </c>
      <c r="H214" s="2" t="str" cm="1">
        <f t="array" ref="H214">_xlfn.XLOOKUP(C214, customers!$A$1:A1213, customers!$G$1:G1213,, 0)</f>
        <v>United States</v>
      </c>
      <c r="I214" t="str" cm="1">
        <f t="array" ref="I214">_xlfn.XLOOKUP(orders!D214, products!$A$1:A261, products!$B$1:B261, 0)</f>
        <v>Exc</v>
      </c>
      <c r="J214" t="str" cm="1">
        <f t="array" ref="J214">_xlfn.XLOOKUP(D214, products!$A$1:A261, products!$C$1:C261, 0)</f>
        <v>D</v>
      </c>
      <c r="K214" s="4" cm="1">
        <f t="array" ref="K214">_xlfn.XLOOKUP(D214, products!$A$1:A261, products!$D$1:D261, 0)</f>
        <v>0.2</v>
      </c>
      <c r="L214" s="4" cm="1">
        <f t="array" ref="L214">_xlfn.XLOOKUP(D214, products!$A$1:A261, products!$E$1:E261)</f>
        <v>3.645</v>
      </c>
      <c r="M214">
        <f t="shared" si="6"/>
        <v>14.58</v>
      </c>
      <c r="N214" t="str">
        <f t="shared" si="7"/>
        <v>Excelsa</v>
      </c>
      <c r="O214" t="str" cm="1">
        <f t="array" ref="O214">_xlfn.IFS(J214="M", "Medium", J214="L", "Light", J214="D", "Dark")</f>
        <v>Dark</v>
      </c>
      <c r="P214" t="str">
        <f>_xlfn.XLOOKUP(Orders[[#This Row],[Customer ID]], customers!$A$2:$A$1001, customers!$I$2:$I$1001, 0)</f>
        <v>Yes</v>
      </c>
    </row>
    <row r="215" spans="1:16" x14ac:dyDescent="0.35">
      <c r="A215" s="2" t="s">
        <v>1688</v>
      </c>
      <c r="B215" s="3">
        <v>44646</v>
      </c>
      <c r="C215" s="2" t="s">
        <v>1689</v>
      </c>
      <c r="D215" t="s">
        <v>6149</v>
      </c>
      <c r="E215" s="2">
        <v>1</v>
      </c>
      <c r="F215" s="2" t="str" cm="1">
        <f t="array" ref="F215">_xlfn.XLOOKUP(C215, customers!$A$1:A1214, customers!$B$1:B1214, 0)</f>
        <v>Emiline Galgey</v>
      </c>
      <c r="G215" s="2" t="str">
        <f>IF(_xlfn.XLOOKUP(C215, customers!A214:A1214, customers!C214:C1214, 0)=0, "", _xlfn.XLOOKUP(C215, customers!A214:A1214, customers!C214:C1214, 0))</f>
        <v>egalgey5x@wufoo.com</v>
      </c>
      <c r="H215" s="2" t="str" cm="1">
        <f t="array" ref="H215">_xlfn.XLOOKUP(C215, customers!$A$1:A1214, customers!$G$1:G1214,, 0)</f>
        <v>United States</v>
      </c>
      <c r="I215" t="str" cm="1">
        <f t="array" ref="I215">_xlfn.XLOOKUP(orders!D215, products!$A$1:A262, products!$B$1:B262, 0)</f>
        <v>Rob</v>
      </c>
      <c r="J215" t="str" cm="1">
        <f t="array" ref="J215">_xlfn.XLOOKUP(D215, products!$A$1:A262, products!$C$1:C262, 0)</f>
        <v>D</v>
      </c>
      <c r="K215" s="4" cm="1">
        <f t="array" ref="K215">_xlfn.XLOOKUP(D215, products!$A$1:A262, products!$D$1:D262, 0)</f>
        <v>2.5</v>
      </c>
      <c r="L215" s="4" cm="1">
        <f t="array" ref="L215">_xlfn.XLOOKUP(D215, products!$A$1:A262, products!$E$1:E262)</f>
        <v>20.584999999999997</v>
      </c>
      <c r="M215">
        <f t="shared" si="6"/>
        <v>20.584999999999997</v>
      </c>
      <c r="N215" t="str">
        <f t="shared" si="7"/>
        <v>Robusta</v>
      </c>
      <c r="O215" t="str" cm="1">
        <f t="array" ref="O215">_xlfn.IFS(J215="M", "Medium", J215="L", "Light", J215="D", "Dark")</f>
        <v>Dark</v>
      </c>
      <c r="P215" t="str">
        <f>_xlfn.XLOOKUP(Orders[[#This Row],[Customer ID]], customers!$A$2:$A$1001, customers!$I$2:$I$1001, 0)</f>
        <v>No</v>
      </c>
    </row>
    <row r="216" spans="1:16" x14ac:dyDescent="0.35">
      <c r="A216" s="2" t="s">
        <v>1694</v>
      </c>
      <c r="B216" s="3">
        <v>43775</v>
      </c>
      <c r="C216" s="2" t="s">
        <v>1695</v>
      </c>
      <c r="D216" t="s">
        <v>6170</v>
      </c>
      <c r="E216" s="2">
        <v>2</v>
      </c>
      <c r="F216" s="2" t="str" cm="1">
        <f t="array" ref="F216">_xlfn.XLOOKUP(C216, customers!$A$1:A1215, customers!$B$1:B1215, 0)</f>
        <v>Murdock Hame</v>
      </c>
      <c r="G216" s="2" t="str">
        <f>IF(_xlfn.XLOOKUP(C216, customers!A215:A1215, customers!C215:C1215, 0)=0, "", _xlfn.XLOOKUP(C216, customers!A215:A1215, customers!C215:C1215, 0))</f>
        <v>mhame5y@newsvine.com</v>
      </c>
      <c r="H216" s="2" t="str" cm="1">
        <f t="array" ref="H216">_xlfn.XLOOKUP(C216, customers!$A$1:A1215, customers!$G$1:G1215,, 0)</f>
        <v>Ireland</v>
      </c>
      <c r="I216" t="str" cm="1">
        <f t="array" ref="I216">_xlfn.XLOOKUP(orders!D216, products!$A$1:A263, products!$B$1:B263, 0)</f>
        <v>Lib</v>
      </c>
      <c r="J216" t="str" cm="1">
        <f t="array" ref="J216">_xlfn.XLOOKUP(D216, products!$A$1:A263, products!$C$1:C263, 0)</f>
        <v>L</v>
      </c>
      <c r="K216" s="4" cm="1">
        <f t="array" ref="K216">_xlfn.XLOOKUP(D216, products!$A$1:A263, products!$D$1:D263, 0)</f>
        <v>1</v>
      </c>
      <c r="L216" s="4" cm="1">
        <f t="array" ref="L216">_xlfn.XLOOKUP(D216, products!$A$1:A263, products!$E$1:E263)</f>
        <v>15.85</v>
      </c>
      <c r="M216">
        <f t="shared" si="6"/>
        <v>31.7</v>
      </c>
      <c r="N216" t="str">
        <f t="shared" si="7"/>
        <v>Liberica</v>
      </c>
      <c r="O216" t="str" cm="1">
        <f t="array" ref="O216">_xlfn.IFS(J216="M", "Medium", J216="L", "Light", J216="D", "Dark")</f>
        <v>Light</v>
      </c>
      <c r="P216" t="str">
        <f>_xlfn.XLOOKUP(Orders[[#This Row],[Customer ID]], customers!$A$2:$A$1001, customers!$I$2:$I$1001, 0)</f>
        <v>No</v>
      </c>
    </row>
    <row r="217" spans="1:16" x14ac:dyDescent="0.35">
      <c r="A217" s="2" t="s">
        <v>1701</v>
      </c>
      <c r="B217" s="3">
        <v>43829</v>
      </c>
      <c r="C217" s="2" t="s">
        <v>1702</v>
      </c>
      <c r="D217" t="s">
        <v>6150</v>
      </c>
      <c r="E217" s="2">
        <v>6</v>
      </c>
      <c r="F217" s="2" t="str" cm="1">
        <f t="array" ref="F217">_xlfn.XLOOKUP(C217, customers!$A$1:A1216, customers!$B$1:B1216, 0)</f>
        <v>Ilka Gurnee</v>
      </c>
      <c r="G217" s="2" t="str">
        <f>IF(_xlfn.XLOOKUP(C217, customers!A216:A1216, customers!C216:C1216, 0)=0, "", _xlfn.XLOOKUP(C217, customers!A216:A1216, customers!C216:C1216, 0))</f>
        <v>igurnee5z@usnews.com</v>
      </c>
      <c r="H217" s="2" t="str" cm="1">
        <f t="array" ref="H217">_xlfn.XLOOKUP(C217, customers!$A$1:A1216, customers!$G$1:G1216,, 0)</f>
        <v>United States</v>
      </c>
      <c r="I217" t="str" cm="1">
        <f t="array" ref="I217">_xlfn.XLOOKUP(orders!D217, products!$A$1:A264, products!$B$1:B264, 0)</f>
        <v>Lib</v>
      </c>
      <c r="J217" t="str" cm="1">
        <f t="array" ref="J217">_xlfn.XLOOKUP(D217, products!$A$1:A264, products!$C$1:C264, 0)</f>
        <v>D</v>
      </c>
      <c r="K217" s="4" cm="1">
        <f t="array" ref="K217">_xlfn.XLOOKUP(D217, products!$A$1:A264, products!$D$1:D264, 0)</f>
        <v>0.2</v>
      </c>
      <c r="L217" s="4" cm="1">
        <f t="array" ref="L217">_xlfn.XLOOKUP(D217, products!$A$1:A264, products!$E$1:E264)</f>
        <v>3.8849999999999998</v>
      </c>
      <c r="M217">
        <f t="shared" si="6"/>
        <v>23.31</v>
      </c>
      <c r="N217" t="str">
        <f t="shared" si="7"/>
        <v>Liberica</v>
      </c>
      <c r="O217" t="str" cm="1">
        <f t="array" ref="O217">_xlfn.IFS(J217="M", "Medium", J217="L", "Light", J217="D", "Dark")</f>
        <v>Dark</v>
      </c>
      <c r="P217" t="str">
        <f>_xlfn.XLOOKUP(Orders[[#This Row],[Customer ID]], customers!$A$2:$A$1001, customers!$I$2:$I$1001, 0)</f>
        <v>No</v>
      </c>
    </row>
    <row r="218" spans="1:16" x14ac:dyDescent="0.35">
      <c r="A218" s="2" t="s">
        <v>1707</v>
      </c>
      <c r="B218" s="3">
        <v>44470</v>
      </c>
      <c r="C218" s="2" t="s">
        <v>1708</v>
      </c>
      <c r="D218" t="s">
        <v>6162</v>
      </c>
      <c r="E218" s="2">
        <v>4</v>
      </c>
      <c r="F218" s="2" t="str" cm="1">
        <f t="array" ref="F218">_xlfn.XLOOKUP(C218, customers!$A$1:A1217, customers!$B$1:B1217, 0)</f>
        <v>Alfy Snowding</v>
      </c>
      <c r="G218" s="2" t="str">
        <f>IF(_xlfn.XLOOKUP(C218, customers!A217:A1217, customers!C217:C1217, 0)=0, "", _xlfn.XLOOKUP(C218, customers!A217:A1217, customers!C217:C1217, 0))</f>
        <v>asnowding60@comsenz.com</v>
      </c>
      <c r="H218" s="2" t="str" cm="1">
        <f t="array" ref="H218">_xlfn.XLOOKUP(C218, customers!$A$1:A1217, customers!$G$1:G1217,, 0)</f>
        <v>United States</v>
      </c>
      <c r="I218" t="str" cm="1">
        <f t="array" ref="I218">_xlfn.XLOOKUP(orders!D218, products!$A$1:A265, products!$B$1:B265, 0)</f>
        <v>Lib</v>
      </c>
      <c r="J218" t="str" cm="1">
        <f t="array" ref="J218">_xlfn.XLOOKUP(D218, products!$A$1:A265, products!$C$1:C265, 0)</f>
        <v>M</v>
      </c>
      <c r="K218" s="4" cm="1">
        <f t="array" ref="K218">_xlfn.XLOOKUP(D218, products!$A$1:A265, products!$D$1:D265, 0)</f>
        <v>1</v>
      </c>
      <c r="L218" s="4" cm="1">
        <f t="array" ref="L218">_xlfn.XLOOKUP(D218, products!$A$1:A265, products!$E$1:E265)</f>
        <v>14.55</v>
      </c>
      <c r="M218">
        <f t="shared" si="6"/>
        <v>58.2</v>
      </c>
      <c r="N218" t="str">
        <f t="shared" si="7"/>
        <v>Liberica</v>
      </c>
      <c r="O218" t="str" cm="1">
        <f t="array" ref="O218">_xlfn.IFS(J218="M", "Medium", J218="L", "Light", J218="D", "Dark")</f>
        <v>Medium</v>
      </c>
      <c r="P218" t="str">
        <f>_xlfn.XLOOKUP(Orders[[#This Row],[Customer ID]], customers!$A$2:$A$1001, customers!$I$2:$I$1001, 0)</f>
        <v>Yes</v>
      </c>
    </row>
    <row r="219" spans="1:16" x14ac:dyDescent="0.35">
      <c r="A219" s="2" t="s">
        <v>1713</v>
      </c>
      <c r="B219" s="3">
        <v>44174</v>
      </c>
      <c r="C219" s="2" t="s">
        <v>1714</v>
      </c>
      <c r="D219" t="s">
        <v>6176</v>
      </c>
      <c r="E219" s="2">
        <v>4</v>
      </c>
      <c r="F219" s="2" t="str" cm="1">
        <f t="array" ref="F219">_xlfn.XLOOKUP(C219, customers!$A$1:A1218, customers!$B$1:B1218, 0)</f>
        <v>Godfry Poinsett</v>
      </c>
      <c r="G219" s="2" t="str">
        <f>IF(_xlfn.XLOOKUP(C219, customers!A218:A1218, customers!C218:C1218, 0)=0, "", _xlfn.XLOOKUP(C219, customers!A218:A1218, customers!C218:C1218, 0))</f>
        <v>gpoinsett61@berkeley.edu</v>
      </c>
      <c r="H219" s="2" t="str" cm="1">
        <f t="array" ref="H219">_xlfn.XLOOKUP(C219, customers!$A$1:A1218, customers!$G$1:G1218,, 0)</f>
        <v>United States</v>
      </c>
      <c r="I219" t="str" cm="1">
        <f t="array" ref="I219">_xlfn.XLOOKUP(orders!D219, products!$A$1:A266, products!$B$1:B266, 0)</f>
        <v>Exc</v>
      </c>
      <c r="J219" t="str" cm="1">
        <f t="array" ref="J219">_xlfn.XLOOKUP(D219, products!$A$1:A266, products!$C$1:C266, 0)</f>
        <v>L</v>
      </c>
      <c r="K219" s="4" cm="1">
        <f t="array" ref="K219">_xlfn.XLOOKUP(D219, products!$A$1:A266, products!$D$1:D266, 0)</f>
        <v>0.5</v>
      </c>
      <c r="L219" s="4" cm="1">
        <f t="array" ref="L219">_xlfn.XLOOKUP(D219, products!$A$1:A266, products!$E$1:E266)</f>
        <v>8.91</v>
      </c>
      <c r="M219">
        <f t="shared" si="6"/>
        <v>35.64</v>
      </c>
      <c r="N219" t="str">
        <f t="shared" si="7"/>
        <v>Excelsa</v>
      </c>
      <c r="O219" t="str" cm="1">
        <f t="array" ref="O219">_xlfn.IFS(J219="M", "Medium", J219="L", "Light", J219="D", "Dark")</f>
        <v>Light</v>
      </c>
      <c r="P219" t="str">
        <f>_xlfn.XLOOKUP(Orders[[#This Row],[Customer ID]], customers!$A$2:$A$1001, customers!$I$2:$I$1001, 0)</f>
        <v>No</v>
      </c>
    </row>
    <row r="220" spans="1:16" x14ac:dyDescent="0.35">
      <c r="A220" s="2" t="s">
        <v>1719</v>
      </c>
      <c r="B220" s="3">
        <v>44317</v>
      </c>
      <c r="C220" s="2" t="s">
        <v>1720</v>
      </c>
      <c r="D220" t="s">
        <v>6155</v>
      </c>
      <c r="E220" s="2">
        <v>5</v>
      </c>
      <c r="F220" s="2" t="str" cm="1">
        <f t="array" ref="F220">_xlfn.XLOOKUP(C220, customers!$A$1:A1219, customers!$B$1:B1219, 0)</f>
        <v>Rem Furman</v>
      </c>
      <c r="G220" s="2" t="str">
        <f>IF(_xlfn.XLOOKUP(C220, customers!A219:A1219, customers!C219:C1219, 0)=0, "", _xlfn.XLOOKUP(C220, customers!A219:A1219, customers!C219:C1219, 0))</f>
        <v>rfurman62@t.co</v>
      </c>
      <c r="H220" s="2" t="str" cm="1">
        <f t="array" ref="H220">_xlfn.XLOOKUP(C220, customers!$A$1:A1219, customers!$G$1:G1219,, 0)</f>
        <v>Ireland</v>
      </c>
      <c r="I220" t="str" cm="1">
        <f t="array" ref="I220">_xlfn.XLOOKUP(orders!D220, products!$A$1:A267, products!$B$1:B267, 0)</f>
        <v>Ara</v>
      </c>
      <c r="J220" t="str" cm="1">
        <f t="array" ref="J220">_xlfn.XLOOKUP(D220, products!$A$1:A267, products!$C$1:C267, 0)</f>
        <v>M</v>
      </c>
      <c r="K220" s="4" cm="1">
        <f t="array" ref="K220">_xlfn.XLOOKUP(D220, products!$A$1:A267, products!$D$1:D267, 0)</f>
        <v>1</v>
      </c>
      <c r="L220" s="4" cm="1">
        <f t="array" ref="L220">_xlfn.XLOOKUP(D220, products!$A$1:A267, products!$E$1:E267)</f>
        <v>11.25</v>
      </c>
      <c r="M220">
        <f t="shared" si="6"/>
        <v>56.25</v>
      </c>
      <c r="N220" t="str">
        <f t="shared" si="7"/>
        <v>Arabica</v>
      </c>
      <c r="O220" t="str" cm="1">
        <f t="array" ref="O220">_xlfn.IFS(J220="M", "Medium", J220="L", "Light", J220="D", "Dark")</f>
        <v>Medium</v>
      </c>
      <c r="P220" t="str">
        <f>_xlfn.XLOOKUP(Orders[[#This Row],[Customer ID]], customers!$A$2:$A$1001, customers!$I$2:$I$1001, 0)</f>
        <v>Yes</v>
      </c>
    </row>
    <row r="221" spans="1:16" x14ac:dyDescent="0.35">
      <c r="A221" s="2" t="s">
        <v>1725</v>
      </c>
      <c r="B221" s="3">
        <v>44777</v>
      </c>
      <c r="C221" s="2" t="s">
        <v>1726</v>
      </c>
      <c r="D221" t="s">
        <v>6178</v>
      </c>
      <c r="E221" s="2">
        <v>3</v>
      </c>
      <c r="F221" s="2" t="str" cm="1">
        <f t="array" ref="F221">_xlfn.XLOOKUP(C221, customers!$A$1:A1220, customers!$B$1:B1220, 0)</f>
        <v>Charis Crosier</v>
      </c>
      <c r="G221" s="2" t="str">
        <f>IF(_xlfn.XLOOKUP(C221, customers!A220:A1220, customers!C220:C1220, 0)=0, "", _xlfn.XLOOKUP(C221, customers!A220:A1220, customers!C220:C1220, 0))</f>
        <v>ccrosier63@xrea.com</v>
      </c>
      <c r="H221" s="2" t="str" cm="1">
        <f t="array" ref="H221">_xlfn.XLOOKUP(C221, customers!$A$1:A1220, customers!$G$1:G1220,, 0)</f>
        <v>United States</v>
      </c>
      <c r="I221" t="str" cm="1">
        <f t="array" ref="I221">_xlfn.XLOOKUP(orders!D221, products!$A$1:A268, products!$B$1:B268, 0)</f>
        <v>Rob</v>
      </c>
      <c r="J221" t="str" cm="1">
        <f t="array" ref="J221">_xlfn.XLOOKUP(D221, products!$A$1:A268, products!$C$1:C268, 0)</f>
        <v>L</v>
      </c>
      <c r="K221" s="4" cm="1">
        <f t="array" ref="K221">_xlfn.XLOOKUP(D221, products!$A$1:A268, products!$D$1:D268, 0)</f>
        <v>0.2</v>
      </c>
      <c r="L221" s="4" cm="1">
        <f t="array" ref="L221">_xlfn.XLOOKUP(D221, products!$A$1:A268, products!$E$1:E268)</f>
        <v>3.5849999999999995</v>
      </c>
      <c r="M221">
        <f t="shared" si="6"/>
        <v>10.754999999999999</v>
      </c>
      <c r="N221" t="str">
        <f t="shared" si="7"/>
        <v>Robusta</v>
      </c>
      <c r="O221" t="str" cm="1">
        <f t="array" ref="O221">_xlfn.IFS(J221="M", "Medium", J221="L", "Light", J221="D", "Dark")</f>
        <v>Light</v>
      </c>
      <c r="P221" t="str">
        <f>_xlfn.XLOOKUP(Orders[[#This Row],[Customer ID]], customers!$A$2:$A$1001, customers!$I$2:$I$1001, 0)</f>
        <v>No</v>
      </c>
    </row>
    <row r="222" spans="1:16" x14ac:dyDescent="0.35">
      <c r="A222" s="2" t="s">
        <v>1725</v>
      </c>
      <c r="B222" s="3">
        <v>44777</v>
      </c>
      <c r="C222" s="2" t="s">
        <v>1726</v>
      </c>
      <c r="D222" t="s">
        <v>6174</v>
      </c>
      <c r="E222" s="2">
        <v>5</v>
      </c>
      <c r="F222" s="2" t="str" cm="1">
        <f t="array" ref="F222">_xlfn.XLOOKUP(C222, customers!$A$1:A1221, customers!$B$1:B1221, 0)</f>
        <v>Charis Crosier</v>
      </c>
      <c r="G222" s="2" t="str">
        <f>IF(_xlfn.XLOOKUP(C222, customers!A221:A1221, customers!C221:C1221, 0)=0, "", _xlfn.XLOOKUP(C222, customers!A221:A1221, customers!C221:C1221, 0))</f>
        <v>ccrosier63@xrea.com</v>
      </c>
      <c r="H222" s="2" t="str" cm="1">
        <f t="array" ref="H222">_xlfn.XLOOKUP(C222, customers!$A$1:A1221, customers!$G$1:G1221,, 0)</f>
        <v>United States</v>
      </c>
      <c r="I222" t="str" cm="1">
        <f t="array" ref="I222">_xlfn.XLOOKUP(orders!D222, products!$A$1:A269, products!$B$1:B269, 0)</f>
        <v>Rob</v>
      </c>
      <c r="J222" t="str" cm="1">
        <f t="array" ref="J222">_xlfn.XLOOKUP(D222, products!$A$1:A269, products!$C$1:C269, 0)</f>
        <v>M</v>
      </c>
      <c r="K222" s="4" cm="1">
        <f t="array" ref="K222">_xlfn.XLOOKUP(D222, products!$A$1:A269, products!$D$1:D269, 0)</f>
        <v>0.2</v>
      </c>
      <c r="L222" s="4" cm="1">
        <f t="array" ref="L222">_xlfn.XLOOKUP(D222, products!$A$1:A269, products!$E$1:E269)</f>
        <v>2.9849999999999999</v>
      </c>
      <c r="M222">
        <f t="shared" si="6"/>
        <v>14.924999999999999</v>
      </c>
      <c r="N222" t="str">
        <f t="shared" si="7"/>
        <v>Robusta</v>
      </c>
      <c r="O222" t="str" cm="1">
        <f t="array" ref="O222">_xlfn.IFS(J222="M", "Medium", J222="L", "Light", J222="D", "Dark")</f>
        <v>Medium</v>
      </c>
      <c r="P222" t="str">
        <f>_xlfn.XLOOKUP(Orders[[#This Row],[Customer ID]], customers!$A$2:$A$1001, customers!$I$2:$I$1001, 0)</f>
        <v>No</v>
      </c>
    </row>
    <row r="223" spans="1:16" x14ac:dyDescent="0.35">
      <c r="A223" s="2" t="s">
        <v>1736</v>
      </c>
      <c r="B223" s="3">
        <v>44513</v>
      </c>
      <c r="C223" s="2" t="s">
        <v>1737</v>
      </c>
      <c r="D223" t="s">
        <v>6140</v>
      </c>
      <c r="E223" s="2">
        <v>6</v>
      </c>
      <c r="F223" s="2" t="str" cm="1">
        <f t="array" ref="F223">_xlfn.XLOOKUP(C223, customers!$A$1:A1222, customers!$B$1:B1222, 0)</f>
        <v>Lenka Rushmer</v>
      </c>
      <c r="G223" s="2" t="str">
        <f>IF(_xlfn.XLOOKUP(C223, customers!A222:A1222, customers!C222:C1222, 0)=0, "", _xlfn.XLOOKUP(C223, customers!A222:A1222, customers!C222:C1222, 0))</f>
        <v>lrushmer65@europa.eu</v>
      </c>
      <c r="H223" s="2" t="str" cm="1">
        <f t="array" ref="H223">_xlfn.XLOOKUP(C223, customers!$A$1:A1222, customers!$G$1:G1222,, 0)</f>
        <v>United States</v>
      </c>
      <c r="I223" t="str" cm="1">
        <f t="array" ref="I223">_xlfn.XLOOKUP(orders!D223, products!$A$1:A270, products!$B$1:B270, 0)</f>
        <v>Ara</v>
      </c>
      <c r="J223" t="str" cm="1">
        <f t="array" ref="J223">_xlfn.XLOOKUP(D223, products!$A$1:A270, products!$C$1:C270, 0)</f>
        <v>L</v>
      </c>
      <c r="K223" s="4" cm="1">
        <f t="array" ref="K223">_xlfn.XLOOKUP(D223, products!$A$1:A270, products!$D$1:D270, 0)</f>
        <v>1</v>
      </c>
      <c r="L223" s="4" cm="1">
        <f t="array" ref="L223">_xlfn.XLOOKUP(D223, products!$A$1:A270, products!$E$1:E270)</f>
        <v>12.95</v>
      </c>
      <c r="M223">
        <f t="shared" si="6"/>
        <v>77.699999999999989</v>
      </c>
      <c r="N223" t="str">
        <f t="shared" si="7"/>
        <v>Arabica</v>
      </c>
      <c r="O223" t="str" cm="1">
        <f t="array" ref="O223">_xlfn.IFS(J223="M", "Medium", J223="L", "Light", J223="D", "Dark")</f>
        <v>Light</v>
      </c>
      <c r="P223" t="str">
        <f>_xlfn.XLOOKUP(Orders[[#This Row],[Customer ID]], customers!$A$2:$A$1001, customers!$I$2:$I$1001, 0)</f>
        <v>Yes</v>
      </c>
    </row>
    <row r="224" spans="1:16" x14ac:dyDescent="0.35">
      <c r="A224" s="2" t="s">
        <v>1742</v>
      </c>
      <c r="B224" s="3">
        <v>44090</v>
      </c>
      <c r="C224" s="2" t="s">
        <v>1743</v>
      </c>
      <c r="D224" t="s">
        <v>6169</v>
      </c>
      <c r="E224" s="2">
        <v>3</v>
      </c>
      <c r="F224" s="2" t="str" cm="1">
        <f t="array" ref="F224">_xlfn.XLOOKUP(C224, customers!$A$1:A1223, customers!$B$1:B1223, 0)</f>
        <v>Waneta Edinborough</v>
      </c>
      <c r="G224" s="2" t="str">
        <f>IF(_xlfn.XLOOKUP(C224, customers!A223:A1223, customers!C223:C1223, 0)=0, "", _xlfn.XLOOKUP(C224, customers!A223:A1223, customers!C223:C1223, 0))</f>
        <v>wedinborough66@github.io</v>
      </c>
      <c r="H224" s="2" t="str" cm="1">
        <f t="array" ref="H224">_xlfn.XLOOKUP(C224, customers!$A$1:A1223, customers!$G$1:G1223,, 0)</f>
        <v>United States</v>
      </c>
      <c r="I224" t="str" cm="1">
        <f t="array" ref="I224">_xlfn.XLOOKUP(orders!D224, products!$A$1:A271, products!$B$1:B271, 0)</f>
        <v>Lib</v>
      </c>
      <c r="J224" t="str" cm="1">
        <f t="array" ref="J224">_xlfn.XLOOKUP(D224, products!$A$1:A271, products!$C$1:C271, 0)</f>
        <v>D</v>
      </c>
      <c r="K224" s="4" cm="1">
        <f t="array" ref="K224">_xlfn.XLOOKUP(D224, products!$A$1:A271, products!$D$1:D271, 0)</f>
        <v>0.5</v>
      </c>
      <c r="L224" s="4" cm="1">
        <f t="array" ref="L224">_xlfn.XLOOKUP(D224, products!$A$1:A271, products!$E$1:E271)</f>
        <v>7.77</v>
      </c>
      <c r="M224">
        <f t="shared" si="6"/>
        <v>23.31</v>
      </c>
      <c r="N224" t="str">
        <f t="shared" si="7"/>
        <v>Liberica</v>
      </c>
      <c r="O224" t="str" cm="1">
        <f t="array" ref="O224">_xlfn.IFS(J224="M", "Medium", J224="L", "Light", J224="D", "Dark")</f>
        <v>Dark</v>
      </c>
      <c r="P224" t="str">
        <f>_xlfn.XLOOKUP(Orders[[#This Row],[Customer ID]], customers!$A$2:$A$1001, customers!$I$2:$I$1001, 0)</f>
        <v>No</v>
      </c>
    </row>
    <row r="225" spans="1:16" x14ac:dyDescent="0.35">
      <c r="A225" s="2" t="s">
        <v>1748</v>
      </c>
      <c r="B225" s="3">
        <v>44109</v>
      </c>
      <c r="C225" s="2" t="s">
        <v>1749</v>
      </c>
      <c r="D225" t="s">
        <v>6171</v>
      </c>
      <c r="E225" s="2">
        <v>4</v>
      </c>
      <c r="F225" s="2" t="str" cm="1">
        <f t="array" ref="F225">_xlfn.XLOOKUP(C225, customers!$A$1:A1224, customers!$B$1:B1224, 0)</f>
        <v>Bobbe Piggott</v>
      </c>
      <c r="G225" s="2" t="str">
        <f>IF(_xlfn.XLOOKUP(C225, customers!A224:A1224, customers!C224:C1224, 0)=0, "", _xlfn.XLOOKUP(C225, customers!A224:A1224, customers!C224:C1224, 0))</f>
        <v/>
      </c>
      <c r="H225" s="2" t="str" cm="1">
        <f t="array" ref="H225">_xlfn.XLOOKUP(C225, customers!$A$1:A1224, customers!$G$1:G1224,, 0)</f>
        <v>United States</v>
      </c>
      <c r="I225" t="str" cm="1">
        <f t="array" ref="I225">_xlfn.XLOOKUP(orders!D225, products!$A$1:A272, products!$B$1:B272, 0)</f>
        <v>Exc</v>
      </c>
      <c r="J225" t="str" cm="1">
        <f t="array" ref="J225">_xlfn.XLOOKUP(D225, products!$A$1:A272, products!$C$1:C272, 0)</f>
        <v>L</v>
      </c>
      <c r="K225" s="4" cm="1">
        <f t="array" ref="K225">_xlfn.XLOOKUP(D225, products!$A$1:A272, products!$D$1:D272, 0)</f>
        <v>1</v>
      </c>
      <c r="L225" s="4" cm="1">
        <f t="array" ref="L225">_xlfn.XLOOKUP(D225, products!$A$1:A272, products!$E$1:E272)</f>
        <v>14.85</v>
      </c>
      <c r="M225">
        <f t="shared" si="6"/>
        <v>59.4</v>
      </c>
      <c r="N225" t="str">
        <f t="shared" si="7"/>
        <v>Excelsa</v>
      </c>
      <c r="O225" t="str" cm="1">
        <f t="array" ref="O225">_xlfn.IFS(J225="M", "Medium", J225="L", "Light", J225="D", "Dark")</f>
        <v>Light</v>
      </c>
      <c r="P225" t="str">
        <f>_xlfn.XLOOKUP(Orders[[#This Row],[Customer ID]], customers!$A$2:$A$1001, customers!$I$2:$I$1001, 0)</f>
        <v>Yes</v>
      </c>
    </row>
    <row r="226" spans="1:16" x14ac:dyDescent="0.35">
      <c r="A226" s="2" t="s">
        <v>1753</v>
      </c>
      <c r="B226" s="3">
        <v>43836</v>
      </c>
      <c r="C226" s="2" t="s">
        <v>1754</v>
      </c>
      <c r="D226" t="s">
        <v>6165</v>
      </c>
      <c r="E226" s="2">
        <v>4</v>
      </c>
      <c r="F226" s="2" t="str" cm="1">
        <f t="array" ref="F226">_xlfn.XLOOKUP(C226, customers!$A$1:A1225, customers!$B$1:B1225, 0)</f>
        <v>Ketty Bromehead</v>
      </c>
      <c r="G226" s="2" t="str">
        <f>IF(_xlfn.XLOOKUP(C226, customers!A225:A1225, customers!C225:C1225, 0)=0, "", _xlfn.XLOOKUP(C226, customers!A225:A1225, customers!C225:C1225, 0))</f>
        <v>kbromehead68@un.org</v>
      </c>
      <c r="H226" s="2" t="str" cm="1">
        <f t="array" ref="H226">_xlfn.XLOOKUP(C226, customers!$A$1:A1225, customers!$G$1:G1225,, 0)</f>
        <v>United States</v>
      </c>
      <c r="I226" t="str" cm="1">
        <f t="array" ref="I226">_xlfn.XLOOKUP(orders!D226, products!$A$1:A273, products!$B$1:B273, 0)</f>
        <v>Lib</v>
      </c>
      <c r="J226" t="str" cm="1">
        <f t="array" ref="J226">_xlfn.XLOOKUP(D226, products!$A$1:A273, products!$C$1:C273, 0)</f>
        <v>D</v>
      </c>
      <c r="K226" s="4" cm="1">
        <f t="array" ref="K226">_xlfn.XLOOKUP(D226, products!$A$1:A273, products!$D$1:D273, 0)</f>
        <v>2.5</v>
      </c>
      <c r="L226" s="4" cm="1">
        <f t="array" ref="L226">_xlfn.XLOOKUP(D226, products!$A$1:A273, products!$E$1:E273)</f>
        <v>29.784999999999997</v>
      </c>
      <c r="M226">
        <f t="shared" si="6"/>
        <v>119.13999999999999</v>
      </c>
      <c r="N226" t="str">
        <f t="shared" si="7"/>
        <v>Liberica</v>
      </c>
      <c r="O226" t="str" cm="1">
        <f t="array" ref="O226">_xlfn.IFS(J226="M", "Medium", J226="L", "Light", J226="D", "Dark")</f>
        <v>Dark</v>
      </c>
      <c r="P226" t="str">
        <f>_xlfn.XLOOKUP(Orders[[#This Row],[Customer ID]], customers!$A$2:$A$1001, customers!$I$2:$I$1001, 0)</f>
        <v>Yes</v>
      </c>
    </row>
    <row r="227" spans="1:16" x14ac:dyDescent="0.35">
      <c r="A227" s="2" t="s">
        <v>1759</v>
      </c>
      <c r="B227" s="3">
        <v>44337</v>
      </c>
      <c r="C227" s="2" t="s">
        <v>1760</v>
      </c>
      <c r="D227" t="s">
        <v>6178</v>
      </c>
      <c r="E227" s="2">
        <v>4</v>
      </c>
      <c r="F227" s="2" t="str" cm="1">
        <f t="array" ref="F227">_xlfn.XLOOKUP(C227, customers!$A$1:A1226, customers!$B$1:B1226, 0)</f>
        <v>Elsbeth Westerman</v>
      </c>
      <c r="G227" s="2" t="str">
        <f>IF(_xlfn.XLOOKUP(C227, customers!A226:A1226, customers!C226:C1226, 0)=0, "", _xlfn.XLOOKUP(C227, customers!A226:A1226, customers!C226:C1226, 0))</f>
        <v>ewesterman69@si.edu</v>
      </c>
      <c r="H227" s="2" t="str" cm="1">
        <f t="array" ref="H227">_xlfn.XLOOKUP(C227, customers!$A$1:A1226, customers!$G$1:G1226,, 0)</f>
        <v>Ireland</v>
      </c>
      <c r="I227" t="str" cm="1">
        <f t="array" ref="I227">_xlfn.XLOOKUP(orders!D227, products!$A$1:A274, products!$B$1:B274, 0)</f>
        <v>Rob</v>
      </c>
      <c r="J227" t="str" cm="1">
        <f t="array" ref="J227">_xlfn.XLOOKUP(D227, products!$A$1:A274, products!$C$1:C274, 0)</f>
        <v>L</v>
      </c>
      <c r="K227" s="4" cm="1">
        <f t="array" ref="K227">_xlfn.XLOOKUP(D227, products!$A$1:A274, products!$D$1:D274, 0)</f>
        <v>0.2</v>
      </c>
      <c r="L227" s="4" cm="1">
        <f t="array" ref="L227">_xlfn.XLOOKUP(D227, products!$A$1:A274, products!$E$1:E274)</f>
        <v>3.5849999999999995</v>
      </c>
      <c r="M227">
        <f t="shared" si="6"/>
        <v>14.339999999999998</v>
      </c>
      <c r="N227" t="str">
        <f t="shared" si="7"/>
        <v>Robusta</v>
      </c>
      <c r="O227" t="str" cm="1">
        <f t="array" ref="O227">_xlfn.IFS(J227="M", "Medium", J227="L", "Light", J227="D", "Dark")</f>
        <v>Light</v>
      </c>
      <c r="P227" t="str">
        <f>_xlfn.XLOOKUP(Orders[[#This Row],[Customer ID]], customers!$A$2:$A$1001, customers!$I$2:$I$1001, 0)</f>
        <v>No</v>
      </c>
    </row>
    <row r="228" spans="1:16" x14ac:dyDescent="0.35">
      <c r="A228" s="2" t="s">
        <v>1765</v>
      </c>
      <c r="B228" s="3">
        <v>43887</v>
      </c>
      <c r="C228" s="2" t="s">
        <v>1766</v>
      </c>
      <c r="D228" t="s">
        <v>6175</v>
      </c>
      <c r="E228" s="2">
        <v>5</v>
      </c>
      <c r="F228" s="2" t="str" cm="1">
        <f t="array" ref="F228">_xlfn.XLOOKUP(C228, customers!$A$1:A1227, customers!$B$1:B1227, 0)</f>
        <v>Anabelle Hutchens</v>
      </c>
      <c r="G228" s="2" t="str">
        <f>IF(_xlfn.XLOOKUP(C228, customers!A227:A1227, customers!C227:C1227, 0)=0, "", _xlfn.XLOOKUP(C228, customers!A227:A1227, customers!C227:C1227, 0))</f>
        <v>ahutchens6a@amazonaws.com</v>
      </c>
      <c r="H228" s="2" t="str" cm="1">
        <f t="array" ref="H228">_xlfn.XLOOKUP(C228, customers!$A$1:A1227, customers!$G$1:G1227,, 0)</f>
        <v>United States</v>
      </c>
      <c r="I228" t="str" cm="1">
        <f t="array" ref="I228">_xlfn.XLOOKUP(orders!D228, products!$A$1:A275, products!$B$1:B275, 0)</f>
        <v>Ara</v>
      </c>
      <c r="J228" t="str" cm="1">
        <f t="array" ref="J228">_xlfn.XLOOKUP(D228, products!$A$1:A275, products!$C$1:C275, 0)</f>
        <v>M</v>
      </c>
      <c r="K228" s="4" cm="1">
        <f t="array" ref="K228">_xlfn.XLOOKUP(D228, products!$A$1:A275, products!$D$1:D275, 0)</f>
        <v>2.5</v>
      </c>
      <c r="L228" s="4" cm="1">
        <f t="array" ref="L228">_xlfn.XLOOKUP(D228, products!$A$1:A275, products!$E$1:E275)</f>
        <v>25.874999999999996</v>
      </c>
      <c r="M228">
        <f t="shared" si="6"/>
        <v>129.37499999999997</v>
      </c>
      <c r="N228" t="str">
        <f t="shared" si="7"/>
        <v>Arabica</v>
      </c>
      <c r="O228" t="str" cm="1">
        <f t="array" ref="O228">_xlfn.IFS(J228="M", "Medium", J228="L", "Light", J228="D", "Dark")</f>
        <v>Medium</v>
      </c>
      <c r="P228" t="str">
        <f>_xlfn.XLOOKUP(Orders[[#This Row],[Customer ID]], customers!$A$2:$A$1001, customers!$I$2:$I$1001, 0)</f>
        <v>No</v>
      </c>
    </row>
    <row r="229" spans="1:16" x14ac:dyDescent="0.35">
      <c r="A229" s="2" t="s">
        <v>1771</v>
      </c>
      <c r="B229" s="3">
        <v>43880</v>
      </c>
      <c r="C229" s="2" t="s">
        <v>1772</v>
      </c>
      <c r="D229" t="s">
        <v>6163</v>
      </c>
      <c r="E229" s="2">
        <v>6</v>
      </c>
      <c r="F229" s="2" t="str" cm="1">
        <f t="array" ref="F229">_xlfn.XLOOKUP(C229, customers!$A$1:A1228, customers!$B$1:B1228, 0)</f>
        <v>Noak Wyvill</v>
      </c>
      <c r="G229" s="2" t="str">
        <f>IF(_xlfn.XLOOKUP(C229, customers!A228:A1228, customers!C228:C1228, 0)=0, "", _xlfn.XLOOKUP(C229, customers!A228:A1228, customers!C228:C1228, 0))</f>
        <v>nwyvill6b@naver.com</v>
      </c>
      <c r="H229" s="2" t="str" cm="1">
        <f t="array" ref="H229">_xlfn.XLOOKUP(C229, customers!$A$1:A1228, customers!$G$1:G1228,, 0)</f>
        <v>United Kingdom</v>
      </c>
      <c r="I229" t="str" cm="1">
        <f t="array" ref="I229">_xlfn.XLOOKUP(orders!D229, products!$A$1:A276, products!$B$1:B276, 0)</f>
        <v>Rob</v>
      </c>
      <c r="J229" t="str" cm="1">
        <f t="array" ref="J229">_xlfn.XLOOKUP(D229, products!$A$1:A276, products!$C$1:C276, 0)</f>
        <v>D</v>
      </c>
      <c r="K229" s="4" cm="1">
        <f t="array" ref="K229">_xlfn.XLOOKUP(D229, products!$A$1:A276, products!$D$1:D276, 0)</f>
        <v>0.2</v>
      </c>
      <c r="L229" s="4" cm="1">
        <f t="array" ref="L229">_xlfn.XLOOKUP(D229, products!$A$1:A276, products!$E$1:E276)</f>
        <v>2.6849999999999996</v>
      </c>
      <c r="M229">
        <f t="shared" si="6"/>
        <v>16.11</v>
      </c>
      <c r="N229" t="str">
        <f t="shared" si="7"/>
        <v>Robusta</v>
      </c>
      <c r="O229" t="str" cm="1">
        <f t="array" ref="O229">_xlfn.IFS(J229="M", "Medium", J229="L", "Light", J229="D", "Dark")</f>
        <v>Dark</v>
      </c>
      <c r="P229" t="str">
        <f>_xlfn.XLOOKUP(Orders[[#This Row],[Customer ID]], customers!$A$2:$A$1001, customers!$I$2:$I$1001, 0)</f>
        <v>Yes</v>
      </c>
    </row>
    <row r="230" spans="1:16" x14ac:dyDescent="0.35">
      <c r="A230" s="2" t="s">
        <v>1777</v>
      </c>
      <c r="B230" s="3">
        <v>44376</v>
      </c>
      <c r="C230" s="2" t="s">
        <v>1778</v>
      </c>
      <c r="D230" t="s">
        <v>6178</v>
      </c>
      <c r="E230" s="2">
        <v>5</v>
      </c>
      <c r="F230" s="2" t="str" cm="1">
        <f t="array" ref="F230">_xlfn.XLOOKUP(C230, customers!$A$1:A1229, customers!$B$1:B1229, 0)</f>
        <v>Beltran Mathon</v>
      </c>
      <c r="G230" s="2" t="str">
        <f>IF(_xlfn.XLOOKUP(C230, customers!A229:A1229, customers!C229:C1229, 0)=0, "", _xlfn.XLOOKUP(C230, customers!A229:A1229, customers!C229:C1229, 0))</f>
        <v>bmathon6c@barnesandnoble.com</v>
      </c>
      <c r="H230" s="2" t="str" cm="1">
        <f t="array" ref="H230">_xlfn.XLOOKUP(C230, customers!$A$1:A1229, customers!$G$1:G1229,, 0)</f>
        <v>United States</v>
      </c>
      <c r="I230" t="str" cm="1">
        <f t="array" ref="I230">_xlfn.XLOOKUP(orders!D230, products!$A$1:A277, products!$B$1:B277, 0)</f>
        <v>Rob</v>
      </c>
      <c r="J230" t="str" cm="1">
        <f t="array" ref="J230">_xlfn.XLOOKUP(D230, products!$A$1:A277, products!$C$1:C277, 0)</f>
        <v>L</v>
      </c>
      <c r="K230" s="4" cm="1">
        <f t="array" ref="K230">_xlfn.XLOOKUP(D230, products!$A$1:A277, products!$D$1:D277, 0)</f>
        <v>0.2</v>
      </c>
      <c r="L230" s="4" cm="1">
        <f t="array" ref="L230">_xlfn.XLOOKUP(D230, products!$A$1:A277, products!$E$1:E277)</f>
        <v>3.5849999999999995</v>
      </c>
      <c r="M230">
        <f t="shared" si="6"/>
        <v>17.924999999999997</v>
      </c>
      <c r="N230" t="str">
        <f t="shared" si="7"/>
        <v>Robusta</v>
      </c>
      <c r="O230" t="str" cm="1">
        <f t="array" ref="O230">_xlfn.IFS(J230="M", "Medium", J230="L", "Light", J230="D", "Dark")</f>
        <v>Light</v>
      </c>
      <c r="P230" t="str">
        <f>_xlfn.XLOOKUP(Orders[[#This Row],[Customer ID]], customers!$A$2:$A$1001, customers!$I$2:$I$1001, 0)</f>
        <v>No</v>
      </c>
    </row>
    <row r="231" spans="1:16" x14ac:dyDescent="0.35">
      <c r="A231" s="2" t="s">
        <v>1783</v>
      </c>
      <c r="B231" s="3">
        <v>44282</v>
      </c>
      <c r="C231" s="2" t="s">
        <v>1784</v>
      </c>
      <c r="D231" t="s">
        <v>6159</v>
      </c>
      <c r="E231" s="2">
        <v>2</v>
      </c>
      <c r="F231" s="2" t="str" cm="1">
        <f t="array" ref="F231">_xlfn.XLOOKUP(C231, customers!$A$1:A1230, customers!$B$1:B1230, 0)</f>
        <v>Kristos Streight</v>
      </c>
      <c r="G231" s="2" t="str">
        <f>IF(_xlfn.XLOOKUP(C231, customers!A230:A1230, customers!C230:C1230, 0)=0, "", _xlfn.XLOOKUP(C231, customers!A230:A1230, customers!C230:C1230, 0))</f>
        <v>kstreight6d@about.com</v>
      </c>
      <c r="H231" s="2" t="str" cm="1">
        <f t="array" ref="H231">_xlfn.XLOOKUP(C231, customers!$A$1:A1230, customers!$G$1:G1230,, 0)</f>
        <v>United States</v>
      </c>
      <c r="I231" t="str" cm="1">
        <f t="array" ref="I231">_xlfn.XLOOKUP(orders!D231, products!$A$1:A278, products!$B$1:B278, 0)</f>
        <v>Lib</v>
      </c>
      <c r="J231" t="str" cm="1">
        <f t="array" ref="J231">_xlfn.XLOOKUP(D231, products!$A$1:A278, products!$C$1:C278, 0)</f>
        <v>M</v>
      </c>
      <c r="K231" s="4" cm="1">
        <f t="array" ref="K231">_xlfn.XLOOKUP(D231, products!$A$1:A278, products!$D$1:D278, 0)</f>
        <v>0.2</v>
      </c>
      <c r="L231" s="4" cm="1">
        <f t="array" ref="L231">_xlfn.XLOOKUP(D231, products!$A$1:A278, products!$E$1:E278)</f>
        <v>4.3650000000000002</v>
      </c>
      <c r="M231">
        <f t="shared" si="6"/>
        <v>8.73</v>
      </c>
      <c r="N231" t="str">
        <f t="shared" si="7"/>
        <v>Liberica</v>
      </c>
      <c r="O231" t="str" cm="1">
        <f t="array" ref="O231">_xlfn.IFS(J231="M", "Medium", J231="L", "Light", J231="D", "Dark")</f>
        <v>Medium</v>
      </c>
      <c r="P231" t="str">
        <f>_xlfn.XLOOKUP(Orders[[#This Row],[Customer ID]], customers!$A$2:$A$1001, customers!$I$2:$I$1001, 0)</f>
        <v>No</v>
      </c>
    </row>
    <row r="232" spans="1:16" x14ac:dyDescent="0.35">
      <c r="A232" s="2" t="s">
        <v>1789</v>
      </c>
      <c r="B232" s="3">
        <v>44496</v>
      </c>
      <c r="C232" s="2" t="s">
        <v>1790</v>
      </c>
      <c r="D232" t="s">
        <v>6175</v>
      </c>
      <c r="E232" s="2">
        <v>2</v>
      </c>
      <c r="F232" s="2" t="str" cm="1">
        <f t="array" ref="F232">_xlfn.XLOOKUP(C232, customers!$A$1:A1231, customers!$B$1:B1231, 0)</f>
        <v>Portie Cutchie</v>
      </c>
      <c r="G232" s="2" t="str">
        <f>IF(_xlfn.XLOOKUP(C232, customers!A231:A1231, customers!C231:C1231, 0)=0, "", _xlfn.XLOOKUP(C232, customers!A231:A1231, customers!C231:C1231, 0))</f>
        <v>pcutchie6e@globo.com</v>
      </c>
      <c r="H232" s="2" t="str" cm="1">
        <f t="array" ref="H232">_xlfn.XLOOKUP(C232, customers!$A$1:A1231, customers!$G$1:G1231,, 0)</f>
        <v>United States</v>
      </c>
      <c r="I232" t="str" cm="1">
        <f t="array" ref="I232">_xlfn.XLOOKUP(orders!D232, products!$A$1:A279, products!$B$1:B279, 0)</f>
        <v>Ara</v>
      </c>
      <c r="J232" t="str" cm="1">
        <f t="array" ref="J232">_xlfn.XLOOKUP(D232, products!$A$1:A279, products!$C$1:C279, 0)</f>
        <v>M</v>
      </c>
      <c r="K232" s="4" cm="1">
        <f t="array" ref="K232">_xlfn.XLOOKUP(D232, products!$A$1:A279, products!$D$1:D279, 0)</f>
        <v>2.5</v>
      </c>
      <c r="L232" s="4" cm="1">
        <f t="array" ref="L232">_xlfn.XLOOKUP(D232, products!$A$1:A279, products!$E$1:E279)</f>
        <v>25.874999999999996</v>
      </c>
      <c r="M232">
        <f t="shared" si="6"/>
        <v>51.749999999999993</v>
      </c>
      <c r="N232" t="str">
        <f t="shared" si="7"/>
        <v>Arabica</v>
      </c>
      <c r="O232" t="str" cm="1">
        <f t="array" ref="O232">_xlfn.IFS(J232="M", "Medium", J232="L", "Light", J232="D", "Dark")</f>
        <v>Medium</v>
      </c>
      <c r="P232" t="str">
        <f>_xlfn.XLOOKUP(Orders[[#This Row],[Customer ID]], customers!$A$2:$A$1001, customers!$I$2:$I$1001, 0)</f>
        <v>No</v>
      </c>
    </row>
    <row r="233" spans="1:16" x14ac:dyDescent="0.35">
      <c r="A233" s="2" t="s">
        <v>1795</v>
      </c>
      <c r="B233" s="3">
        <v>43628</v>
      </c>
      <c r="C233" s="2" t="s">
        <v>1796</v>
      </c>
      <c r="D233" t="s">
        <v>6159</v>
      </c>
      <c r="E233" s="2">
        <v>2</v>
      </c>
      <c r="F233" s="2" t="str" cm="1">
        <f t="array" ref="F233">_xlfn.XLOOKUP(C233, customers!$A$1:A1232, customers!$B$1:B1232, 0)</f>
        <v>Sinclare Edsell</v>
      </c>
      <c r="G233" s="2" t="str">
        <f>IF(_xlfn.XLOOKUP(C233, customers!A232:A1232, customers!C232:C1232, 0)=0, "", _xlfn.XLOOKUP(C233, customers!A232:A1232, customers!C232:C1232, 0))</f>
        <v/>
      </c>
      <c r="H233" s="2" t="str" cm="1">
        <f t="array" ref="H233">_xlfn.XLOOKUP(C233, customers!$A$1:A1232, customers!$G$1:G1232,, 0)</f>
        <v>United States</v>
      </c>
      <c r="I233" t="str" cm="1">
        <f t="array" ref="I233">_xlfn.XLOOKUP(orders!D233, products!$A$1:A280, products!$B$1:B280, 0)</f>
        <v>Lib</v>
      </c>
      <c r="J233" t="str" cm="1">
        <f t="array" ref="J233">_xlfn.XLOOKUP(D233, products!$A$1:A280, products!$C$1:C280, 0)</f>
        <v>M</v>
      </c>
      <c r="K233" s="4" cm="1">
        <f t="array" ref="K233">_xlfn.XLOOKUP(D233, products!$A$1:A280, products!$D$1:D280, 0)</f>
        <v>0.2</v>
      </c>
      <c r="L233" s="4" cm="1">
        <f t="array" ref="L233">_xlfn.XLOOKUP(D233, products!$A$1:A280, products!$E$1:E280)</f>
        <v>4.3650000000000002</v>
      </c>
      <c r="M233">
        <f t="shared" si="6"/>
        <v>8.73</v>
      </c>
      <c r="N233" t="str">
        <f t="shared" si="7"/>
        <v>Liberica</v>
      </c>
      <c r="O233" t="str" cm="1">
        <f t="array" ref="O233">_xlfn.IFS(J233="M", "Medium", J233="L", "Light", J233="D", "Dark")</f>
        <v>Medium</v>
      </c>
      <c r="P233" t="str">
        <f>_xlfn.XLOOKUP(Orders[[#This Row],[Customer ID]], customers!$A$2:$A$1001, customers!$I$2:$I$1001, 0)</f>
        <v>Yes</v>
      </c>
    </row>
    <row r="234" spans="1:16" x14ac:dyDescent="0.35">
      <c r="A234" s="2" t="s">
        <v>1800</v>
      </c>
      <c r="B234" s="3">
        <v>44010</v>
      </c>
      <c r="C234" s="2" t="s">
        <v>1801</v>
      </c>
      <c r="D234" t="s">
        <v>6145</v>
      </c>
      <c r="E234" s="2">
        <v>5</v>
      </c>
      <c r="F234" s="2" t="str" cm="1">
        <f t="array" ref="F234">_xlfn.XLOOKUP(C234, customers!$A$1:A1233, customers!$B$1:B1233, 0)</f>
        <v>Conny Gheraldi</v>
      </c>
      <c r="G234" s="2" t="str">
        <f>IF(_xlfn.XLOOKUP(C234, customers!A233:A1233, customers!C233:C1233, 0)=0, "", _xlfn.XLOOKUP(C234, customers!A233:A1233, customers!C233:C1233, 0))</f>
        <v>cgheraldi6g@opera.com</v>
      </c>
      <c r="H234" s="2" t="str" cm="1">
        <f t="array" ref="H234">_xlfn.XLOOKUP(C234, customers!$A$1:A1233, customers!$G$1:G1233,, 0)</f>
        <v>United Kingdom</v>
      </c>
      <c r="I234" t="str" cm="1">
        <f t="array" ref="I234">_xlfn.XLOOKUP(orders!D234, products!$A$1:A281, products!$B$1:B281, 0)</f>
        <v>Lib</v>
      </c>
      <c r="J234" t="str" cm="1">
        <f t="array" ref="J234">_xlfn.XLOOKUP(D234, products!$A$1:A281, products!$C$1:C281, 0)</f>
        <v>L</v>
      </c>
      <c r="K234" s="4" cm="1">
        <f t="array" ref="K234">_xlfn.XLOOKUP(D234, products!$A$1:A281, products!$D$1:D281, 0)</f>
        <v>0.2</v>
      </c>
      <c r="L234" s="4" cm="1">
        <f t="array" ref="L234">_xlfn.XLOOKUP(D234, products!$A$1:A281, products!$E$1:E281)</f>
        <v>4.7549999999999999</v>
      </c>
      <c r="M234">
        <f t="shared" si="6"/>
        <v>23.774999999999999</v>
      </c>
      <c r="N234" t="str">
        <f t="shared" si="7"/>
        <v>Liberica</v>
      </c>
      <c r="O234" t="str" cm="1">
        <f t="array" ref="O234">_xlfn.IFS(J234="M", "Medium", J234="L", "Light", J234="D", "Dark")</f>
        <v>Light</v>
      </c>
      <c r="P234" t="str">
        <f>_xlfn.XLOOKUP(Orders[[#This Row],[Customer ID]], customers!$A$2:$A$1001, customers!$I$2:$I$1001, 0)</f>
        <v>No</v>
      </c>
    </row>
    <row r="235" spans="1:16" x14ac:dyDescent="0.35">
      <c r="A235" s="2" t="s">
        <v>1806</v>
      </c>
      <c r="B235" s="3">
        <v>44278</v>
      </c>
      <c r="C235" s="2" t="s">
        <v>1807</v>
      </c>
      <c r="D235" t="s">
        <v>6156</v>
      </c>
      <c r="E235" s="2">
        <v>5</v>
      </c>
      <c r="F235" s="2" t="str" cm="1">
        <f t="array" ref="F235">_xlfn.XLOOKUP(C235, customers!$A$1:A1234, customers!$B$1:B1234, 0)</f>
        <v>Beryle Kenwell</v>
      </c>
      <c r="G235" s="2" t="str">
        <f>IF(_xlfn.XLOOKUP(C235, customers!A234:A1234, customers!C234:C1234, 0)=0, "", _xlfn.XLOOKUP(C235, customers!A234:A1234, customers!C234:C1234, 0))</f>
        <v>bkenwell6h@over-blog.com</v>
      </c>
      <c r="H235" s="2" t="str" cm="1">
        <f t="array" ref="H235">_xlfn.XLOOKUP(C235, customers!$A$1:A1234, customers!$G$1:G1234,, 0)</f>
        <v>United States</v>
      </c>
      <c r="I235" t="str" cm="1">
        <f t="array" ref="I235">_xlfn.XLOOKUP(orders!D235, products!$A$1:A282, products!$B$1:B282, 0)</f>
        <v>Exc</v>
      </c>
      <c r="J235" t="str" cm="1">
        <f t="array" ref="J235">_xlfn.XLOOKUP(D235, products!$A$1:A282, products!$C$1:C282, 0)</f>
        <v>M</v>
      </c>
      <c r="K235" s="4" cm="1">
        <f t="array" ref="K235">_xlfn.XLOOKUP(D235, products!$A$1:A282, products!$D$1:D282, 0)</f>
        <v>0.2</v>
      </c>
      <c r="L235" s="4" cm="1">
        <f t="array" ref="L235">_xlfn.XLOOKUP(D235, products!$A$1:A282, products!$E$1:E282)</f>
        <v>4.125</v>
      </c>
      <c r="M235">
        <f t="shared" si="6"/>
        <v>20.625</v>
      </c>
      <c r="N235" t="str">
        <f t="shared" si="7"/>
        <v>Excelsa</v>
      </c>
      <c r="O235" t="str" cm="1">
        <f t="array" ref="O235">_xlfn.IFS(J235="M", "Medium", J235="L", "Light", J235="D", "Dark")</f>
        <v>Medium</v>
      </c>
      <c r="P235" t="str">
        <f>_xlfn.XLOOKUP(Orders[[#This Row],[Customer ID]], customers!$A$2:$A$1001, customers!$I$2:$I$1001, 0)</f>
        <v>No</v>
      </c>
    </row>
    <row r="236" spans="1:16" x14ac:dyDescent="0.35">
      <c r="A236" s="2" t="s">
        <v>1812</v>
      </c>
      <c r="B236" s="3">
        <v>44602</v>
      </c>
      <c r="C236" s="2" t="s">
        <v>1813</v>
      </c>
      <c r="D236" t="s">
        <v>6164</v>
      </c>
      <c r="E236" s="2">
        <v>1</v>
      </c>
      <c r="F236" s="2" t="str" cm="1">
        <f t="array" ref="F236">_xlfn.XLOOKUP(C236, customers!$A$1:A1235, customers!$B$1:B1235, 0)</f>
        <v>Tomas Sutty</v>
      </c>
      <c r="G236" s="2" t="str">
        <f>IF(_xlfn.XLOOKUP(C236, customers!A235:A1235, customers!C235:C1235, 0)=0, "", _xlfn.XLOOKUP(C236, customers!A235:A1235, customers!C235:C1235, 0))</f>
        <v>tsutty6i@google.es</v>
      </c>
      <c r="H236" s="2" t="str" cm="1">
        <f t="array" ref="H236">_xlfn.XLOOKUP(C236, customers!$A$1:A1235, customers!$G$1:G1235,, 0)</f>
        <v>United States</v>
      </c>
      <c r="I236" t="str" cm="1">
        <f t="array" ref="I236">_xlfn.XLOOKUP(orders!D236, products!$A$1:A283, products!$B$1:B283, 0)</f>
        <v>Lib</v>
      </c>
      <c r="J236" t="str" cm="1">
        <f t="array" ref="J236">_xlfn.XLOOKUP(D236, products!$A$1:A283, products!$C$1:C283, 0)</f>
        <v>L</v>
      </c>
      <c r="K236" s="4" cm="1">
        <f t="array" ref="K236">_xlfn.XLOOKUP(D236, products!$A$1:A283, products!$D$1:D283, 0)</f>
        <v>2.5</v>
      </c>
      <c r="L236" s="4" cm="1">
        <f t="array" ref="L236">_xlfn.XLOOKUP(D236, products!$A$1:A283, products!$E$1:E283)</f>
        <v>36.454999999999998</v>
      </c>
      <c r="M236">
        <f t="shared" si="6"/>
        <v>36.454999999999998</v>
      </c>
      <c r="N236" t="str">
        <f t="shared" si="7"/>
        <v>Liberica</v>
      </c>
      <c r="O236" t="str" cm="1">
        <f t="array" ref="O236">_xlfn.IFS(J236="M", "Medium", J236="L", "Light", J236="D", "Dark")</f>
        <v>Light</v>
      </c>
      <c r="P236" t="str">
        <f>_xlfn.XLOOKUP(Orders[[#This Row],[Customer ID]], customers!$A$2:$A$1001, customers!$I$2:$I$1001, 0)</f>
        <v>No</v>
      </c>
    </row>
    <row r="237" spans="1:16" x14ac:dyDescent="0.35">
      <c r="A237" s="2" t="s">
        <v>1818</v>
      </c>
      <c r="B237" s="3">
        <v>43571</v>
      </c>
      <c r="C237" s="2" t="s">
        <v>1819</v>
      </c>
      <c r="D237" t="s">
        <v>6164</v>
      </c>
      <c r="E237" s="2">
        <v>5</v>
      </c>
      <c r="F237" s="2" t="str" cm="1">
        <f t="array" ref="F237">_xlfn.XLOOKUP(C237, customers!$A$1:A1236, customers!$B$1:B1236, 0)</f>
        <v>Samuele Ales0</v>
      </c>
      <c r="G237" s="2" t="str">
        <f>IF(_xlfn.XLOOKUP(C237, customers!A236:A1236, customers!C236:C1236, 0)=0, "", _xlfn.XLOOKUP(C237, customers!A236:A1236, customers!C236:C1236, 0))</f>
        <v/>
      </c>
      <c r="H237" s="2" t="str" cm="1">
        <f t="array" ref="H237">_xlfn.XLOOKUP(C237, customers!$A$1:A1236, customers!$G$1:G1236,, 0)</f>
        <v>Ireland</v>
      </c>
      <c r="I237" t="str" cm="1">
        <f t="array" ref="I237">_xlfn.XLOOKUP(orders!D237, products!$A$1:A284, products!$B$1:B284, 0)</f>
        <v>Lib</v>
      </c>
      <c r="J237" t="str" cm="1">
        <f t="array" ref="J237">_xlfn.XLOOKUP(D237, products!$A$1:A284, products!$C$1:C284, 0)</f>
        <v>L</v>
      </c>
      <c r="K237" s="4" cm="1">
        <f t="array" ref="K237">_xlfn.XLOOKUP(D237, products!$A$1:A284, products!$D$1:D284, 0)</f>
        <v>2.5</v>
      </c>
      <c r="L237" s="4" cm="1">
        <f t="array" ref="L237">_xlfn.XLOOKUP(D237, products!$A$1:A284, products!$E$1:E284)</f>
        <v>36.454999999999998</v>
      </c>
      <c r="M237">
        <f t="shared" si="6"/>
        <v>182.27499999999998</v>
      </c>
      <c r="N237" t="str">
        <f t="shared" si="7"/>
        <v>Liberica</v>
      </c>
      <c r="O237" t="str" cm="1">
        <f t="array" ref="O237">_xlfn.IFS(J237="M", "Medium", J237="L", "Light", J237="D", "Dark")</f>
        <v>Light</v>
      </c>
      <c r="P237" t="str">
        <f>_xlfn.XLOOKUP(Orders[[#This Row],[Customer ID]], customers!$A$2:$A$1001, customers!$I$2:$I$1001, 0)</f>
        <v>No</v>
      </c>
    </row>
    <row r="238" spans="1:16" x14ac:dyDescent="0.35">
      <c r="A238" s="2" t="s">
        <v>1822</v>
      </c>
      <c r="B238" s="3">
        <v>43873</v>
      </c>
      <c r="C238" s="2" t="s">
        <v>1823</v>
      </c>
      <c r="D238" t="s">
        <v>6165</v>
      </c>
      <c r="E238" s="2">
        <v>3</v>
      </c>
      <c r="F238" s="2" t="str" cm="1">
        <f t="array" ref="F238">_xlfn.XLOOKUP(C238, customers!$A$1:A1237, customers!$B$1:B1237, 0)</f>
        <v>Carlie Harce</v>
      </c>
      <c r="G238" s="2" t="str">
        <f>IF(_xlfn.XLOOKUP(C238, customers!A237:A1237, customers!C237:C1237, 0)=0, "", _xlfn.XLOOKUP(C238, customers!A237:A1237, customers!C237:C1237, 0))</f>
        <v>charce6k@cafepress.com</v>
      </c>
      <c r="H238" s="2" t="str" cm="1">
        <f t="array" ref="H238">_xlfn.XLOOKUP(C238, customers!$A$1:A1237, customers!$G$1:G1237,, 0)</f>
        <v>Ireland</v>
      </c>
      <c r="I238" t="str" cm="1">
        <f t="array" ref="I238">_xlfn.XLOOKUP(orders!D238, products!$A$1:A285, products!$B$1:B285, 0)</f>
        <v>Lib</v>
      </c>
      <c r="J238" t="str" cm="1">
        <f t="array" ref="J238">_xlfn.XLOOKUP(D238, products!$A$1:A285, products!$C$1:C285, 0)</f>
        <v>D</v>
      </c>
      <c r="K238" s="4" cm="1">
        <f t="array" ref="K238">_xlfn.XLOOKUP(D238, products!$A$1:A285, products!$D$1:D285, 0)</f>
        <v>2.5</v>
      </c>
      <c r="L238" s="4" cm="1">
        <f t="array" ref="L238">_xlfn.XLOOKUP(D238, products!$A$1:A285, products!$E$1:E285)</f>
        <v>29.784999999999997</v>
      </c>
      <c r="M238">
        <f t="shared" si="6"/>
        <v>89.35499999999999</v>
      </c>
      <c r="N238" t="str">
        <f t="shared" si="7"/>
        <v>Liberica</v>
      </c>
      <c r="O238" t="str" cm="1">
        <f t="array" ref="O238">_xlfn.IFS(J238="M", "Medium", J238="L", "Light", J238="D", "Dark")</f>
        <v>Dark</v>
      </c>
      <c r="P238" t="str">
        <f>_xlfn.XLOOKUP(Orders[[#This Row],[Customer ID]], customers!$A$2:$A$1001, customers!$I$2:$I$1001, 0)</f>
        <v>No</v>
      </c>
    </row>
    <row r="239" spans="1:16" x14ac:dyDescent="0.35">
      <c r="A239" s="2" t="s">
        <v>1828</v>
      </c>
      <c r="B239" s="3">
        <v>44563</v>
      </c>
      <c r="C239" s="2" t="s">
        <v>1829</v>
      </c>
      <c r="D239" t="s">
        <v>6178</v>
      </c>
      <c r="E239" s="2">
        <v>1</v>
      </c>
      <c r="F239" s="2" t="str" cm="1">
        <f t="array" ref="F239">_xlfn.XLOOKUP(C239, customers!$A$1:A1238, customers!$B$1:B1238, 0)</f>
        <v>Craggy Bril</v>
      </c>
      <c r="G239" s="2" t="str">
        <f>IF(_xlfn.XLOOKUP(C239, customers!A238:A1238, customers!C238:C1238, 0)=0, "", _xlfn.XLOOKUP(C239, customers!A238:A1238, customers!C238:C1238, 0))</f>
        <v/>
      </c>
      <c r="H239" s="2" t="str" cm="1">
        <f t="array" ref="H239">_xlfn.XLOOKUP(C239, customers!$A$1:A1238, customers!$G$1:G1238,, 0)</f>
        <v>United States</v>
      </c>
      <c r="I239" t="str" cm="1">
        <f t="array" ref="I239">_xlfn.XLOOKUP(orders!D239, products!$A$1:A286, products!$B$1:B286, 0)</f>
        <v>Rob</v>
      </c>
      <c r="J239" t="str" cm="1">
        <f t="array" ref="J239">_xlfn.XLOOKUP(D239, products!$A$1:A286, products!$C$1:C286, 0)</f>
        <v>L</v>
      </c>
      <c r="K239" s="4" cm="1">
        <f t="array" ref="K239">_xlfn.XLOOKUP(D239, products!$A$1:A286, products!$D$1:D286, 0)</f>
        <v>0.2</v>
      </c>
      <c r="L239" s="4" cm="1">
        <f t="array" ref="L239">_xlfn.XLOOKUP(D239, products!$A$1:A286, products!$E$1:E286)</f>
        <v>3.5849999999999995</v>
      </c>
      <c r="M239">
        <f t="shared" si="6"/>
        <v>3.5849999999999995</v>
      </c>
      <c r="N239" t="str">
        <f t="shared" si="7"/>
        <v>Robusta</v>
      </c>
      <c r="O239" t="str" cm="1">
        <f t="array" ref="O239">_xlfn.IFS(J239="M", "Medium", J239="L", "Light", J239="D", "Dark")</f>
        <v>Light</v>
      </c>
      <c r="P239" t="str">
        <f>_xlfn.XLOOKUP(Orders[[#This Row],[Customer ID]], customers!$A$2:$A$1001, customers!$I$2:$I$1001, 0)</f>
        <v>Yes</v>
      </c>
    </row>
    <row r="240" spans="1:16" x14ac:dyDescent="0.35">
      <c r="A240" s="2" t="s">
        <v>1833</v>
      </c>
      <c r="B240" s="3">
        <v>44172</v>
      </c>
      <c r="C240" s="2" t="s">
        <v>1834</v>
      </c>
      <c r="D240" t="s">
        <v>6151</v>
      </c>
      <c r="E240" s="2">
        <v>2</v>
      </c>
      <c r="F240" s="2" t="str" cm="1">
        <f t="array" ref="F240">_xlfn.XLOOKUP(C240, customers!$A$1:A1239, customers!$B$1:B1239, 0)</f>
        <v>Friederike Drysdale</v>
      </c>
      <c r="G240" s="2" t="str">
        <f>IF(_xlfn.XLOOKUP(C240, customers!A239:A1239, customers!C239:C1239, 0)=0, "", _xlfn.XLOOKUP(C240, customers!A239:A1239, customers!C239:C1239, 0))</f>
        <v>fdrysdale6m@symantec.com</v>
      </c>
      <c r="H240" s="2" t="str" cm="1">
        <f t="array" ref="H240">_xlfn.XLOOKUP(C240, customers!$A$1:A1239, customers!$G$1:G1239,, 0)</f>
        <v>United States</v>
      </c>
      <c r="I240" t="str" cm="1">
        <f t="array" ref="I240">_xlfn.XLOOKUP(orders!D240, products!$A$1:A287, products!$B$1:B287, 0)</f>
        <v>Rob</v>
      </c>
      <c r="J240" t="str" cm="1">
        <f t="array" ref="J240">_xlfn.XLOOKUP(D240, products!$A$1:A287, products!$C$1:C287, 0)</f>
        <v>M</v>
      </c>
      <c r="K240" s="4" cm="1">
        <f t="array" ref="K240">_xlfn.XLOOKUP(D240, products!$A$1:A287, products!$D$1:D287, 0)</f>
        <v>2.5</v>
      </c>
      <c r="L240" s="4" cm="1">
        <f t="array" ref="L240">_xlfn.XLOOKUP(D240, products!$A$1:A287, products!$E$1:E287)</f>
        <v>22.884999999999998</v>
      </c>
      <c r="M240">
        <f t="shared" si="6"/>
        <v>45.769999999999996</v>
      </c>
      <c r="N240" t="str">
        <f t="shared" si="7"/>
        <v>Robusta</v>
      </c>
      <c r="O240" t="str" cm="1">
        <f t="array" ref="O240">_xlfn.IFS(J240="M", "Medium", J240="L", "Light", J240="D", "Dark")</f>
        <v>Medium</v>
      </c>
      <c r="P240" t="str">
        <f>_xlfn.XLOOKUP(Orders[[#This Row],[Customer ID]], customers!$A$2:$A$1001, customers!$I$2:$I$1001, 0)</f>
        <v>Yes</v>
      </c>
    </row>
    <row r="241" spans="1:16" x14ac:dyDescent="0.35">
      <c r="A241" s="2" t="s">
        <v>1839</v>
      </c>
      <c r="B241" s="3">
        <v>43881</v>
      </c>
      <c r="C241" s="2" t="s">
        <v>1840</v>
      </c>
      <c r="D241" t="s">
        <v>6171</v>
      </c>
      <c r="E241" s="2">
        <v>4</v>
      </c>
      <c r="F241" s="2" t="str" cm="1">
        <f t="array" ref="F241">_xlfn.XLOOKUP(C241, customers!$A$1:A1240, customers!$B$1:B1240, 0)</f>
        <v>Devon Magowan</v>
      </c>
      <c r="G241" s="2" t="str">
        <f>IF(_xlfn.XLOOKUP(C241, customers!A240:A1240, customers!C240:C1240, 0)=0, "", _xlfn.XLOOKUP(C241, customers!A240:A1240, customers!C240:C1240, 0))</f>
        <v>dmagowan6n@fc2.com</v>
      </c>
      <c r="H241" s="2" t="str" cm="1">
        <f t="array" ref="H241">_xlfn.XLOOKUP(C241, customers!$A$1:A1240, customers!$G$1:G1240,, 0)</f>
        <v>United States</v>
      </c>
      <c r="I241" t="str" cm="1">
        <f t="array" ref="I241">_xlfn.XLOOKUP(orders!D241, products!$A$1:A288, products!$B$1:B288, 0)</f>
        <v>Exc</v>
      </c>
      <c r="J241" t="str" cm="1">
        <f t="array" ref="J241">_xlfn.XLOOKUP(D241, products!$A$1:A288, products!$C$1:C288, 0)</f>
        <v>L</v>
      </c>
      <c r="K241" s="4" cm="1">
        <f t="array" ref="K241">_xlfn.XLOOKUP(D241, products!$A$1:A288, products!$D$1:D288, 0)</f>
        <v>1</v>
      </c>
      <c r="L241" s="4" cm="1">
        <f t="array" ref="L241">_xlfn.XLOOKUP(D241, products!$A$1:A288, products!$E$1:E288)</f>
        <v>14.85</v>
      </c>
      <c r="M241">
        <f t="shared" si="6"/>
        <v>59.4</v>
      </c>
      <c r="N241" t="str">
        <f t="shared" si="7"/>
        <v>Excelsa</v>
      </c>
      <c r="O241" t="str" cm="1">
        <f t="array" ref="O241">_xlfn.IFS(J241="M", "Medium", J241="L", "Light", J241="D", "Dark")</f>
        <v>Light</v>
      </c>
      <c r="P241" t="str">
        <f>_xlfn.XLOOKUP(Orders[[#This Row],[Customer ID]], customers!$A$2:$A$1001, customers!$I$2:$I$1001, 0)</f>
        <v>No</v>
      </c>
    </row>
    <row r="242" spans="1:16" x14ac:dyDescent="0.35">
      <c r="A242" s="2" t="s">
        <v>1845</v>
      </c>
      <c r="B242" s="3">
        <v>43993</v>
      </c>
      <c r="C242" s="2" t="s">
        <v>1846</v>
      </c>
      <c r="D242" t="s">
        <v>6175</v>
      </c>
      <c r="E242" s="2">
        <v>6</v>
      </c>
      <c r="F242" s="2" t="str" cm="1">
        <f t="array" ref="F242">_xlfn.XLOOKUP(C242, customers!$A$1:A1241, customers!$B$1:B1241, 0)</f>
        <v>Codi Littrell</v>
      </c>
      <c r="G242" s="2" t="str">
        <f>IF(_xlfn.XLOOKUP(C242, customers!A241:A1241, customers!C241:C1241, 0)=0, "", _xlfn.XLOOKUP(C242, customers!A241:A1241, customers!C241:C1241, 0))</f>
        <v/>
      </c>
      <c r="H242" s="2" t="str" cm="1">
        <f t="array" ref="H242">_xlfn.XLOOKUP(C242, customers!$A$1:A1241, customers!$G$1:G1241,, 0)</f>
        <v>United States</v>
      </c>
      <c r="I242" t="str" cm="1">
        <f t="array" ref="I242">_xlfn.XLOOKUP(orders!D242, products!$A$1:A289, products!$B$1:B289, 0)</f>
        <v>Ara</v>
      </c>
      <c r="J242" t="str" cm="1">
        <f t="array" ref="J242">_xlfn.XLOOKUP(D242, products!$A$1:A289, products!$C$1:C289, 0)</f>
        <v>M</v>
      </c>
      <c r="K242" s="4" cm="1">
        <f t="array" ref="K242">_xlfn.XLOOKUP(D242, products!$A$1:A289, products!$D$1:D289, 0)</f>
        <v>2.5</v>
      </c>
      <c r="L242" s="4" cm="1">
        <f t="array" ref="L242">_xlfn.XLOOKUP(D242, products!$A$1:A289, products!$E$1:E289)</f>
        <v>25.874999999999996</v>
      </c>
      <c r="M242">
        <f t="shared" si="6"/>
        <v>155.24999999999997</v>
      </c>
      <c r="N242" t="str">
        <f t="shared" si="7"/>
        <v>Arabica</v>
      </c>
      <c r="O242" t="str" cm="1">
        <f t="array" ref="O242">_xlfn.IFS(J242="M", "Medium", J242="L", "Light", J242="D", "Dark")</f>
        <v>Medium</v>
      </c>
      <c r="P242" t="str">
        <f>_xlfn.XLOOKUP(Orders[[#This Row],[Customer ID]], customers!$A$2:$A$1001, customers!$I$2:$I$1001, 0)</f>
        <v>Yes</v>
      </c>
    </row>
    <row r="243" spans="1:16" x14ac:dyDescent="0.35">
      <c r="A243" s="2" t="s">
        <v>1849</v>
      </c>
      <c r="B243" s="3">
        <v>44082</v>
      </c>
      <c r="C243" s="2" t="s">
        <v>1850</v>
      </c>
      <c r="D243" t="s">
        <v>6151</v>
      </c>
      <c r="E243" s="2">
        <v>2</v>
      </c>
      <c r="F243" s="2" t="str" cm="1">
        <f t="array" ref="F243">_xlfn.XLOOKUP(C243, customers!$A$1:A1242, customers!$B$1:B1242, 0)</f>
        <v>Christel Speak</v>
      </c>
      <c r="G243" s="2" t="str">
        <f>IF(_xlfn.XLOOKUP(C243, customers!A242:A1242, customers!C242:C1242, 0)=0, "", _xlfn.XLOOKUP(C243, customers!A242:A1242, customers!C242:C1242, 0))</f>
        <v/>
      </c>
      <c r="H243" s="2" t="str" cm="1">
        <f t="array" ref="H243">_xlfn.XLOOKUP(C243, customers!$A$1:A1242, customers!$G$1:G1242,, 0)</f>
        <v>United States</v>
      </c>
      <c r="I243" t="str" cm="1">
        <f t="array" ref="I243">_xlfn.XLOOKUP(orders!D243, products!$A$1:A290, products!$B$1:B290, 0)</f>
        <v>Rob</v>
      </c>
      <c r="J243" t="str" cm="1">
        <f t="array" ref="J243">_xlfn.XLOOKUP(D243, products!$A$1:A290, products!$C$1:C290, 0)</f>
        <v>M</v>
      </c>
      <c r="K243" s="4" cm="1">
        <f t="array" ref="K243">_xlfn.XLOOKUP(D243, products!$A$1:A290, products!$D$1:D290, 0)</f>
        <v>2.5</v>
      </c>
      <c r="L243" s="4" cm="1">
        <f t="array" ref="L243">_xlfn.XLOOKUP(D243, products!$A$1:A290, products!$E$1:E290)</f>
        <v>22.884999999999998</v>
      </c>
      <c r="M243">
        <f t="shared" si="6"/>
        <v>45.769999999999996</v>
      </c>
      <c r="N243" t="str">
        <f t="shared" si="7"/>
        <v>Robusta</v>
      </c>
      <c r="O243" t="str" cm="1">
        <f t="array" ref="O243">_xlfn.IFS(J243="M", "Medium", J243="L", "Light", J243="D", "Dark")</f>
        <v>Medium</v>
      </c>
      <c r="P243" t="str">
        <f>_xlfn.XLOOKUP(Orders[[#This Row],[Customer ID]], customers!$A$2:$A$1001, customers!$I$2:$I$1001, 0)</f>
        <v>No</v>
      </c>
    </row>
    <row r="244" spans="1:16" x14ac:dyDescent="0.35">
      <c r="A244" s="2" t="s">
        <v>1854</v>
      </c>
      <c r="B244" s="3">
        <v>43918</v>
      </c>
      <c r="C244" s="2" t="s">
        <v>1855</v>
      </c>
      <c r="D244" t="s">
        <v>6183</v>
      </c>
      <c r="E244" s="2">
        <v>3</v>
      </c>
      <c r="F244" s="2" t="str" cm="1">
        <f t="array" ref="F244">_xlfn.XLOOKUP(C244, customers!$A$1:A1243, customers!$B$1:B1243, 0)</f>
        <v>Sibella Rushbrooke</v>
      </c>
      <c r="G244" s="2" t="str">
        <f>IF(_xlfn.XLOOKUP(C244, customers!A243:A1243, customers!C243:C1243, 0)=0, "", _xlfn.XLOOKUP(C244, customers!A243:A1243, customers!C243:C1243, 0))</f>
        <v>srushbrooke6q@youku.com</v>
      </c>
      <c r="H244" s="2" t="str" cm="1">
        <f t="array" ref="H244">_xlfn.XLOOKUP(C244, customers!$A$1:A1243, customers!$G$1:G1243,, 0)</f>
        <v>United States</v>
      </c>
      <c r="I244" t="str" cm="1">
        <f t="array" ref="I244">_xlfn.XLOOKUP(orders!D244, products!$A$1:A291, products!$B$1:B291, 0)</f>
        <v>Exc</v>
      </c>
      <c r="J244" t="str" cm="1">
        <f t="array" ref="J244">_xlfn.XLOOKUP(D244, products!$A$1:A291, products!$C$1:C291, 0)</f>
        <v>D</v>
      </c>
      <c r="K244" s="4" cm="1">
        <f t="array" ref="K244">_xlfn.XLOOKUP(D244, products!$A$1:A291, products!$D$1:D291, 0)</f>
        <v>1</v>
      </c>
      <c r="L244" s="4" cm="1">
        <f t="array" ref="L244">_xlfn.XLOOKUP(D244, products!$A$1:A291, products!$E$1:E291)</f>
        <v>12.15</v>
      </c>
      <c r="M244">
        <f t="shared" si="6"/>
        <v>36.450000000000003</v>
      </c>
      <c r="N244" t="str">
        <f t="shared" si="7"/>
        <v>Excelsa</v>
      </c>
      <c r="O244" t="str" cm="1">
        <f t="array" ref="O244">_xlfn.IFS(J244="M", "Medium", J244="L", "Light", J244="D", "Dark")</f>
        <v>Dark</v>
      </c>
      <c r="P244" t="str">
        <f>_xlfn.XLOOKUP(Orders[[#This Row],[Customer ID]], customers!$A$2:$A$1001, customers!$I$2:$I$1001, 0)</f>
        <v>Yes</v>
      </c>
    </row>
    <row r="245" spans="1:16" x14ac:dyDescent="0.35">
      <c r="A245" s="2" t="s">
        <v>1860</v>
      </c>
      <c r="B245" s="3">
        <v>44114</v>
      </c>
      <c r="C245" s="2" t="s">
        <v>1861</v>
      </c>
      <c r="D245" t="s">
        <v>6144</v>
      </c>
      <c r="E245" s="2">
        <v>4</v>
      </c>
      <c r="F245" s="2" t="str" cm="1">
        <f t="array" ref="F245">_xlfn.XLOOKUP(C245, customers!$A$1:A1244, customers!$B$1:B1244, 0)</f>
        <v>Tammie Drynan</v>
      </c>
      <c r="G245" s="2" t="str">
        <f>IF(_xlfn.XLOOKUP(C245, customers!A244:A1244, customers!C244:C1244, 0)=0, "", _xlfn.XLOOKUP(C245, customers!A244:A1244, customers!C244:C1244, 0))</f>
        <v>tdrynan6r@deviantart.com</v>
      </c>
      <c r="H245" s="2" t="str" cm="1">
        <f t="array" ref="H245">_xlfn.XLOOKUP(C245, customers!$A$1:A1244, customers!$G$1:G1244,, 0)</f>
        <v>United States</v>
      </c>
      <c r="I245" t="str" cm="1">
        <f t="array" ref="I245">_xlfn.XLOOKUP(orders!D245, products!$A$1:A292, products!$B$1:B292, 0)</f>
        <v>Exc</v>
      </c>
      <c r="J245" t="str" cm="1">
        <f t="array" ref="J245">_xlfn.XLOOKUP(D245, products!$A$1:A292, products!$C$1:C292, 0)</f>
        <v>D</v>
      </c>
      <c r="K245" s="4" cm="1">
        <f t="array" ref="K245">_xlfn.XLOOKUP(D245, products!$A$1:A292, products!$D$1:D292, 0)</f>
        <v>0.5</v>
      </c>
      <c r="L245" s="4" cm="1">
        <f t="array" ref="L245">_xlfn.XLOOKUP(D245, products!$A$1:A292, products!$E$1:E292)</f>
        <v>7.29</v>
      </c>
      <c r="M245">
        <f t="shared" si="6"/>
        <v>29.16</v>
      </c>
      <c r="N245" t="str">
        <f t="shared" si="7"/>
        <v>Excelsa</v>
      </c>
      <c r="O245" t="str" cm="1">
        <f t="array" ref="O245">_xlfn.IFS(J245="M", "Medium", J245="L", "Light", J245="D", "Dark")</f>
        <v>Dark</v>
      </c>
      <c r="P245" t="str">
        <f>_xlfn.XLOOKUP(Orders[[#This Row],[Customer ID]], customers!$A$2:$A$1001, customers!$I$2:$I$1001, 0)</f>
        <v>Yes</v>
      </c>
    </row>
    <row r="246" spans="1:16" x14ac:dyDescent="0.35">
      <c r="A246" s="2" t="s">
        <v>1866</v>
      </c>
      <c r="B246" s="3">
        <v>44702</v>
      </c>
      <c r="C246" s="2" t="s">
        <v>1867</v>
      </c>
      <c r="D246" t="s">
        <v>6181</v>
      </c>
      <c r="E246" s="2">
        <v>4</v>
      </c>
      <c r="F246" s="2" t="str" cm="1">
        <f t="array" ref="F246">_xlfn.XLOOKUP(C246, customers!$A$1:A1245, customers!$B$1:B1245, 0)</f>
        <v>Effie Yurkov</v>
      </c>
      <c r="G246" s="2" t="str">
        <f>IF(_xlfn.XLOOKUP(C246, customers!A245:A1245, customers!C245:C1245, 0)=0, "", _xlfn.XLOOKUP(C246, customers!A245:A1245, customers!C245:C1245, 0))</f>
        <v>eyurkov6s@hud.gov</v>
      </c>
      <c r="H246" s="2" t="str" cm="1">
        <f t="array" ref="H246">_xlfn.XLOOKUP(C246, customers!$A$1:A1245, customers!$G$1:G1245,, 0)</f>
        <v>United States</v>
      </c>
      <c r="I246" t="str" cm="1">
        <f t="array" ref="I246">_xlfn.XLOOKUP(orders!D246, products!$A$1:A293, products!$B$1:B293, 0)</f>
        <v>Lib</v>
      </c>
      <c r="J246" t="str" cm="1">
        <f t="array" ref="J246">_xlfn.XLOOKUP(D246, products!$A$1:A293, products!$C$1:C293, 0)</f>
        <v>M</v>
      </c>
      <c r="K246" s="4" cm="1">
        <f t="array" ref="K246">_xlfn.XLOOKUP(D246, products!$A$1:A293, products!$D$1:D293, 0)</f>
        <v>2.5</v>
      </c>
      <c r="L246" s="4" cm="1">
        <f t="array" ref="L246">_xlfn.XLOOKUP(D246, products!$A$1:A293, products!$E$1:E293)</f>
        <v>33.464999999999996</v>
      </c>
      <c r="M246">
        <f t="shared" si="6"/>
        <v>133.85999999999999</v>
      </c>
      <c r="N246" t="str">
        <f t="shared" si="7"/>
        <v>Liberica</v>
      </c>
      <c r="O246" t="str" cm="1">
        <f t="array" ref="O246">_xlfn.IFS(J246="M", "Medium", J246="L", "Light", J246="D", "Dark")</f>
        <v>Medium</v>
      </c>
      <c r="P246" t="str">
        <f>_xlfn.XLOOKUP(Orders[[#This Row],[Customer ID]], customers!$A$2:$A$1001, customers!$I$2:$I$1001, 0)</f>
        <v>No</v>
      </c>
    </row>
    <row r="247" spans="1:16" x14ac:dyDescent="0.35">
      <c r="A247" s="2" t="s">
        <v>1872</v>
      </c>
      <c r="B247" s="3">
        <v>43951</v>
      </c>
      <c r="C247" s="2" t="s">
        <v>1873</v>
      </c>
      <c r="D247" t="s">
        <v>6145</v>
      </c>
      <c r="E247" s="2">
        <v>5</v>
      </c>
      <c r="F247" s="2" t="str" cm="1">
        <f t="array" ref="F247">_xlfn.XLOOKUP(C247, customers!$A$1:A1246, customers!$B$1:B1246, 0)</f>
        <v>Lexie Mallan</v>
      </c>
      <c r="G247" s="2" t="str">
        <f>IF(_xlfn.XLOOKUP(C247, customers!A246:A1246, customers!C246:C1246, 0)=0, "", _xlfn.XLOOKUP(C247, customers!A246:A1246, customers!C246:C1246, 0))</f>
        <v>lmallan6t@state.gov</v>
      </c>
      <c r="H247" s="2" t="str" cm="1">
        <f t="array" ref="H247">_xlfn.XLOOKUP(C247, customers!$A$1:A1246, customers!$G$1:G1246,, 0)</f>
        <v>United States</v>
      </c>
      <c r="I247" t="str" cm="1">
        <f t="array" ref="I247">_xlfn.XLOOKUP(orders!D247, products!$A$1:A294, products!$B$1:B294, 0)</f>
        <v>Lib</v>
      </c>
      <c r="J247" t="str" cm="1">
        <f t="array" ref="J247">_xlfn.XLOOKUP(D247, products!$A$1:A294, products!$C$1:C294, 0)</f>
        <v>L</v>
      </c>
      <c r="K247" s="4" cm="1">
        <f t="array" ref="K247">_xlfn.XLOOKUP(D247, products!$A$1:A294, products!$D$1:D294, 0)</f>
        <v>0.2</v>
      </c>
      <c r="L247" s="4" cm="1">
        <f t="array" ref="L247">_xlfn.XLOOKUP(D247, products!$A$1:A294, products!$E$1:E294)</f>
        <v>4.7549999999999999</v>
      </c>
      <c r="M247">
        <f t="shared" si="6"/>
        <v>23.774999999999999</v>
      </c>
      <c r="N247" t="str">
        <f t="shared" si="7"/>
        <v>Liberica</v>
      </c>
      <c r="O247" t="str" cm="1">
        <f t="array" ref="O247">_xlfn.IFS(J247="M", "Medium", J247="L", "Light", J247="D", "Dark")</f>
        <v>Light</v>
      </c>
      <c r="P247" t="str">
        <f>_xlfn.XLOOKUP(Orders[[#This Row],[Customer ID]], customers!$A$2:$A$1001, customers!$I$2:$I$1001, 0)</f>
        <v>Yes</v>
      </c>
    </row>
    <row r="248" spans="1:16" x14ac:dyDescent="0.35">
      <c r="A248" s="2" t="s">
        <v>1878</v>
      </c>
      <c r="B248" s="3">
        <v>44542</v>
      </c>
      <c r="C248" s="2" t="s">
        <v>1879</v>
      </c>
      <c r="D248" t="s">
        <v>6143</v>
      </c>
      <c r="E248" s="2">
        <v>3</v>
      </c>
      <c r="F248" s="2" t="str" cm="1">
        <f t="array" ref="F248">_xlfn.XLOOKUP(C248, customers!$A$1:A1247, customers!$B$1:B1247, 0)</f>
        <v>Georgena Bentjens</v>
      </c>
      <c r="G248" s="2" t="str">
        <f>IF(_xlfn.XLOOKUP(C248, customers!A247:A1247, customers!C247:C1247, 0)=0, "", _xlfn.XLOOKUP(C248, customers!A247:A1247, customers!C247:C1247, 0))</f>
        <v>gbentjens6u@netlog.com</v>
      </c>
      <c r="H248" s="2" t="str" cm="1">
        <f t="array" ref="H248">_xlfn.XLOOKUP(C248, customers!$A$1:A1247, customers!$G$1:G1247,, 0)</f>
        <v>United Kingdom</v>
      </c>
      <c r="I248" t="str" cm="1">
        <f t="array" ref="I248">_xlfn.XLOOKUP(orders!D248, products!$A$1:A295, products!$B$1:B295, 0)</f>
        <v>Lib</v>
      </c>
      <c r="J248" t="str" cm="1">
        <f t="array" ref="J248">_xlfn.XLOOKUP(D248, products!$A$1:A295, products!$C$1:C295, 0)</f>
        <v>D</v>
      </c>
      <c r="K248" s="4" cm="1">
        <f t="array" ref="K248">_xlfn.XLOOKUP(D248, products!$A$1:A295, products!$D$1:D295, 0)</f>
        <v>1</v>
      </c>
      <c r="L248" s="4" cm="1">
        <f t="array" ref="L248">_xlfn.XLOOKUP(D248, products!$A$1:A295, products!$E$1:E295)</f>
        <v>12.95</v>
      </c>
      <c r="M248">
        <f t="shared" si="6"/>
        <v>38.849999999999994</v>
      </c>
      <c r="N248" t="str">
        <f t="shared" si="7"/>
        <v>Liberica</v>
      </c>
      <c r="O248" t="str" cm="1">
        <f t="array" ref="O248">_xlfn.IFS(J248="M", "Medium", J248="L", "Light", J248="D", "Dark")</f>
        <v>Dark</v>
      </c>
      <c r="P248" t="str">
        <f>_xlfn.XLOOKUP(Orders[[#This Row],[Customer ID]], customers!$A$2:$A$1001, customers!$I$2:$I$1001, 0)</f>
        <v>No</v>
      </c>
    </row>
    <row r="249" spans="1:16" x14ac:dyDescent="0.35">
      <c r="A249" s="2" t="s">
        <v>1884</v>
      </c>
      <c r="B249" s="3">
        <v>44131</v>
      </c>
      <c r="C249" s="2" t="s">
        <v>1885</v>
      </c>
      <c r="D249" t="s">
        <v>6178</v>
      </c>
      <c r="E249" s="2">
        <v>6</v>
      </c>
      <c r="F249" s="2" t="str" cm="1">
        <f t="array" ref="F249">_xlfn.XLOOKUP(C249, customers!$A$1:A1248, customers!$B$1:B1248, 0)</f>
        <v>Delmar Beasant</v>
      </c>
      <c r="G249" s="2" t="str">
        <f>IF(_xlfn.XLOOKUP(C249, customers!A248:A1248, customers!C248:C1248, 0)=0, "", _xlfn.XLOOKUP(C249, customers!A248:A1248, customers!C248:C1248, 0))</f>
        <v/>
      </c>
      <c r="H249" s="2" t="str" cm="1">
        <f t="array" ref="H249">_xlfn.XLOOKUP(C249, customers!$A$1:A1248, customers!$G$1:G1248,, 0)</f>
        <v>Ireland</v>
      </c>
      <c r="I249" t="str" cm="1">
        <f t="array" ref="I249">_xlfn.XLOOKUP(orders!D249, products!$A$1:A296, products!$B$1:B296, 0)</f>
        <v>Rob</v>
      </c>
      <c r="J249" t="str" cm="1">
        <f t="array" ref="J249">_xlfn.XLOOKUP(D249, products!$A$1:A296, products!$C$1:C296, 0)</f>
        <v>L</v>
      </c>
      <c r="K249" s="4" cm="1">
        <f t="array" ref="K249">_xlfn.XLOOKUP(D249, products!$A$1:A296, products!$D$1:D296, 0)</f>
        <v>0.2</v>
      </c>
      <c r="L249" s="4" cm="1">
        <f t="array" ref="L249">_xlfn.XLOOKUP(D249, products!$A$1:A296, products!$E$1:E296)</f>
        <v>3.5849999999999995</v>
      </c>
      <c r="M249">
        <f t="shared" si="6"/>
        <v>21.509999999999998</v>
      </c>
      <c r="N249" t="str">
        <f t="shared" si="7"/>
        <v>Robusta</v>
      </c>
      <c r="O249" t="str" cm="1">
        <f t="array" ref="O249">_xlfn.IFS(J249="M", "Medium", J249="L", "Light", J249="D", "Dark")</f>
        <v>Light</v>
      </c>
      <c r="P249" t="str">
        <f>_xlfn.XLOOKUP(Orders[[#This Row],[Customer ID]], customers!$A$2:$A$1001, customers!$I$2:$I$1001, 0)</f>
        <v>Yes</v>
      </c>
    </row>
    <row r="250" spans="1:16" x14ac:dyDescent="0.35">
      <c r="A250" s="2" t="s">
        <v>1889</v>
      </c>
      <c r="B250" s="3">
        <v>44019</v>
      </c>
      <c r="C250" s="2" t="s">
        <v>1890</v>
      </c>
      <c r="D250" t="s">
        <v>6147</v>
      </c>
      <c r="E250" s="2">
        <v>1</v>
      </c>
      <c r="F250" s="2" t="str" cm="1">
        <f t="array" ref="F250">_xlfn.XLOOKUP(C250, customers!$A$1:A1249, customers!$B$1:B1249, 0)</f>
        <v>Lyn Entwistle</v>
      </c>
      <c r="G250" s="2" t="str">
        <f>IF(_xlfn.XLOOKUP(C250, customers!A249:A1249, customers!C249:C1249, 0)=0, "", _xlfn.XLOOKUP(C250, customers!A249:A1249, customers!C249:C1249, 0))</f>
        <v>lentwistle6w@omniture.com</v>
      </c>
      <c r="H250" s="2" t="str" cm="1">
        <f t="array" ref="H250">_xlfn.XLOOKUP(C250, customers!$A$1:A1249, customers!$G$1:G1249,, 0)</f>
        <v>United States</v>
      </c>
      <c r="I250" t="str" cm="1">
        <f t="array" ref="I250">_xlfn.XLOOKUP(orders!D250, products!$A$1:A297, products!$B$1:B297, 0)</f>
        <v>Ara</v>
      </c>
      <c r="J250" t="str" cm="1">
        <f t="array" ref="J250">_xlfn.XLOOKUP(D250, products!$A$1:A297, products!$C$1:C297, 0)</f>
        <v>D</v>
      </c>
      <c r="K250" s="4" cm="1">
        <f t="array" ref="K250">_xlfn.XLOOKUP(D250, products!$A$1:A297, products!$D$1:D297, 0)</f>
        <v>1</v>
      </c>
      <c r="L250" s="4" cm="1">
        <f t="array" ref="L250">_xlfn.XLOOKUP(D250, products!$A$1:A297, products!$E$1:E297)</f>
        <v>9.9499999999999993</v>
      </c>
      <c r="M250">
        <f t="shared" si="6"/>
        <v>9.9499999999999993</v>
      </c>
      <c r="N250" t="str">
        <f t="shared" si="7"/>
        <v>Arabica</v>
      </c>
      <c r="O250" t="str" cm="1">
        <f t="array" ref="O250">_xlfn.IFS(J250="M", "Medium", J250="L", "Light", J250="D", "Dark")</f>
        <v>Dark</v>
      </c>
      <c r="P250" t="str">
        <f>_xlfn.XLOOKUP(Orders[[#This Row],[Customer ID]], customers!$A$2:$A$1001, customers!$I$2:$I$1001, 0)</f>
        <v>Yes</v>
      </c>
    </row>
    <row r="251" spans="1:16" x14ac:dyDescent="0.35">
      <c r="A251" s="2" t="s">
        <v>1895</v>
      </c>
      <c r="B251" s="3">
        <v>43861</v>
      </c>
      <c r="C251" s="2" t="s">
        <v>1935</v>
      </c>
      <c r="D251" t="s">
        <v>6170</v>
      </c>
      <c r="E251" s="2">
        <v>1</v>
      </c>
      <c r="F251" s="2" t="str" cm="1">
        <f t="array" ref="F251">_xlfn.XLOOKUP(C251, customers!$A$1:A1250, customers!$B$1:B1250, 0)</f>
        <v>Zacharias Kiffe</v>
      </c>
      <c r="G251" s="2" t="str">
        <f>IF(_xlfn.XLOOKUP(C251, customers!A250:A1250, customers!C250:C1250, 0)=0, "", _xlfn.XLOOKUP(C251, customers!A250:A1250, customers!C250:C1250, 0))</f>
        <v>zkiffe74@cyberchimps.com</v>
      </c>
      <c r="H251" s="2" t="str" cm="1">
        <f t="array" ref="H251">_xlfn.XLOOKUP(C251, customers!$A$1:A1250, customers!$G$1:G1250,, 0)</f>
        <v>United States</v>
      </c>
      <c r="I251" t="str" cm="1">
        <f t="array" ref="I251">_xlfn.XLOOKUP(orders!D251, products!$A$1:A298, products!$B$1:B298, 0)</f>
        <v>Lib</v>
      </c>
      <c r="J251" t="str" cm="1">
        <f t="array" ref="J251">_xlfn.XLOOKUP(D251, products!$A$1:A298, products!$C$1:C298, 0)</f>
        <v>L</v>
      </c>
      <c r="K251" s="4" cm="1">
        <f t="array" ref="K251">_xlfn.XLOOKUP(D251, products!$A$1:A298, products!$D$1:D298, 0)</f>
        <v>1</v>
      </c>
      <c r="L251" s="4" cm="1">
        <f t="array" ref="L251">_xlfn.XLOOKUP(D251, products!$A$1:A298, products!$E$1:E298)</f>
        <v>15.85</v>
      </c>
      <c r="M251">
        <f t="shared" si="6"/>
        <v>15.85</v>
      </c>
      <c r="N251" t="str">
        <f t="shared" si="7"/>
        <v>Liberica</v>
      </c>
      <c r="O251" t="str" cm="1">
        <f t="array" ref="O251">_xlfn.IFS(J251="M", "Medium", J251="L", "Light", J251="D", "Dark")</f>
        <v>Light</v>
      </c>
      <c r="P251" t="str">
        <f>_xlfn.XLOOKUP(Orders[[#This Row],[Customer ID]], customers!$A$2:$A$1001, customers!$I$2:$I$1001, 0)</f>
        <v>Yes</v>
      </c>
    </row>
    <row r="252" spans="1:16" x14ac:dyDescent="0.35">
      <c r="A252" s="2" t="s">
        <v>1900</v>
      </c>
      <c r="B252" s="3">
        <v>43879</v>
      </c>
      <c r="C252" s="2" t="s">
        <v>1901</v>
      </c>
      <c r="D252" t="s">
        <v>6174</v>
      </c>
      <c r="E252" s="2">
        <v>1</v>
      </c>
      <c r="F252" s="2" t="str" cm="1">
        <f t="array" ref="F252">_xlfn.XLOOKUP(C252, customers!$A$1:A1251, customers!$B$1:B1251, 0)</f>
        <v>Mercedes Acott</v>
      </c>
      <c r="G252" s="2" t="str">
        <f>IF(_xlfn.XLOOKUP(C252, customers!A251:A1251, customers!C251:C1251, 0)=0, "", _xlfn.XLOOKUP(C252, customers!A251:A1251, customers!C251:C1251, 0))</f>
        <v>macott6y@pagesperso-orange.fr</v>
      </c>
      <c r="H252" s="2" t="str" cm="1">
        <f t="array" ref="H252">_xlfn.XLOOKUP(C252, customers!$A$1:A1251, customers!$G$1:G1251,, 0)</f>
        <v>United States</v>
      </c>
      <c r="I252" t="str" cm="1">
        <f t="array" ref="I252">_xlfn.XLOOKUP(orders!D252, products!$A$1:A299, products!$B$1:B299, 0)</f>
        <v>Rob</v>
      </c>
      <c r="J252" t="str" cm="1">
        <f t="array" ref="J252">_xlfn.XLOOKUP(D252, products!$A$1:A299, products!$C$1:C299, 0)</f>
        <v>M</v>
      </c>
      <c r="K252" s="4" cm="1">
        <f t="array" ref="K252">_xlfn.XLOOKUP(D252, products!$A$1:A299, products!$D$1:D299, 0)</f>
        <v>0.2</v>
      </c>
      <c r="L252" s="4" cm="1">
        <f t="array" ref="L252">_xlfn.XLOOKUP(D252, products!$A$1:A299, products!$E$1:E299)</f>
        <v>2.9849999999999999</v>
      </c>
      <c r="M252">
        <f t="shared" si="6"/>
        <v>2.9849999999999999</v>
      </c>
      <c r="N252" t="str">
        <f t="shared" si="7"/>
        <v>Robusta</v>
      </c>
      <c r="O252" t="str" cm="1">
        <f t="array" ref="O252">_xlfn.IFS(J252="M", "Medium", J252="L", "Light", J252="D", "Dark")</f>
        <v>Medium</v>
      </c>
      <c r="P252" t="str">
        <f>_xlfn.XLOOKUP(Orders[[#This Row],[Customer ID]], customers!$A$2:$A$1001, customers!$I$2:$I$1001, 0)</f>
        <v>Yes</v>
      </c>
    </row>
    <row r="253" spans="1:16" x14ac:dyDescent="0.35">
      <c r="A253" s="2" t="s">
        <v>1906</v>
      </c>
      <c r="B253" s="3">
        <v>44360</v>
      </c>
      <c r="C253" s="2" t="s">
        <v>1907</v>
      </c>
      <c r="D253" t="s">
        <v>6141</v>
      </c>
      <c r="E253" s="2">
        <v>5</v>
      </c>
      <c r="F253" s="2" t="str" cm="1">
        <f t="array" ref="F253">_xlfn.XLOOKUP(C253, customers!$A$1:A1252, customers!$B$1:B1252, 0)</f>
        <v>Connor Heaviside</v>
      </c>
      <c r="G253" s="2" t="str">
        <f>IF(_xlfn.XLOOKUP(C253, customers!A252:A1252, customers!C252:C1252, 0)=0, "", _xlfn.XLOOKUP(C253, customers!A252:A1252, customers!C252:C1252, 0))</f>
        <v>cheaviside6z@rediff.com</v>
      </c>
      <c r="H253" s="2" t="str" cm="1">
        <f t="array" ref="H253">_xlfn.XLOOKUP(C253, customers!$A$1:A1252, customers!$G$1:G1252,, 0)</f>
        <v>United States</v>
      </c>
      <c r="I253" t="str" cm="1">
        <f t="array" ref="I253">_xlfn.XLOOKUP(orders!D253, products!$A$1:A300, products!$B$1:B300, 0)</f>
        <v>Exc</v>
      </c>
      <c r="J253" t="str" cm="1">
        <f t="array" ref="J253">_xlfn.XLOOKUP(D253, products!$A$1:A300, products!$C$1:C300, 0)</f>
        <v>M</v>
      </c>
      <c r="K253" s="4" cm="1">
        <f t="array" ref="K253">_xlfn.XLOOKUP(D253, products!$A$1:A300, products!$D$1:D300, 0)</f>
        <v>1</v>
      </c>
      <c r="L253" s="4" cm="1">
        <f t="array" ref="L253">_xlfn.XLOOKUP(D253, products!$A$1:A300, products!$E$1:E300)</f>
        <v>13.75</v>
      </c>
      <c r="M253">
        <f t="shared" si="6"/>
        <v>68.75</v>
      </c>
      <c r="N253" t="str">
        <f t="shared" si="7"/>
        <v>Excelsa</v>
      </c>
      <c r="O253" t="str" cm="1">
        <f t="array" ref="O253">_xlfn.IFS(J253="M", "Medium", J253="L", "Light", J253="D", "Dark")</f>
        <v>Medium</v>
      </c>
      <c r="P253" t="str">
        <f>_xlfn.XLOOKUP(Orders[[#This Row],[Customer ID]], customers!$A$2:$A$1001, customers!$I$2:$I$1001, 0)</f>
        <v>Yes</v>
      </c>
    </row>
    <row r="254" spans="1:16" x14ac:dyDescent="0.35">
      <c r="A254" s="2" t="s">
        <v>1912</v>
      </c>
      <c r="B254" s="3">
        <v>44779</v>
      </c>
      <c r="C254" s="2" t="s">
        <v>1913</v>
      </c>
      <c r="D254" t="s">
        <v>6147</v>
      </c>
      <c r="E254" s="2">
        <v>3</v>
      </c>
      <c r="F254" s="2" t="str" cm="1">
        <f t="array" ref="F254">_xlfn.XLOOKUP(C254, customers!$A$1:A1253, customers!$B$1:B1253, 0)</f>
        <v>Devy Bulbrook</v>
      </c>
      <c r="G254" s="2" t="str">
        <f>IF(_xlfn.XLOOKUP(C254, customers!A253:A1253, customers!C253:C1253, 0)=0, "", _xlfn.XLOOKUP(C254, customers!A253:A1253, customers!C253:C1253, 0))</f>
        <v/>
      </c>
      <c r="H254" s="2" t="str" cm="1">
        <f t="array" ref="H254">_xlfn.XLOOKUP(C254, customers!$A$1:A1253, customers!$G$1:G1253,, 0)</f>
        <v>United States</v>
      </c>
      <c r="I254" t="str" cm="1">
        <f t="array" ref="I254">_xlfn.XLOOKUP(orders!D254, products!$A$1:A301, products!$B$1:B301, 0)</f>
        <v>Ara</v>
      </c>
      <c r="J254" t="str" cm="1">
        <f t="array" ref="J254">_xlfn.XLOOKUP(D254, products!$A$1:A301, products!$C$1:C301, 0)</f>
        <v>D</v>
      </c>
      <c r="K254" s="4" cm="1">
        <f t="array" ref="K254">_xlfn.XLOOKUP(D254, products!$A$1:A301, products!$D$1:D301, 0)</f>
        <v>1</v>
      </c>
      <c r="L254" s="4" cm="1">
        <f t="array" ref="L254">_xlfn.XLOOKUP(D254, products!$A$1:A301, products!$E$1:E301)</f>
        <v>9.9499999999999993</v>
      </c>
      <c r="M254">
        <f t="shared" si="6"/>
        <v>29.849999999999998</v>
      </c>
      <c r="N254" t="str">
        <f t="shared" si="7"/>
        <v>Arabica</v>
      </c>
      <c r="O254" t="str" cm="1">
        <f t="array" ref="O254">_xlfn.IFS(J254="M", "Medium", J254="L", "Light", J254="D", "Dark")</f>
        <v>Dark</v>
      </c>
      <c r="P254" t="str">
        <f>_xlfn.XLOOKUP(Orders[[#This Row],[Customer ID]], customers!$A$2:$A$1001, customers!$I$2:$I$1001, 0)</f>
        <v>No</v>
      </c>
    </row>
    <row r="255" spans="1:16" x14ac:dyDescent="0.35">
      <c r="A255" s="2" t="s">
        <v>1917</v>
      </c>
      <c r="B255" s="3">
        <v>44523</v>
      </c>
      <c r="C255" s="2" t="s">
        <v>1918</v>
      </c>
      <c r="D255" t="s">
        <v>6162</v>
      </c>
      <c r="E255" s="2">
        <v>4</v>
      </c>
      <c r="F255" s="2" t="str" cm="1">
        <f t="array" ref="F255">_xlfn.XLOOKUP(C255, customers!$A$1:A1254, customers!$B$1:B1254, 0)</f>
        <v>Leia Kernan</v>
      </c>
      <c r="G255" s="2" t="str">
        <f>IF(_xlfn.XLOOKUP(C255, customers!A254:A1254, customers!C254:C1254, 0)=0, "", _xlfn.XLOOKUP(C255, customers!A254:A1254, customers!C254:C1254, 0))</f>
        <v>lkernan71@wsj.com</v>
      </c>
      <c r="H255" s="2" t="str" cm="1">
        <f t="array" ref="H255">_xlfn.XLOOKUP(C255, customers!$A$1:A1254, customers!$G$1:G1254,, 0)</f>
        <v>United States</v>
      </c>
      <c r="I255" t="str" cm="1">
        <f t="array" ref="I255">_xlfn.XLOOKUP(orders!D255, products!$A$1:A302, products!$B$1:B302, 0)</f>
        <v>Lib</v>
      </c>
      <c r="J255" t="str" cm="1">
        <f t="array" ref="J255">_xlfn.XLOOKUP(D255, products!$A$1:A302, products!$C$1:C302, 0)</f>
        <v>M</v>
      </c>
      <c r="K255" s="4" cm="1">
        <f t="array" ref="K255">_xlfn.XLOOKUP(D255, products!$A$1:A302, products!$D$1:D302, 0)</f>
        <v>1</v>
      </c>
      <c r="L255" s="4" cm="1">
        <f t="array" ref="L255">_xlfn.XLOOKUP(D255, products!$A$1:A302, products!$E$1:E302)</f>
        <v>14.55</v>
      </c>
      <c r="M255">
        <f t="shared" si="6"/>
        <v>58.2</v>
      </c>
      <c r="N255" t="str">
        <f t="shared" si="7"/>
        <v>Liberica</v>
      </c>
      <c r="O255" t="str" cm="1">
        <f t="array" ref="O255">_xlfn.IFS(J255="M", "Medium", J255="L", "Light", J255="D", "Dark")</f>
        <v>Medium</v>
      </c>
      <c r="P255" t="str">
        <f>_xlfn.XLOOKUP(Orders[[#This Row],[Customer ID]], customers!$A$2:$A$1001, customers!$I$2:$I$1001, 0)</f>
        <v>No</v>
      </c>
    </row>
    <row r="256" spans="1:16" x14ac:dyDescent="0.35">
      <c r="A256" s="2" t="s">
        <v>1923</v>
      </c>
      <c r="B256" s="3">
        <v>44482</v>
      </c>
      <c r="C256" s="2" t="s">
        <v>1924</v>
      </c>
      <c r="D256" t="s">
        <v>6173</v>
      </c>
      <c r="E256" s="2">
        <v>4</v>
      </c>
      <c r="F256" s="2" t="str" cm="1">
        <f t="array" ref="F256">_xlfn.XLOOKUP(C256, customers!$A$1:A1255, customers!$B$1:B1255, 0)</f>
        <v>Rosaline McLae</v>
      </c>
      <c r="G256" s="2" t="str">
        <f>IF(_xlfn.XLOOKUP(C256, customers!A255:A1255, customers!C255:C1255, 0)=0, "", _xlfn.XLOOKUP(C256, customers!A255:A1255, customers!C255:C1255, 0))</f>
        <v>rmclae72@dailymotion.com</v>
      </c>
      <c r="H256" s="2" t="str" cm="1">
        <f t="array" ref="H256">_xlfn.XLOOKUP(C256, customers!$A$1:A1255, customers!$G$1:G1255,, 0)</f>
        <v>United Kingdom</v>
      </c>
      <c r="I256" t="str" cm="1">
        <f t="array" ref="I256">_xlfn.XLOOKUP(orders!D256, products!$A$1:A303, products!$B$1:B303, 0)</f>
        <v>Rob</v>
      </c>
      <c r="J256" t="str" cm="1">
        <f t="array" ref="J256">_xlfn.XLOOKUP(D256, products!$A$1:A303, products!$C$1:C303, 0)</f>
        <v>L</v>
      </c>
      <c r="K256" s="4" cm="1">
        <f t="array" ref="K256">_xlfn.XLOOKUP(D256, products!$A$1:A303, products!$D$1:D303, 0)</f>
        <v>0.5</v>
      </c>
      <c r="L256" s="4" cm="1">
        <f t="array" ref="L256">_xlfn.XLOOKUP(D256, products!$A$1:A303, products!$E$1:E303)</f>
        <v>7.169999999999999</v>
      </c>
      <c r="M256">
        <f t="shared" si="6"/>
        <v>28.679999999999996</v>
      </c>
      <c r="N256" t="str">
        <f t="shared" si="7"/>
        <v>Robusta</v>
      </c>
      <c r="O256" t="str" cm="1">
        <f t="array" ref="O256">_xlfn.IFS(J256="M", "Medium", J256="L", "Light", J256="D", "Dark")</f>
        <v>Light</v>
      </c>
      <c r="P256" t="str">
        <f>_xlfn.XLOOKUP(Orders[[#This Row],[Customer ID]], customers!$A$2:$A$1001, customers!$I$2:$I$1001, 0)</f>
        <v>No</v>
      </c>
    </row>
    <row r="257" spans="1:16" x14ac:dyDescent="0.35">
      <c r="A257" s="2" t="s">
        <v>1928</v>
      </c>
      <c r="B257" s="3">
        <v>44439</v>
      </c>
      <c r="C257" s="2" t="s">
        <v>1929</v>
      </c>
      <c r="D257" t="s">
        <v>6173</v>
      </c>
      <c r="E257" s="2">
        <v>3</v>
      </c>
      <c r="F257" s="2" t="str" cm="1">
        <f t="array" ref="F257">_xlfn.XLOOKUP(C257, customers!$A$1:A1256, customers!$B$1:B1256, 0)</f>
        <v>Cleve Blowfelde</v>
      </c>
      <c r="G257" s="2" t="str">
        <f>IF(_xlfn.XLOOKUP(C257, customers!A256:A1256, customers!C256:C1256, 0)=0, "", _xlfn.XLOOKUP(C257, customers!A256:A1256, customers!C256:C1256, 0))</f>
        <v>cblowfelde73@ustream.tv</v>
      </c>
      <c r="H257" s="2" t="str" cm="1">
        <f t="array" ref="H257">_xlfn.XLOOKUP(C257, customers!$A$1:A1256, customers!$G$1:G1256,, 0)</f>
        <v>United States</v>
      </c>
      <c r="I257" t="str" cm="1">
        <f t="array" ref="I257">_xlfn.XLOOKUP(orders!D257, products!$A$1:A304, products!$B$1:B304, 0)</f>
        <v>Rob</v>
      </c>
      <c r="J257" t="str" cm="1">
        <f t="array" ref="J257">_xlfn.XLOOKUP(D257, products!$A$1:A304, products!$C$1:C304, 0)</f>
        <v>L</v>
      </c>
      <c r="K257" s="4" cm="1">
        <f t="array" ref="K257">_xlfn.XLOOKUP(D257, products!$A$1:A304, products!$D$1:D304, 0)</f>
        <v>0.5</v>
      </c>
      <c r="L257" s="4" cm="1">
        <f t="array" ref="L257">_xlfn.XLOOKUP(D257, products!$A$1:A304, products!$E$1:E304)</f>
        <v>7.169999999999999</v>
      </c>
      <c r="M257">
        <f t="shared" si="6"/>
        <v>21.509999999999998</v>
      </c>
      <c r="N257" t="str">
        <f t="shared" si="7"/>
        <v>Robusta</v>
      </c>
      <c r="O257" t="str" cm="1">
        <f t="array" ref="O257">_xlfn.IFS(J257="M", "Medium", J257="L", "Light", J257="D", "Dark")</f>
        <v>Light</v>
      </c>
      <c r="P257" t="str">
        <f>_xlfn.XLOOKUP(Orders[[#This Row],[Customer ID]], customers!$A$2:$A$1001, customers!$I$2:$I$1001, 0)</f>
        <v>No</v>
      </c>
    </row>
    <row r="258" spans="1:16" x14ac:dyDescent="0.35">
      <c r="A258" s="2" t="s">
        <v>1934</v>
      </c>
      <c r="B258" s="3">
        <v>43846</v>
      </c>
      <c r="C258" s="2" t="s">
        <v>1935</v>
      </c>
      <c r="D258" t="s">
        <v>6160</v>
      </c>
      <c r="E258" s="2">
        <v>2</v>
      </c>
      <c r="F258" s="2" t="str" cm="1">
        <f t="array" ref="F258">_xlfn.XLOOKUP(C258, customers!$A$1:A1257, customers!$B$1:B1257, 0)</f>
        <v>Zacharias Kiffe</v>
      </c>
      <c r="G258" s="2" t="str">
        <f>IF(_xlfn.XLOOKUP(C258, customers!A257:A1257, customers!C257:C1257, 0)=0, "", _xlfn.XLOOKUP(C258, customers!A257:A1257, customers!C257:C1257, 0))</f>
        <v>zkiffe74@cyberchimps.com</v>
      </c>
      <c r="H258" s="2" t="str" cm="1">
        <f t="array" ref="H258">_xlfn.XLOOKUP(C258, customers!$A$1:A1257, customers!$G$1:G1257,, 0)</f>
        <v>United States</v>
      </c>
      <c r="I258" t="str" cm="1">
        <f t="array" ref="I258">_xlfn.XLOOKUP(orders!D258, products!$A$1:A305, products!$B$1:B305, 0)</f>
        <v>Lib</v>
      </c>
      <c r="J258" t="str" cm="1">
        <f t="array" ref="J258">_xlfn.XLOOKUP(D258, products!$A$1:A305, products!$C$1:C305, 0)</f>
        <v>M</v>
      </c>
      <c r="K258" s="4" cm="1">
        <f t="array" ref="K258">_xlfn.XLOOKUP(D258, products!$A$1:A305, products!$D$1:D305, 0)</f>
        <v>0.5</v>
      </c>
      <c r="L258" s="4" cm="1">
        <f t="array" ref="L258">_xlfn.XLOOKUP(D258, products!$A$1:A305, products!$E$1:E305)</f>
        <v>8.73</v>
      </c>
      <c r="M258">
        <f t="shared" si="6"/>
        <v>17.46</v>
      </c>
      <c r="N258" t="str">
        <f t="shared" si="7"/>
        <v>Liberica</v>
      </c>
      <c r="O258" t="str" cm="1">
        <f t="array" ref="O258">_xlfn.IFS(J258="M", "Medium", J258="L", "Light", J258="D", "Dark")</f>
        <v>Medium</v>
      </c>
      <c r="P258" t="str">
        <f>_xlfn.XLOOKUP(Orders[[#This Row],[Customer ID]], customers!$A$2:$A$1001, customers!$I$2:$I$1001, 0)</f>
        <v>Yes</v>
      </c>
    </row>
    <row r="259" spans="1:16" x14ac:dyDescent="0.35">
      <c r="A259" s="2" t="s">
        <v>1940</v>
      </c>
      <c r="B259" s="3">
        <v>44676</v>
      </c>
      <c r="C259" s="2" t="s">
        <v>1941</v>
      </c>
      <c r="D259" t="s">
        <v>6185</v>
      </c>
      <c r="E259" s="2">
        <v>1</v>
      </c>
      <c r="F259" s="2" t="str" cm="1">
        <f t="array" ref="F259">_xlfn.XLOOKUP(C259, customers!$A$1:A1258, customers!$B$1:B1258, 0)</f>
        <v>Denyse O'Calleran</v>
      </c>
      <c r="G259" s="2" t="str">
        <f>IF(_xlfn.XLOOKUP(C259, customers!A258:A1258, customers!C258:C1258, 0)=0, "", _xlfn.XLOOKUP(C259, customers!A258:A1258, customers!C258:C1258, 0))</f>
        <v>docalleran75@ucla.edu</v>
      </c>
      <c r="H259" s="2" t="str" cm="1">
        <f t="array" ref="H259">_xlfn.XLOOKUP(C259, customers!$A$1:A1258, customers!$G$1:G1258,, 0)</f>
        <v>United States</v>
      </c>
      <c r="I259" t="str" cm="1">
        <f t="array" ref="I259">_xlfn.XLOOKUP(orders!D259, products!$A$1:A306, products!$B$1:B306, 0)</f>
        <v>Exc</v>
      </c>
      <c r="J259" t="str" cm="1">
        <f t="array" ref="J259">_xlfn.XLOOKUP(D259, products!$A$1:A306, products!$C$1:C306, 0)</f>
        <v>D</v>
      </c>
      <c r="K259" s="4" cm="1">
        <f t="array" ref="K259">_xlfn.XLOOKUP(D259, products!$A$1:A306, products!$D$1:D306, 0)</f>
        <v>2.5</v>
      </c>
      <c r="L259" s="4" cm="1">
        <f t="array" ref="L259">_xlfn.XLOOKUP(D259, products!$A$1:A306, products!$E$1:E306)</f>
        <v>27.945</v>
      </c>
      <c r="M259">
        <f t="shared" ref="M259:M322" si="8">L259*E259</f>
        <v>27.945</v>
      </c>
      <c r="N259" t="str">
        <f t="shared" ref="N259:N322" si="9">IF(I259="Rob", "Robusta", IF(I259="Exc", "Excelsa", IF(I259="Ara", "Arabica", IF(I259="Lib", "Liberica", ""))))</f>
        <v>Excelsa</v>
      </c>
      <c r="O259" t="str" cm="1">
        <f t="array" ref="O259">_xlfn.IFS(J259="M", "Medium", J259="L", "Light", J259="D", "Dark")</f>
        <v>Dark</v>
      </c>
      <c r="P259" t="str">
        <f>_xlfn.XLOOKUP(Orders[[#This Row],[Customer ID]], customers!$A$2:$A$1001, customers!$I$2:$I$1001, 0)</f>
        <v>Yes</v>
      </c>
    </row>
    <row r="260" spans="1:16" x14ac:dyDescent="0.35">
      <c r="A260" s="2" t="s">
        <v>1946</v>
      </c>
      <c r="B260" s="3">
        <v>44513</v>
      </c>
      <c r="C260" s="2" t="s">
        <v>1947</v>
      </c>
      <c r="D260" t="s">
        <v>6185</v>
      </c>
      <c r="E260" s="2">
        <v>5</v>
      </c>
      <c r="F260" s="2" t="str" cm="1">
        <f t="array" ref="F260">_xlfn.XLOOKUP(C260, customers!$A$1:A1259, customers!$B$1:B1259, 0)</f>
        <v>Cobby Cromwell</v>
      </c>
      <c r="G260" s="2" t="str">
        <f>IF(_xlfn.XLOOKUP(C260, customers!A259:A1259, customers!C259:C1259, 0)=0, "", _xlfn.XLOOKUP(C260, customers!A259:A1259, customers!C259:C1259, 0))</f>
        <v>ccromwell76@desdev.cn</v>
      </c>
      <c r="H260" s="2" t="str" cm="1">
        <f t="array" ref="H260">_xlfn.XLOOKUP(C260, customers!$A$1:A1259, customers!$G$1:G1259,, 0)</f>
        <v>United States</v>
      </c>
      <c r="I260" t="str" cm="1">
        <f t="array" ref="I260">_xlfn.XLOOKUP(orders!D260, products!$A$1:A307, products!$B$1:B307, 0)</f>
        <v>Exc</v>
      </c>
      <c r="J260" t="str" cm="1">
        <f t="array" ref="J260">_xlfn.XLOOKUP(D260, products!$A$1:A307, products!$C$1:C307, 0)</f>
        <v>D</v>
      </c>
      <c r="K260" s="4" cm="1">
        <f t="array" ref="K260">_xlfn.XLOOKUP(D260, products!$A$1:A307, products!$D$1:D307, 0)</f>
        <v>2.5</v>
      </c>
      <c r="L260" s="4" cm="1">
        <f t="array" ref="L260">_xlfn.XLOOKUP(D260, products!$A$1:A307, products!$E$1:E307)</f>
        <v>27.945</v>
      </c>
      <c r="M260">
        <f t="shared" si="8"/>
        <v>139.72499999999999</v>
      </c>
      <c r="N260" t="str">
        <f t="shared" si="9"/>
        <v>Excelsa</v>
      </c>
      <c r="O260" t="str" cm="1">
        <f t="array" ref="O260">_xlfn.IFS(J260="M", "Medium", J260="L", "Light", J260="D", "Dark")</f>
        <v>Dark</v>
      </c>
      <c r="P260" t="str">
        <f>_xlfn.XLOOKUP(Orders[[#This Row],[Customer ID]], customers!$A$2:$A$1001, customers!$I$2:$I$1001, 0)</f>
        <v>No</v>
      </c>
    </row>
    <row r="261" spans="1:16" x14ac:dyDescent="0.35">
      <c r="A261" s="2" t="s">
        <v>1952</v>
      </c>
      <c r="B261" s="3">
        <v>44355</v>
      </c>
      <c r="C261" s="2" t="s">
        <v>1953</v>
      </c>
      <c r="D261" t="s">
        <v>6174</v>
      </c>
      <c r="E261" s="2">
        <v>2</v>
      </c>
      <c r="F261" s="2" t="str" cm="1">
        <f t="array" ref="F261">_xlfn.XLOOKUP(C261, customers!$A$1:A1260, customers!$B$1:B1260, 0)</f>
        <v>Irv Hay</v>
      </c>
      <c r="G261" s="2" t="str">
        <f>IF(_xlfn.XLOOKUP(C261, customers!A260:A1260, customers!C260:C1260, 0)=0, "", _xlfn.XLOOKUP(C261, customers!A260:A1260, customers!C260:C1260, 0))</f>
        <v>ihay77@lulu.com</v>
      </c>
      <c r="H261" s="2" t="str" cm="1">
        <f t="array" ref="H261">_xlfn.XLOOKUP(C261, customers!$A$1:A1260, customers!$G$1:G1260,, 0)</f>
        <v>United Kingdom</v>
      </c>
      <c r="I261" t="str" cm="1">
        <f t="array" ref="I261">_xlfn.XLOOKUP(orders!D261, products!$A$1:A308, products!$B$1:B308, 0)</f>
        <v>Rob</v>
      </c>
      <c r="J261" t="str" cm="1">
        <f t="array" ref="J261">_xlfn.XLOOKUP(D261, products!$A$1:A308, products!$C$1:C308, 0)</f>
        <v>M</v>
      </c>
      <c r="K261" s="4" cm="1">
        <f t="array" ref="K261">_xlfn.XLOOKUP(D261, products!$A$1:A308, products!$D$1:D308, 0)</f>
        <v>0.2</v>
      </c>
      <c r="L261" s="4" cm="1">
        <f t="array" ref="L261">_xlfn.XLOOKUP(D261, products!$A$1:A308, products!$E$1:E308)</f>
        <v>2.9849999999999999</v>
      </c>
      <c r="M261">
        <f t="shared" si="8"/>
        <v>5.97</v>
      </c>
      <c r="N261" t="str">
        <f t="shared" si="9"/>
        <v>Robusta</v>
      </c>
      <c r="O261" t="str" cm="1">
        <f t="array" ref="O261">_xlfn.IFS(J261="M", "Medium", J261="L", "Light", J261="D", "Dark")</f>
        <v>Medium</v>
      </c>
      <c r="P261" t="str">
        <f>_xlfn.XLOOKUP(Orders[[#This Row],[Customer ID]], customers!$A$2:$A$1001, customers!$I$2:$I$1001, 0)</f>
        <v>No</v>
      </c>
    </row>
    <row r="262" spans="1:16" x14ac:dyDescent="0.35">
      <c r="A262" s="2" t="s">
        <v>1958</v>
      </c>
      <c r="B262" s="3">
        <v>44156</v>
      </c>
      <c r="C262" s="2" t="s">
        <v>1959</v>
      </c>
      <c r="D262" t="s">
        <v>6142</v>
      </c>
      <c r="E262" s="2">
        <v>1</v>
      </c>
      <c r="F262" s="2" t="str" cm="1">
        <f t="array" ref="F262">_xlfn.XLOOKUP(C262, customers!$A$1:A1261, customers!$B$1:B1261, 0)</f>
        <v>Tani Taffarello</v>
      </c>
      <c r="G262" s="2" t="str">
        <f>IF(_xlfn.XLOOKUP(C262, customers!A261:A1261, customers!C261:C1261, 0)=0, "", _xlfn.XLOOKUP(C262, customers!A261:A1261, customers!C261:C1261, 0))</f>
        <v>ttaffarello78@sciencedaily.com</v>
      </c>
      <c r="H262" s="2" t="str" cm="1">
        <f t="array" ref="H262">_xlfn.XLOOKUP(C262, customers!$A$1:A1261, customers!$G$1:G1261,, 0)</f>
        <v>United States</v>
      </c>
      <c r="I262" t="str" cm="1">
        <f t="array" ref="I262">_xlfn.XLOOKUP(orders!D262, products!$A$1:A309, products!$B$1:B309, 0)</f>
        <v>Rob</v>
      </c>
      <c r="J262" t="str" cm="1">
        <f t="array" ref="J262">_xlfn.XLOOKUP(D262, products!$A$1:A309, products!$C$1:C309, 0)</f>
        <v>L</v>
      </c>
      <c r="K262" s="4" cm="1">
        <f t="array" ref="K262">_xlfn.XLOOKUP(D262, products!$A$1:A309, products!$D$1:D309, 0)</f>
        <v>2.5</v>
      </c>
      <c r="L262" s="4" cm="1">
        <f t="array" ref="L262">_xlfn.XLOOKUP(D262, products!$A$1:A309, products!$E$1:E309)</f>
        <v>27.484999999999996</v>
      </c>
      <c r="M262">
        <f t="shared" si="8"/>
        <v>27.484999999999996</v>
      </c>
      <c r="N262" t="str">
        <f t="shared" si="9"/>
        <v>Robusta</v>
      </c>
      <c r="O262" t="str" cm="1">
        <f t="array" ref="O262">_xlfn.IFS(J262="M", "Medium", J262="L", "Light", J262="D", "Dark")</f>
        <v>Light</v>
      </c>
      <c r="P262" t="str">
        <f>_xlfn.XLOOKUP(Orders[[#This Row],[Customer ID]], customers!$A$2:$A$1001, customers!$I$2:$I$1001, 0)</f>
        <v>Yes</v>
      </c>
    </row>
    <row r="263" spans="1:16" x14ac:dyDescent="0.35">
      <c r="A263" s="2" t="s">
        <v>1963</v>
      </c>
      <c r="B263" s="3">
        <v>43538</v>
      </c>
      <c r="C263" s="2" t="s">
        <v>1964</v>
      </c>
      <c r="D263" t="s">
        <v>6179</v>
      </c>
      <c r="E263" s="2">
        <v>5</v>
      </c>
      <c r="F263" s="2" t="str" cm="1">
        <f t="array" ref="F263">_xlfn.XLOOKUP(C263, customers!$A$1:A1262, customers!$B$1:B1262, 0)</f>
        <v>Monique Canty</v>
      </c>
      <c r="G263" s="2" t="str">
        <f>IF(_xlfn.XLOOKUP(C263, customers!A262:A1262, customers!C262:C1262, 0)=0, "", _xlfn.XLOOKUP(C263, customers!A262:A1262, customers!C262:C1262, 0))</f>
        <v>mcanty79@jigsy.com</v>
      </c>
      <c r="H263" s="2" t="str" cm="1">
        <f t="array" ref="H263">_xlfn.XLOOKUP(C263, customers!$A$1:A1262, customers!$G$1:G1262,, 0)</f>
        <v>United States</v>
      </c>
      <c r="I263" t="str" cm="1">
        <f t="array" ref="I263">_xlfn.XLOOKUP(orders!D263, products!$A$1:A310, products!$B$1:B310, 0)</f>
        <v>Rob</v>
      </c>
      <c r="J263" t="str" cm="1">
        <f t="array" ref="J263">_xlfn.XLOOKUP(D263, products!$A$1:A310, products!$C$1:C310, 0)</f>
        <v>L</v>
      </c>
      <c r="K263" s="4" cm="1">
        <f t="array" ref="K263">_xlfn.XLOOKUP(D263, products!$A$1:A310, products!$D$1:D310, 0)</f>
        <v>1</v>
      </c>
      <c r="L263" s="4" cm="1">
        <f t="array" ref="L263">_xlfn.XLOOKUP(D263, products!$A$1:A310, products!$E$1:E310)</f>
        <v>11.95</v>
      </c>
      <c r="M263">
        <f t="shared" si="8"/>
        <v>59.75</v>
      </c>
      <c r="N263" t="str">
        <f t="shared" si="9"/>
        <v>Robusta</v>
      </c>
      <c r="O263" t="str" cm="1">
        <f t="array" ref="O263">_xlfn.IFS(J263="M", "Medium", J263="L", "Light", J263="D", "Dark")</f>
        <v>Light</v>
      </c>
      <c r="P263" t="str">
        <f>_xlfn.XLOOKUP(Orders[[#This Row],[Customer ID]], customers!$A$2:$A$1001, customers!$I$2:$I$1001, 0)</f>
        <v>Yes</v>
      </c>
    </row>
    <row r="264" spans="1:16" x14ac:dyDescent="0.35">
      <c r="A264" s="2" t="s">
        <v>1969</v>
      </c>
      <c r="B264" s="3">
        <v>43693</v>
      </c>
      <c r="C264" s="2" t="s">
        <v>1970</v>
      </c>
      <c r="D264" t="s">
        <v>6141</v>
      </c>
      <c r="E264" s="2">
        <v>3</v>
      </c>
      <c r="F264" s="2" t="str" cm="1">
        <f t="array" ref="F264">_xlfn.XLOOKUP(C264, customers!$A$1:A1263, customers!$B$1:B1263, 0)</f>
        <v>Javier Kopke</v>
      </c>
      <c r="G264" s="2" t="str">
        <f>IF(_xlfn.XLOOKUP(C264, customers!A263:A1263, customers!C263:C1263, 0)=0, "", _xlfn.XLOOKUP(C264, customers!A263:A1263, customers!C263:C1263, 0))</f>
        <v>jkopke7a@auda.org.au</v>
      </c>
      <c r="H264" s="2" t="str" cm="1">
        <f t="array" ref="H264">_xlfn.XLOOKUP(C264, customers!$A$1:A1263, customers!$G$1:G1263,, 0)</f>
        <v>United States</v>
      </c>
      <c r="I264" t="str" cm="1">
        <f t="array" ref="I264">_xlfn.XLOOKUP(orders!D264, products!$A$1:A311, products!$B$1:B311, 0)</f>
        <v>Exc</v>
      </c>
      <c r="J264" t="str" cm="1">
        <f t="array" ref="J264">_xlfn.XLOOKUP(D264, products!$A$1:A311, products!$C$1:C311, 0)</f>
        <v>M</v>
      </c>
      <c r="K264" s="4" cm="1">
        <f t="array" ref="K264">_xlfn.XLOOKUP(D264, products!$A$1:A311, products!$D$1:D311, 0)</f>
        <v>1</v>
      </c>
      <c r="L264" s="4" cm="1">
        <f t="array" ref="L264">_xlfn.XLOOKUP(D264, products!$A$1:A311, products!$E$1:E311)</f>
        <v>13.75</v>
      </c>
      <c r="M264">
        <f t="shared" si="8"/>
        <v>41.25</v>
      </c>
      <c r="N264" t="str">
        <f t="shared" si="9"/>
        <v>Excelsa</v>
      </c>
      <c r="O264" t="str" cm="1">
        <f t="array" ref="O264">_xlfn.IFS(J264="M", "Medium", J264="L", "Light", J264="D", "Dark")</f>
        <v>Medium</v>
      </c>
      <c r="P264" t="str">
        <f>_xlfn.XLOOKUP(Orders[[#This Row],[Customer ID]], customers!$A$2:$A$1001, customers!$I$2:$I$1001, 0)</f>
        <v>No</v>
      </c>
    </row>
    <row r="265" spans="1:16" x14ac:dyDescent="0.35">
      <c r="A265" s="2" t="s">
        <v>1975</v>
      </c>
      <c r="B265" s="3">
        <v>43577</v>
      </c>
      <c r="C265" s="2" t="s">
        <v>1976</v>
      </c>
      <c r="D265" t="s">
        <v>6181</v>
      </c>
      <c r="E265" s="2">
        <v>4</v>
      </c>
      <c r="F265" s="2" t="str" cm="1">
        <f t="array" ref="F265">_xlfn.XLOOKUP(C265, customers!$A$1:A1264, customers!$B$1:B1264, 0)</f>
        <v>Mar McIver</v>
      </c>
      <c r="G265" s="2" t="str">
        <f>IF(_xlfn.XLOOKUP(C265, customers!A264:A1264, customers!C264:C1264, 0)=0, "", _xlfn.XLOOKUP(C265, customers!A264:A1264, customers!C264:C1264, 0))</f>
        <v/>
      </c>
      <c r="H265" s="2" t="str" cm="1">
        <f t="array" ref="H265">_xlfn.XLOOKUP(C265, customers!$A$1:A1264, customers!$G$1:G1264,, 0)</f>
        <v>United States</v>
      </c>
      <c r="I265" t="str" cm="1">
        <f t="array" ref="I265">_xlfn.XLOOKUP(orders!D265, products!$A$1:A312, products!$B$1:B312, 0)</f>
        <v>Lib</v>
      </c>
      <c r="J265" t="str" cm="1">
        <f t="array" ref="J265">_xlfn.XLOOKUP(D265, products!$A$1:A312, products!$C$1:C312, 0)</f>
        <v>M</v>
      </c>
      <c r="K265" s="4" cm="1">
        <f t="array" ref="K265">_xlfn.XLOOKUP(D265, products!$A$1:A312, products!$D$1:D312, 0)</f>
        <v>2.5</v>
      </c>
      <c r="L265" s="4" cm="1">
        <f t="array" ref="L265">_xlfn.XLOOKUP(D265, products!$A$1:A312, products!$E$1:E312)</f>
        <v>33.464999999999996</v>
      </c>
      <c r="M265">
        <f t="shared" si="8"/>
        <v>133.85999999999999</v>
      </c>
      <c r="N265" t="str">
        <f t="shared" si="9"/>
        <v>Liberica</v>
      </c>
      <c r="O265" t="str" cm="1">
        <f t="array" ref="O265">_xlfn.IFS(J265="M", "Medium", J265="L", "Light", J265="D", "Dark")</f>
        <v>Medium</v>
      </c>
      <c r="P265" t="str">
        <f>_xlfn.XLOOKUP(Orders[[#This Row],[Customer ID]], customers!$A$2:$A$1001, customers!$I$2:$I$1001, 0)</f>
        <v>No</v>
      </c>
    </row>
    <row r="266" spans="1:16" x14ac:dyDescent="0.35">
      <c r="A266" s="2" t="s">
        <v>1980</v>
      </c>
      <c r="B266" s="3">
        <v>44683</v>
      </c>
      <c r="C266" s="2" t="s">
        <v>1981</v>
      </c>
      <c r="D266" t="s">
        <v>6179</v>
      </c>
      <c r="E266" s="2">
        <v>5</v>
      </c>
      <c r="F266" s="2" t="str" cm="1">
        <f t="array" ref="F266">_xlfn.XLOOKUP(C266, customers!$A$1:A1265, customers!$B$1:B1265, 0)</f>
        <v>Arabella Fransewich</v>
      </c>
      <c r="G266" s="2" t="str">
        <f>IF(_xlfn.XLOOKUP(C266, customers!A265:A1265, customers!C265:C1265, 0)=0, "", _xlfn.XLOOKUP(C266, customers!A265:A1265, customers!C265:C1265, 0))</f>
        <v/>
      </c>
      <c r="H266" s="2" t="str" cm="1">
        <f t="array" ref="H266">_xlfn.XLOOKUP(C266, customers!$A$1:A1265, customers!$G$1:G1265,, 0)</f>
        <v>Ireland</v>
      </c>
      <c r="I266" t="str" cm="1">
        <f t="array" ref="I266">_xlfn.XLOOKUP(orders!D266, products!$A$1:A313, products!$B$1:B313, 0)</f>
        <v>Rob</v>
      </c>
      <c r="J266" t="str" cm="1">
        <f t="array" ref="J266">_xlfn.XLOOKUP(D266, products!$A$1:A313, products!$C$1:C313, 0)</f>
        <v>L</v>
      </c>
      <c r="K266" s="4" cm="1">
        <f t="array" ref="K266">_xlfn.XLOOKUP(D266, products!$A$1:A313, products!$D$1:D313, 0)</f>
        <v>1</v>
      </c>
      <c r="L266" s="4" cm="1">
        <f t="array" ref="L266">_xlfn.XLOOKUP(D266, products!$A$1:A313, products!$E$1:E313)</f>
        <v>11.95</v>
      </c>
      <c r="M266">
        <f t="shared" si="8"/>
        <v>59.75</v>
      </c>
      <c r="N266" t="str">
        <f t="shared" si="9"/>
        <v>Robusta</v>
      </c>
      <c r="O266" t="str" cm="1">
        <f t="array" ref="O266">_xlfn.IFS(J266="M", "Medium", J266="L", "Light", J266="D", "Dark")</f>
        <v>Light</v>
      </c>
      <c r="P266" t="str">
        <f>_xlfn.XLOOKUP(Orders[[#This Row],[Customer ID]], customers!$A$2:$A$1001, customers!$I$2:$I$1001, 0)</f>
        <v>Yes</v>
      </c>
    </row>
    <row r="267" spans="1:16" x14ac:dyDescent="0.35">
      <c r="A267" s="2" t="s">
        <v>1986</v>
      </c>
      <c r="B267" s="3">
        <v>43872</v>
      </c>
      <c r="C267" s="2" t="s">
        <v>1987</v>
      </c>
      <c r="D267" t="s">
        <v>6158</v>
      </c>
      <c r="E267" s="2">
        <v>1</v>
      </c>
      <c r="F267" s="2" t="str" cm="1">
        <f t="array" ref="F267">_xlfn.XLOOKUP(C267, customers!$A$1:A1266, customers!$B$1:B1266, 0)</f>
        <v>Violette Hellmore</v>
      </c>
      <c r="G267" s="2" t="str">
        <f>IF(_xlfn.XLOOKUP(C267, customers!A266:A1266, customers!C266:C1266, 0)=0, "", _xlfn.XLOOKUP(C267, customers!A266:A1266, customers!C266:C1266, 0))</f>
        <v>vhellmore7d@bbc.co.uk</v>
      </c>
      <c r="H267" s="2" t="str" cm="1">
        <f t="array" ref="H267">_xlfn.XLOOKUP(C267, customers!$A$1:A1266, customers!$G$1:G1266,, 0)</f>
        <v>United States</v>
      </c>
      <c r="I267" t="str" cm="1">
        <f t="array" ref="I267">_xlfn.XLOOKUP(orders!D267, products!$A$1:A314, products!$B$1:B314, 0)</f>
        <v>Ara</v>
      </c>
      <c r="J267" t="str" cm="1">
        <f t="array" ref="J267">_xlfn.XLOOKUP(D267, products!$A$1:A314, products!$C$1:C314, 0)</f>
        <v>D</v>
      </c>
      <c r="K267" s="4" cm="1">
        <f t="array" ref="K267">_xlfn.XLOOKUP(D267, products!$A$1:A314, products!$D$1:D314, 0)</f>
        <v>0.5</v>
      </c>
      <c r="L267" s="4" cm="1">
        <f t="array" ref="L267">_xlfn.XLOOKUP(D267, products!$A$1:A314, products!$E$1:E314)</f>
        <v>5.97</v>
      </c>
      <c r="M267">
        <f t="shared" si="8"/>
        <v>5.97</v>
      </c>
      <c r="N267" t="str">
        <f t="shared" si="9"/>
        <v>Arabica</v>
      </c>
      <c r="O267" t="str" cm="1">
        <f t="array" ref="O267">_xlfn.IFS(J267="M", "Medium", J267="L", "Light", J267="D", "Dark")</f>
        <v>Dark</v>
      </c>
      <c r="P267" t="str">
        <f>_xlfn.XLOOKUP(Orders[[#This Row],[Customer ID]], customers!$A$2:$A$1001, customers!$I$2:$I$1001, 0)</f>
        <v>Yes</v>
      </c>
    </row>
    <row r="268" spans="1:16" x14ac:dyDescent="0.35">
      <c r="A268" s="2" t="s">
        <v>1992</v>
      </c>
      <c r="B268" s="3">
        <v>44283</v>
      </c>
      <c r="C268" s="2" t="s">
        <v>1993</v>
      </c>
      <c r="D268" t="s">
        <v>6183</v>
      </c>
      <c r="E268" s="2">
        <v>2</v>
      </c>
      <c r="F268" s="2" t="str" cm="1">
        <f t="array" ref="F268">_xlfn.XLOOKUP(C268, customers!$A$1:A1267, customers!$B$1:B1267, 0)</f>
        <v>Myles Seawright</v>
      </c>
      <c r="G268" s="2" t="str">
        <f>IF(_xlfn.XLOOKUP(C268, customers!A267:A1267, customers!C267:C1267, 0)=0, "", _xlfn.XLOOKUP(C268, customers!A267:A1267, customers!C267:C1267, 0))</f>
        <v>mseawright7e@nbcnews.com</v>
      </c>
      <c r="H268" s="2" t="str" cm="1">
        <f t="array" ref="H268">_xlfn.XLOOKUP(C268, customers!$A$1:A1267, customers!$G$1:G1267,, 0)</f>
        <v>United Kingdom</v>
      </c>
      <c r="I268" t="str" cm="1">
        <f t="array" ref="I268">_xlfn.XLOOKUP(orders!D268, products!$A$1:A315, products!$B$1:B315, 0)</f>
        <v>Exc</v>
      </c>
      <c r="J268" t="str" cm="1">
        <f t="array" ref="J268">_xlfn.XLOOKUP(D268, products!$A$1:A315, products!$C$1:C315, 0)</f>
        <v>D</v>
      </c>
      <c r="K268" s="4" cm="1">
        <f t="array" ref="K268">_xlfn.XLOOKUP(D268, products!$A$1:A315, products!$D$1:D315, 0)</f>
        <v>1</v>
      </c>
      <c r="L268" s="4" cm="1">
        <f t="array" ref="L268">_xlfn.XLOOKUP(D268, products!$A$1:A315, products!$E$1:E315)</f>
        <v>12.15</v>
      </c>
      <c r="M268">
        <f t="shared" si="8"/>
        <v>24.3</v>
      </c>
      <c r="N268" t="str">
        <f t="shared" si="9"/>
        <v>Excelsa</v>
      </c>
      <c r="O268" t="str" cm="1">
        <f t="array" ref="O268">_xlfn.IFS(J268="M", "Medium", J268="L", "Light", J268="D", "Dark")</f>
        <v>Dark</v>
      </c>
      <c r="P268" t="str">
        <f>_xlfn.XLOOKUP(Orders[[#This Row],[Customer ID]], customers!$A$2:$A$1001, customers!$I$2:$I$1001, 0)</f>
        <v>No</v>
      </c>
    </row>
    <row r="269" spans="1:16" x14ac:dyDescent="0.35">
      <c r="A269" s="2" t="s">
        <v>1998</v>
      </c>
      <c r="B269" s="3">
        <v>44324</v>
      </c>
      <c r="C269" s="2" t="s">
        <v>1999</v>
      </c>
      <c r="D269" t="s">
        <v>6153</v>
      </c>
      <c r="E269" s="2">
        <v>6</v>
      </c>
      <c r="F269" s="2" t="str" cm="1">
        <f t="array" ref="F269">_xlfn.XLOOKUP(C269, customers!$A$1:A1268, customers!$B$1:B1268, 0)</f>
        <v>Silvana Northeast</v>
      </c>
      <c r="G269" s="2" t="str">
        <f>IF(_xlfn.XLOOKUP(C269, customers!A268:A1268, customers!C268:C1268, 0)=0, "", _xlfn.XLOOKUP(C269, customers!A268:A1268, customers!C268:C1268, 0))</f>
        <v>snortheast7f@mashable.com</v>
      </c>
      <c r="H269" s="2" t="str" cm="1">
        <f t="array" ref="H269">_xlfn.XLOOKUP(C269, customers!$A$1:A1268, customers!$G$1:G1268,, 0)</f>
        <v>United States</v>
      </c>
      <c r="I269" t="str" cm="1">
        <f t="array" ref="I269">_xlfn.XLOOKUP(orders!D269, products!$A$1:A316, products!$B$1:B316, 0)</f>
        <v>Exc</v>
      </c>
      <c r="J269" t="str" cm="1">
        <f t="array" ref="J269">_xlfn.XLOOKUP(D269, products!$A$1:A316, products!$C$1:C316, 0)</f>
        <v>D</v>
      </c>
      <c r="K269" s="4" cm="1">
        <f t="array" ref="K269">_xlfn.XLOOKUP(D269, products!$A$1:A316, products!$D$1:D316, 0)</f>
        <v>0.2</v>
      </c>
      <c r="L269" s="4" cm="1">
        <f t="array" ref="L269">_xlfn.XLOOKUP(D269, products!$A$1:A316, products!$E$1:E316)</f>
        <v>3.645</v>
      </c>
      <c r="M269">
        <f t="shared" si="8"/>
        <v>21.87</v>
      </c>
      <c r="N269" t="str">
        <f t="shared" si="9"/>
        <v>Excelsa</v>
      </c>
      <c r="O269" t="str" cm="1">
        <f t="array" ref="O269">_xlfn.IFS(J269="M", "Medium", J269="L", "Light", J269="D", "Dark")</f>
        <v>Dark</v>
      </c>
      <c r="P269" t="str">
        <f>_xlfn.XLOOKUP(Orders[[#This Row],[Customer ID]], customers!$A$2:$A$1001, customers!$I$2:$I$1001, 0)</f>
        <v>Yes</v>
      </c>
    </row>
    <row r="270" spans="1:16" x14ac:dyDescent="0.35">
      <c r="A270" s="2" t="s">
        <v>2004</v>
      </c>
      <c r="B270" s="3">
        <v>43790</v>
      </c>
      <c r="C270" s="2" t="s">
        <v>1672</v>
      </c>
      <c r="D270" t="s">
        <v>6147</v>
      </c>
      <c r="E270" s="2">
        <v>2</v>
      </c>
      <c r="F270" s="2" t="str" cm="1">
        <f t="array" ref="F270">_xlfn.XLOOKUP(C270, customers!$A$1:A1269, customers!$B$1:B1269, 0)</f>
        <v>Anselma Attwater</v>
      </c>
      <c r="G270" s="2" t="str">
        <f>IF(_xlfn.XLOOKUP(C270, customers!A269:A1269, customers!C269:C1269, 0)=0, "", _xlfn.XLOOKUP(C270, customers!A269:A1269, customers!C269:C1269, 0))</f>
        <v/>
      </c>
      <c r="H270" s="2" t="str" cm="1">
        <f t="array" ref="H270">_xlfn.XLOOKUP(C270, customers!$A$1:A1269, customers!$G$1:G1269,, 0)</f>
        <v>United States</v>
      </c>
      <c r="I270" t="str" cm="1">
        <f t="array" ref="I270">_xlfn.XLOOKUP(orders!D270, products!$A$1:A317, products!$B$1:B317, 0)</f>
        <v>Ara</v>
      </c>
      <c r="J270" t="str" cm="1">
        <f t="array" ref="J270">_xlfn.XLOOKUP(D270, products!$A$1:A317, products!$C$1:C317, 0)</f>
        <v>D</v>
      </c>
      <c r="K270" s="4" cm="1">
        <f t="array" ref="K270">_xlfn.XLOOKUP(D270, products!$A$1:A317, products!$D$1:D317, 0)</f>
        <v>1</v>
      </c>
      <c r="L270" s="4" cm="1">
        <f t="array" ref="L270">_xlfn.XLOOKUP(D270, products!$A$1:A317, products!$E$1:E317)</f>
        <v>9.9499999999999993</v>
      </c>
      <c r="M270">
        <f t="shared" si="8"/>
        <v>19.899999999999999</v>
      </c>
      <c r="N270" t="str">
        <f t="shared" si="9"/>
        <v>Arabica</v>
      </c>
      <c r="O270" t="str" cm="1">
        <f t="array" ref="O270">_xlfn.IFS(J270="M", "Medium", J270="L", "Light", J270="D", "Dark")</f>
        <v>Dark</v>
      </c>
      <c r="P270" t="str">
        <f>_xlfn.XLOOKUP(Orders[[#This Row],[Customer ID]], customers!$A$2:$A$1001, customers!$I$2:$I$1001, 0)</f>
        <v>Yes</v>
      </c>
    </row>
    <row r="271" spans="1:16" x14ac:dyDescent="0.35">
      <c r="A271" s="2" t="s">
        <v>2009</v>
      </c>
      <c r="B271" s="3">
        <v>44333</v>
      </c>
      <c r="C271" s="2" t="s">
        <v>2010</v>
      </c>
      <c r="D271" t="s">
        <v>6154</v>
      </c>
      <c r="E271" s="2">
        <v>2</v>
      </c>
      <c r="F271" s="2" t="str" cm="1">
        <f t="array" ref="F271">_xlfn.XLOOKUP(C271, customers!$A$1:A1270, customers!$B$1:B1270, 0)</f>
        <v>Monica Fearon</v>
      </c>
      <c r="G271" s="2" t="str">
        <f>IF(_xlfn.XLOOKUP(C271, customers!A270:A1270, customers!C270:C1270, 0)=0, "", _xlfn.XLOOKUP(C271, customers!A270:A1270, customers!C270:C1270, 0))</f>
        <v>mfearon7h@reverbnation.com</v>
      </c>
      <c r="H271" s="2" t="str" cm="1">
        <f t="array" ref="H271">_xlfn.XLOOKUP(C271, customers!$A$1:A1270, customers!$G$1:G1270,, 0)</f>
        <v>United States</v>
      </c>
      <c r="I271" t="str" cm="1">
        <f t="array" ref="I271">_xlfn.XLOOKUP(orders!D271, products!$A$1:A318, products!$B$1:B318, 0)</f>
        <v>Ara</v>
      </c>
      <c r="J271" t="str" cm="1">
        <f t="array" ref="J271">_xlfn.XLOOKUP(D271, products!$A$1:A318, products!$C$1:C318, 0)</f>
        <v>D</v>
      </c>
      <c r="K271" s="4" cm="1">
        <f t="array" ref="K271">_xlfn.XLOOKUP(D271, products!$A$1:A318, products!$D$1:D318, 0)</f>
        <v>0.2</v>
      </c>
      <c r="L271" s="4" cm="1">
        <f t="array" ref="L271">_xlfn.XLOOKUP(D271, products!$A$1:A318, products!$E$1:E318)</f>
        <v>2.9849999999999999</v>
      </c>
      <c r="M271">
        <f t="shared" si="8"/>
        <v>5.97</v>
      </c>
      <c r="N271" t="str">
        <f t="shared" si="9"/>
        <v>Arabica</v>
      </c>
      <c r="O271" t="str" cm="1">
        <f t="array" ref="O271">_xlfn.IFS(J271="M", "Medium", J271="L", "Light", J271="D", "Dark")</f>
        <v>Dark</v>
      </c>
      <c r="P271" t="str">
        <f>_xlfn.XLOOKUP(Orders[[#This Row],[Customer ID]], customers!$A$2:$A$1001, customers!$I$2:$I$1001, 0)</f>
        <v>No</v>
      </c>
    </row>
    <row r="272" spans="1:16" x14ac:dyDescent="0.35">
      <c r="A272" s="2" t="s">
        <v>2015</v>
      </c>
      <c r="B272" s="3">
        <v>43655</v>
      </c>
      <c r="C272" s="2" t="s">
        <v>2016</v>
      </c>
      <c r="D272" t="s">
        <v>6144</v>
      </c>
      <c r="E272" s="2">
        <v>1</v>
      </c>
      <c r="F272" s="2" t="str" cm="1">
        <f t="array" ref="F272">_xlfn.XLOOKUP(C272, customers!$A$1:A1271, customers!$B$1:B1271, 0)</f>
        <v>Barney Chisnell</v>
      </c>
      <c r="G272" s="2" t="str">
        <f>IF(_xlfn.XLOOKUP(C272, customers!A271:A1271, customers!C271:C1271, 0)=0, "", _xlfn.XLOOKUP(C272, customers!A271:A1271, customers!C271:C1271, 0))</f>
        <v/>
      </c>
      <c r="H272" s="2" t="str" cm="1">
        <f t="array" ref="H272">_xlfn.XLOOKUP(C272, customers!$A$1:A1271, customers!$G$1:G1271,, 0)</f>
        <v>Ireland</v>
      </c>
      <c r="I272" t="str" cm="1">
        <f t="array" ref="I272">_xlfn.XLOOKUP(orders!D272, products!$A$1:A319, products!$B$1:B319, 0)</f>
        <v>Exc</v>
      </c>
      <c r="J272" t="str" cm="1">
        <f t="array" ref="J272">_xlfn.XLOOKUP(D272, products!$A$1:A319, products!$C$1:C319, 0)</f>
        <v>D</v>
      </c>
      <c r="K272" s="4" cm="1">
        <f t="array" ref="K272">_xlfn.XLOOKUP(D272, products!$A$1:A319, products!$D$1:D319, 0)</f>
        <v>0.5</v>
      </c>
      <c r="L272" s="4" cm="1">
        <f t="array" ref="L272">_xlfn.XLOOKUP(D272, products!$A$1:A319, products!$E$1:E319)</f>
        <v>7.29</v>
      </c>
      <c r="M272">
        <f t="shared" si="8"/>
        <v>7.29</v>
      </c>
      <c r="N272" t="str">
        <f t="shared" si="9"/>
        <v>Excelsa</v>
      </c>
      <c r="O272" t="str" cm="1">
        <f t="array" ref="O272">_xlfn.IFS(J272="M", "Medium", J272="L", "Light", J272="D", "Dark")</f>
        <v>Dark</v>
      </c>
      <c r="P272" t="str">
        <f>_xlfn.XLOOKUP(Orders[[#This Row],[Customer ID]], customers!$A$2:$A$1001, customers!$I$2:$I$1001, 0)</f>
        <v>Yes</v>
      </c>
    </row>
    <row r="273" spans="1:16" x14ac:dyDescent="0.35">
      <c r="A273" s="2" t="s">
        <v>2019</v>
      </c>
      <c r="B273" s="3">
        <v>43971</v>
      </c>
      <c r="C273" s="2" t="s">
        <v>2020</v>
      </c>
      <c r="D273" t="s">
        <v>6154</v>
      </c>
      <c r="E273" s="2">
        <v>4</v>
      </c>
      <c r="F273" s="2" t="str" cm="1">
        <f t="array" ref="F273">_xlfn.XLOOKUP(C273, customers!$A$1:A1272, customers!$B$1:B1272, 0)</f>
        <v>Jasper Sisneros</v>
      </c>
      <c r="G273" s="2" t="str">
        <f>IF(_xlfn.XLOOKUP(C273, customers!A272:A1272, customers!C272:C1272, 0)=0, "", _xlfn.XLOOKUP(C273, customers!A272:A1272, customers!C272:C1272, 0))</f>
        <v>jsisneros7j@a8.net</v>
      </c>
      <c r="H273" s="2" t="str" cm="1">
        <f t="array" ref="H273">_xlfn.XLOOKUP(C273, customers!$A$1:A1272, customers!$G$1:G1272,, 0)</f>
        <v>United States</v>
      </c>
      <c r="I273" t="str" cm="1">
        <f t="array" ref="I273">_xlfn.XLOOKUP(orders!D273, products!$A$1:A320, products!$B$1:B320, 0)</f>
        <v>Ara</v>
      </c>
      <c r="J273" t="str" cm="1">
        <f t="array" ref="J273">_xlfn.XLOOKUP(D273, products!$A$1:A320, products!$C$1:C320, 0)</f>
        <v>D</v>
      </c>
      <c r="K273" s="4" cm="1">
        <f t="array" ref="K273">_xlfn.XLOOKUP(D273, products!$A$1:A320, products!$D$1:D320, 0)</f>
        <v>0.2</v>
      </c>
      <c r="L273" s="4" cm="1">
        <f t="array" ref="L273">_xlfn.XLOOKUP(D273, products!$A$1:A320, products!$E$1:E320)</f>
        <v>2.9849999999999999</v>
      </c>
      <c r="M273">
        <f t="shared" si="8"/>
        <v>11.94</v>
      </c>
      <c r="N273" t="str">
        <f t="shared" si="9"/>
        <v>Arabica</v>
      </c>
      <c r="O273" t="str" cm="1">
        <f t="array" ref="O273">_xlfn.IFS(J273="M", "Medium", J273="L", "Light", J273="D", "Dark")</f>
        <v>Dark</v>
      </c>
      <c r="P273" t="str">
        <f>_xlfn.XLOOKUP(Orders[[#This Row],[Customer ID]], customers!$A$2:$A$1001, customers!$I$2:$I$1001, 0)</f>
        <v>Yes</v>
      </c>
    </row>
    <row r="274" spans="1:16" x14ac:dyDescent="0.35">
      <c r="A274" s="2" t="s">
        <v>2025</v>
      </c>
      <c r="B274" s="3">
        <v>44435</v>
      </c>
      <c r="C274" s="2" t="s">
        <v>2026</v>
      </c>
      <c r="D274" t="s">
        <v>6179</v>
      </c>
      <c r="E274" s="2">
        <v>6</v>
      </c>
      <c r="F274" s="2" t="str" cm="1">
        <f t="array" ref="F274">_xlfn.XLOOKUP(C274, customers!$A$1:A1273, customers!$B$1:B1273, 0)</f>
        <v>Zachariah Carlson</v>
      </c>
      <c r="G274" s="2" t="str">
        <f>IF(_xlfn.XLOOKUP(C274, customers!A273:A1273, customers!C273:C1273, 0)=0, "", _xlfn.XLOOKUP(C274, customers!A273:A1273, customers!C273:C1273, 0))</f>
        <v>zcarlson7k@bigcartel.com</v>
      </c>
      <c r="H274" s="2" t="str" cm="1">
        <f t="array" ref="H274">_xlfn.XLOOKUP(C274, customers!$A$1:A1273, customers!$G$1:G1273,, 0)</f>
        <v>Ireland</v>
      </c>
      <c r="I274" t="str" cm="1">
        <f t="array" ref="I274">_xlfn.XLOOKUP(orders!D274, products!$A$1:A321, products!$B$1:B321, 0)</f>
        <v>Rob</v>
      </c>
      <c r="J274" t="str" cm="1">
        <f t="array" ref="J274">_xlfn.XLOOKUP(D274, products!$A$1:A321, products!$C$1:C321, 0)</f>
        <v>L</v>
      </c>
      <c r="K274" s="4" cm="1">
        <f t="array" ref="K274">_xlfn.XLOOKUP(D274, products!$A$1:A321, products!$D$1:D321, 0)</f>
        <v>1</v>
      </c>
      <c r="L274" s="4" cm="1">
        <f t="array" ref="L274">_xlfn.XLOOKUP(D274, products!$A$1:A321, products!$E$1:E321)</f>
        <v>11.95</v>
      </c>
      <c r="M274">
        <f t="shared" si="8"/>
        <v>71.699999999999989</v>
      </c>
      <c r="N274" t="str">
        <f t="shared" si="9"/>
        <v>Robusta</v>
      </c>
      <c r="O274" t="str" cm="1">
        <f t="array" ref="O274">_xlfn.IFS(J274="M", "Medium", J274="L", "Light", J274="D", "Dark")</f>
        <v>Light</v>
      </c>
      <c r="P274" t="str">
        <f>_xlfn.XLOOKUP(Orders[[#This Row],[Customer ID]], customers!$A$2:$A$1001, customers!$I$2:$I$1001, 0)</f>
        <v>Yes</v>
      </c>
    </row>
    <row r="275" spans="1:16" x14ac:dyDescent="0.35">
      <c r="A275" s="2" t="s">
        <v>2032</v>
      </c>
      <c r="B275" s="3">
        <v>44681</v>
      </c>
      <c r="C275" s="2" t="s">
        <v>2033</v>
      </c>
      <c r="D275" t="s">
        <v>6167</v>
      </c>
      <c r="E275" s="2">
        <v>2</v>
      </c>
      <c r="F275" s="2" t="str" cm="1">
        <f t="array" ref="F275">_xlfn.XLOOKUP(C275, customers!$A$1:A1274, customers!$B$1:B1274, 0)</f>
        <v>Warner Maddox</v>
      </c>
      <c r="G275" s="2" t="str">
        <f>IF(_xlfn.XLOOKUP(C275, customers!A274:A1274, customers!C274:C1274, 0)=0, "", _xlfn.XLOOKUP(C275, customers!A274:A1274, customers!C274:C1274, 0))</f>
        <v>wmaddox7l@timesonline.co.uk</v>
      </c>
      <c r="H275" s="2" t="str" cm="1">
        <f t="array" ref="H275">_xlfn.XLOOKUP(C275, customers!$A$1:A1274, customers!$G$1:G1274,, 0)</f>
        <v>United States</v>
      </c>
      <c r="I275" t="str" cm="1">
        <f t="array" ref="I275">_xlfn.XLOOKUP(orders!D275, products!$A$1:A322, products!$B$1:B322, 0)</f>
        <v>Ara</v>
      </c>
      <c r="J275" t="str" cm="1">
        <f t="array" ref="J275">_xlfn.XLOOKUP(D275, products!$A$1:A322, products!$C$1:C322, 0)</f>
        <v>L</v>
      </c>
      <c r="K275" s="4" cm="1">
        <f t="array" ref="K275">_xlfn.XLOOKUP(D275, products!$A$1:A322, products!$D$1:D322, 0)</f>
        <v>0.2</v>
      </c>
      <c r="L275" s="4" cm="1">
        <f t="array" ref="L275">_xlfn.XLOOKUP(D275, products!$A$1:A322, products!$E$1:E322)</f>
        <v>3.8849999999999998</v>
      </c>
      <c r="M275">
        <f t="shared" si="8"/>
        <v>7.77</v>
      </c>
      <c r="N275" t="str">
        <f t="shared" si="9"/>
        <v>Arabica</v>
      </c>
      <c r="O275" t="str" cm="1">
        <f t="array" ref="O275">_xlfn.IFS(J275="M", "Medium", J275="L", "Light", J275="D", "Dark")</f>
        <v>Light</v>
      </c>
      <c r="P275" t="str">
        <f>_xlfn.XLOOKUP(Orders[[#This Row],[Customer ID]], customers!$A$2:$A$1001, customers!$I$2:$I$1001, 0)</f>
        <v>No</v>
      </c>
    </row>
    <row r="276" spans="1:16" x14ac:dyDescent="0.35">
      <c r="A276" s="2" t="s">
        <v>2038</v>
      </c>
      <c r="B276" s="3">
        <v>43985</v>
      </c>
      <c r="C276" s="2" t="s">
        <v>2039</v>
      </c>
      <c r="D276" t="s">
        <v>6175</v>
      </c>
      <c r="E276" s="2">
        <v>1</v>
      </c>
      <c r="F276" s="2" t="str" cm="1">
        <f t="array" ref="F276">_xlfn.XLOOKUP(C276, customers!$A$1:A1275, customers!$B$1:B1275, 0)</f>
        <v>Donnie Hedlestone</v>
      </c>
      <c r="G276" s="2" t="str">
        <f>IF(_xlfn.XLOOKUP(C276, customers!A275:A1275, customers!C275:C1275, 0)=0, "", _xlfn.XLOOKUP(C276, customers!A275:A1275, customers!C275:C1275, 0))</f>
        <v>dhedlestone7m@craigslist.org</v>
      </c>
      <c r="H276" s="2" t="str" cm="1">
        <f t="array" ref="H276">_xlfn.XLOOKUP(C276, customers!$A$1:A1275, customers!$G$1:G1275,, 0)</f>
        <v>United States</v>
      </c>
      <c r="I276" t="str" cm="1">
        <f t="array" ref="I276">_xlfn.XLOOKUP(orders!D276, products!$A$1:A323, products!$B$1:B323, 0)</f>
        <v>Ara</v>
      </c>
      <c r="J276" t="str" cm="1">
        <f t="array" ref="J276">_xlfn.XLOOKUP(D276, products!$A$1:A323, products!$C$1:C323, 0)</f>
        <v>M</v>
      </c>
      <c r="K276" s="4" cm="1">
        <f t="array" ref="K276">_xlfn.XLOOKUP(D276, products!$A$1:A323, products!$D$1:D323, 0)</f>
        <v>2.5</v>
      </c>
      <c r="L276" s="4" cm="1">
        <f t="array" ref="L276">_xlfn.XLOOKUP(D276, products!$A$1:A323, products!$E$1:E323)</f>
        <v>25.874999999999996</v>
      </c>
      <c r="M276">
        <f t="shared" si="8"/>
        <v>25.874999999999996</v>
      </c>
      <c r="N276" t="str">
        <f t="shared" si="9"/>
        <v>Arabica</v>
      </c>
      <c r="O276" t="str" cm="1">
        <f t="array" ref="O276">_xlfn.IFS(J276="M", "Medium", J276="L", "Light", J276="D", "Dark")</f>
        <v>Medium</v>
      </c>
      <c r="P276" t="str">
        <f>_xlfn.XLOOKUP(Orders[[#This Row],[Customer ID]], customers!$A$2:$A$1001, customers!$I$2:$I$1001, 0)</f>
        <v>No</v>
      </c>
    </row>
    <row r="277" spans="1:16" x14ac:dyDescent="0.35">
      <c r="A277" s="2" t="s">
        <v>2044</v>
      </c>
      <c r="B277" s="3">
        <v>44725</v>
      </c>
      <c r="C277" s="2" t="s">
        <v>2045</v>
      </c>
      <c r="D277" t="s">
        <v>6148</v>
      </c>
      <c r="E277" s="2">
        <v>6</v>
      </c>
      <c r="F277" s="2" t="str" cm="1">
        <f t="array" ref="F277">_xlfn.XLOOKUP(C277, customers!$A$1:A1276, customers!$B$1:B1276, 0)</f>
        <v>Teddi Crowthe</v>
      </c>
      <c r="G277" s="2" t="str">
        <f>IF(_xlfn.XLOOKUP(C277, customers!A276:A1276, customers!C276:C1276, 0)=0, "", _xlfn.XLOOKUP(C277, customers!A276:A1276, customers!C276:C1276, 0))</f>
        <v>tcrowthe7n@europa.eu</v>
      </c>
      <c r="H277" s="2" t="str" cm="1">
        <f t="array" ref="H277">_xlfn.XLOOKUP(C277, customers!$A$1:A1276, customers!$G$1:G1276,, 0)</f>
        <v>United States</v>
      </c>
      <c r="I277" t="str" cm="1">
        <f t="array" ref="I277">_xlfn.XLOOKUP(orders!D277, products!$A$1:A324, products!$B$1:B324, 0)</f>
        <v>Exc</v>
      </c>
      <c r="J277" t="str" cm="1">
        <f t="array" ref="J277">_xlfn.XLOOKUP(D277, products!$A$1:A324, products!$C$1:C324, 0)</f>
        <v>L</v>
      </c>
      <c r="K277" s="4" cm="1">
        <f t="array" ref="K277">_xlfn.XLOOKUP(D277, products!$A$1:A324, products!$D$1:D324, 0)</f>
        <v>2.5</v>
      </c>
      <c r="L277" s="4" cm="1">
        <f t="array" ref="L277">_xlfn.XLOOKUP(D277, products!$A$1:A324, products!$E$1:E324)</f>
        <v>34.154999999999994</v>
      </c>
      <c r="M277">
        <f t="shared" si="8"/>
        <v>204.92999999999995</v>
      </c>
      <c r="N277" t="str">
        <f t="shared" si="9"/>
        <v>Excelsa</v>
      </c>
      <c r="O277" t="str" cm="1">
        <f t="array" ref="O277">_xlfn.IFS(J277="M", "Medium", J277="L", "Light", J277="D", "Dark")</f>
        <v>Light</v>
      </c>
      <c r="P277" t="str">
        <f>_xlfn.XLOOKUP(Orders[[#This Row],[Customer ID]], customers!$A$2:$A$1001, customers!$I$2:$I$1001, 0)</f>
        <v>No</v>
      </c>
    </row>
    <row r="278" spans="1:16" x14ac:dyDescent="0.35">
      <c r="A278" s="2" t="s">
        <v>2050</v>
      </c>
      <c r="B278" s="3">
        <v>43992</v>
      </c>
      <c r="C278" s="2" t="s">
        <v>2051</v>
      </c>
      <c r="D278" t="s">
        <v>6142</v>
      </c>
      <c r="E278" s="2">
        <v>4</v>
      </c>
      <c r="F278" s="2" t="str" cm="1">
        <f t="array" ref="F278">_xlfn.XLOOKUP(C278, customers!$A$1:A1277, customers!$B$1:B1277, 0)</f>
        <v>Dorelia Bury</v>
      </c>
      <c r="G278" s="2" t="str">
        <f>IF(_xlfn.XLOOKUP(C278, customers!A277:A1277, customers!C277:C1277, 0)=0, "", _xlfn.XLOOKUP(C278, customers!A277:A1277, customers!C277:C1277, 0))</f>
        <v>dbury7o@tinyurl.com</v>
      </c>
      <c r="H278" s="2" t="str" cm="1">
        <f t="array" ref="H278">_xlfn.XLOOKUP(C278, customers!$A$1:A1277, customers!$G$1:G1277,, 0)</f>
        <v>Ireland</v>
      </c>
      <c r="I278" t="str" cm="1">
        <f t="array" ref="I278">_xlfn.XLOOKUP(orders!D278, products!$A$1:A325, products!$B$1:B325, 0)</f>
        <v>Rob</v>
      </c>
      <c r="J278" t="str" cm="1">
        <f t="array" ref="J278">_xlfn.XLOOKUP(D278, products!$A$1:A325, products!$C$1:C325, 0)</f>
        <v>L</v>
      </c>
      <c r="K278" s="4" cm="1">
        <f t="array" ref="K278">_xlfn.XLOOKUP(D278, products!$A$1:A325, products!$D$1:D325, 0)</f>
        <v>2.5</v>
      </c>
      <c r="L278" s="4" cm="1">
        <f t="array" ref="L278">_xlfn.XLOOKUP(D278, products!$A$1:A325, products!$E$1:E325)</f>
        <v>27.484999999999996</v>
      </c>
      <c r="M278">
        <f t="shared" si="8"/>
        <v>109.93999999999998</v>
      </c>
      <c r="N278" t="str">
        <f t="shared" si="9"/>
        <v>Robusta</v>
      </c>
      <c r="O278" t="str" cm="1">
        <f t="array" ref="O278">_xlfn.IFS(J278="M", "Medium", J278="L", "Light", J278="D", "Dark")</f>
        <v>Light</v>
      </c>
      <c r="P278" t="str">
        <f>_xlfn.XLOOKUP(Orders[[#This Row],[Customer ID]], customers!$A$2:$A$1001, customers!$I$2:$I$1001, 0)</f>
        <v>Yes</v>
      </c>
    </row>
    <row r="279" spans="1:16" x14ac:dyDescent="0.35">
      <c r="A279" s="2" t="s">
        <v>2056</v>
      </c>
      <c r="B279" s="3">
        <v>44183</v>
      </c>
      <c r="C279" s="2" t="s">
        <v>2057</v>
      </c>
      <c r="D279" t="s">
        <v>6171</v>
      </c>
      <c r="E279" s="2">
        <v>6</v>
      </c>
      <c r="F279" s="2" t="str" cm="1">
        <f t="array" ref="F279">_xlfn.XLOOKUP(C279, customers!$A$1:A1278, customers!$B$1:B1278, 0)</f>
        <v>Gussy Broadbear</v>
      </c>
      <c r="G279" s="2" t="str">
        <f>IF(_xlfn.XLOOKUP(C279, customers!A278:A1278, customers!C278:C1278, 0)=0, "", _xlfn.XLOOKUP(C279, customers!A278:A1278, customers!C278:C1278, 0))</f>
        <v>gbroadbear7p@omniture.com</v>
      </c>
      <c r="H279" s="2" t="str" cm="1">
        <f t="array" ref="H279">_xlfn.XLOOKUP(C279, customers!$A$1:A1278, customers!$G$1:G1278,, 0)</f>
        <v>United States</v>
      </c>
      <c r="I279" t="str" cm="1">
        <f t="array" ref="I279">_xlfn.XLOOKUP(orders!D279, products!$A$1:A326, products!$B$1:B326, 0)</f>
        <v>Exc</v>
      </c>
      <c r="J279" t="str" cm="1">
        <f t="array" ref="J279">_xlfn.XLOOKUP(D279, products!$A$1:A326, products!$C$1:C326, 0)</f>
        <v>L</v>
      </c>
      <c r="K279" s="4" cm="1">
        <f t="array" ref="K279">_xlfn.XLOOKUP(D279, products!$A$1:A326, products!$D$1:D326, 0)</f>
        <v>1</v>
      </c>
      <c r="L279" s="4" cm="1">
        <f t="array" ref="L279">_xlfn.XLOOKUP(D279, products!$A$1:A326, products!$E$1:E326)</f>
        <v>14.85</v>
      </c>
      <c r="M279">
        <f t="shared" si="8"/>
        <v>89.1</v>
      </c>
      <c r="N279" t="str">
        <f t="shared" si="9"/>
        <v>Excelsa</v>
      </c>
      <c r="O279" t="str" cm="1">
        <f t="array" ref="O279">_xlfn.IFS(J279="M", "Medium", J279="L", "Light", J279="D", "Dark")</f>
        <v>Light</v>
      </c>
      <c r="P279" t="str">
        <f>_xlfn.XLOOKUP(Orders[[#This Row],[Customer ID]], customers!$A$2:$A$1001, customers!$I$2:$I$1001, 0)</f>
        <v>No</v>
      </c>
    </row>
    <row r="280" spans="1:16" x14ac:dyDescent="0.35">
      <c r="A280" s="2" t="s">
        <v>2062</v>
      </c>
      <c r="B280" s="3">
        <v>43708</v>
      </c>
      <c r="C280" s="2" t="s">
        <v>2063</v>
      </c>
      <c r="D280" t="s">
        <v>6167</v>
      </c>
      <c r="E280" s="2">
        <v>2</v>
      </c>
      <c r="F280" s="2" t="str" cm="1">
        <f t="array" ref="F280">_xlfn.XLOOKUP(C280, customers!$A$1:A1279, customers!$B$1:B1279, 0)</f>
        <v>Emlynne Palfrey</v>
      </c>
      <c r="G280" s="2" t="str">
        <f>IF(_xlfn.XLOOKUP(C280, customers!A279:A1279, customers!C279:C1279, 0)=0, "", _xlfn.XLOOKUP(C280, customers!A279:A1279, customers!C279:C1279, 0))</f>
        <v>epalfrey7q@devhub.com</v>
      </c>
      <c r="H280" s="2" t="str" cm="1">
        <f t="array" ref="H280">_xlfn.XLOOKUP(C280, customers!$A$1:A1279, customers!$G$1:G1279,, 0)</f>
        <v>United States</v>
      </c>
      <c r="I280" t="str" cm="1">
        <f t="array" ref="I280">_xlfn.XLOOKUP(orders!D280, products!$A$1:A327, products!$B$1:B327, 0)</f>
        <v>Ara</v>
      </c>
      <c r="J280" t="str" cm="1">
        <f t="array" ref="J280">_xlfn.XLOOKUP(D280, products!$A$1:A327, products!$C$1:C327, 0)</f>
        <v>L</v>
      </c>
      <c r="K280" s="4" cm="1">
        <f t="array" ref="K280">_xlfn.XLOOKUP(D280, products!$A$1:A327, products!$D$1:D327, 0)</f>
        <v>0.2</v>
      </c>
      <c r="L280" s="4" cm="1">
        <f t="array" ref="L280">_xlfn.XLOOKUP(D280, products!$A$1:A327, products!$E$1:E327)</f>
        <v>3.8849999999999998</v>
      </c>
      <c r="M280">
        <f t="shared" si="8"/>
        <v>7.77</v>
      </c>
      <c r="N280" t="str">
        <f t="shared" si="9"/>
        <v>Arabica</v>
      </c>
      <c r="O280" t="str" cm="1">
        <f t="array" ref="O280">_xlfn.IFS(J280="M", "Medium", J280="L", "Light", J280="D", "Dark")</f>
        <v>Light</v>
      </c>
      <c r="P280" t="str">
        <f>_xlfn.XLOOKUP(Orders[[#This Row],[Customer ID]], customers!$A$2:$A$1001, customers!$I$2:$I$1001, 0)</f>
        <v>Yes</v>
      </c>
    </row>
    <row r="281" spans="1:16" x14ac:dyDescent="0.35">
      <c r="A281" s="2" t="s">
        <v>2068</v>
      </c>
      <c r="B281" s="3">
        <v>43521</v>
      </c>
      <c r="C281" s="2" t="s">
        <v>2069</v>
      </c>
      <c r="D281" t="s">
        <v>6181</v>
      </c>
      <c r="E281" s="2">
        <v>1</v>
      </c>
      <c r="F281" s="2" t="str" cm="1">
        <f t="array" ref="F281">_xlfn.XLOOKUP(C281, customers!$A$1:A1280, customers!$B$1:B1280, 0)</f>
        <v>Parsifal Metrick</v>
      </c>
      <c r="G281" s="2" t="str">
        <f>IF(_xlfn.XLOOKUP(C281, customers!A280:A1280, customers!C280:C1280, 0)=0, "", _xlfn.XLOOKUP(C281, customers!A280:A1280, customers!C280:C1280, 0))</f>
        <v>pmetrick7r@rakuten.co.jp</v>
      </c>
      <c r="H281" s="2" t="str" cm="1">
        <f t="array" ref="H281">_xlfn.XLOOKUP(C281, customers!$A$1:A1280, customers!$G$1:G1280,, 0)</f>
        <v>United States</v>
      </c>
      <c r="I281" t="str" cm="1">
        <f t="array" ref="I281">_xlfn.XLOOKUP(orders!D281, products!$A$1:A328, products!$B$1:B328, 0)</f>
        <v>Lib</v>
      </c>
      <c r="J281" t="str" cm="1">
        <f t="array" ref="J281">_xlfn.XLOOKUP(D281, products!$A$1:A328, products!$C$1:C328, 0)</f>
        <v>M</v>
      </c>
      <c r="K281" s="4" cm="1">
        <f t="array" ref="K281">_xlfn.XLOOKUP(D281, products!$A$1:A328, products!$D$1:D328, 0)</f>
        <v>2.5</v>
      </c>
      <c r="L281" s="4" cm="1">
        <f t="array" ref="L281">_xlfn.XLOOKUP(D281, products!$A$1:A328, products!$E$1:E328)</f>
        <v>33.464999999999996</v>
      </c>
      <c r="M281">
        <f t="shared" si="8"/>
        <v>33.464999999999996</v>
      </c>
      <c r="N281" t="str">
        <f t="shared" si="9"/>
        <v>Liberica</v>
      </c>
      <c r="O281" t="str" cm="1">
        <f t="array" ref="O281">_xlfn.IFS(J281="M", "Medium", J281="L", "Light", J281="D", "Dark")</f>
        <v>Medium</v>
      </c>
      <c r="P281" t="str">
        <f>_xlfn.XLOOKUP(Orders[[#This Row],[Customer ID]], customers!$A$2:$A$1001, customers!$I$2:$I$1001, 0)</f>
        <v>Yes</v>
      </c>
    </row>
    <row r="282" spans="1:16" x14ac:dyDescent="0.35">
      <c r="A282" s="2" t="s">
        <v>2074</v>
      </c>
      <c r="B282" s="3">
        <v>44234</v>
      </c>
      <c r="C282" s="2" t="s">
        <v>2075</v>
      </c>
      <c r="D282" t="s">
        <v>6139</v>
      </c>
      <c r="E282" s="2">
        <v>5</v>
      </c>
      <c r="F282" s="2" t="str" cm="1">
        <f t="array" ref="F282">_xlfn.XLOOKUP(C282, customers!$A$1:A1281, customers!$B$1:B1281, 0)</f>
        <v>Christopher Grieveson</v>
      </c>
      <c r="G282" s="2" t="str">
        <f>IF(_xlfn.XLOOKUP(C282, customers!A281:A1281, customers!C281:C1281, 0)=0, "", _xlfn.XLOOKUP(C282, customers!A281:A1281, customers!C281:C1281, 0))</f>
        <v/>
      </c>
      <c r="H282" s="2" t="str" cm="1">
        <f t="array" ref="H282">_xlfn.XLOOKUP(C282, customers!$A$1:A1281, customers!$G$1:G1281,, 0)</f>
        <v>United States</v>
      </c>
      <c r="I282" t="str" cm="1">
        <f t="array" ref="I282">_xlfn.XLOOKUP(orders!D282, products!$A$1:A329, products!$B$1:B329, 0)</f>
        <v>Exc</v>
      </c>
      <c r="J282" t="str" cm="1">
        <f t="array" ref="J282">_xlfn.XLOOKUP(D282, products!$A$1:A329, products!$C$1:C329, 0)</f>
        <v>M</v>
      </c>
      <c r="K282" s="4" cm="1">
        <f t="array" ref="K282">_xlfn.XLOOKUP(D282, products!$A$1:A329, products!$D$1:D329, 0)</f>
        <v>0.5</v>
      </c>
      <c r="L282" s="4" cm="1">
        <f t="array" ref="L282">_xlfn.XLOOKUP(D282, products!$A$1:A329, products!$E$1:E329)</f>
        <v>8.25</v>
      </c>
      <c r="M282">
        <f t="shared" si="8"/>
        <v>41.25</v>
      </c>
      <c r="N282" t="str">
        <f t="shared" si="9"/>
        <v>Excelsa</v>
      </c>
      <c r="O282" t="str" cm="1">
        <f t="array" ref="O282">_xlfn.IFS(J282="M", "Medium", J282="L", "Light", J282="D", "Dark")</f>
        <v>Medium</v>
      </c>
      <c r="P282" t="str">
        <f>_xlfn.XLOOKUP(Orders[[#This Row],[Customer ID]], customers!$A$2:$A$1001, customers!$I$2:$I$1001, 0)</f>
        <v>Yes</v>
      </c>
    </row>
    <row r="283" spans="1:16" x14ac:dyDescent="0.35">
      <c r="A283" s="2" t="s">
        <v>2079</v>
      </c>
      <c r="B283" s="3">
        <v>44210</v>
      </c>
      <c r="C283" s="2" t="s">
        <v>2080</v>
      </c>
      <c r="D283" t="s">
        <v>6171</v>
      </c>
      <c r="E283" s="2">
        <v>4</v>
      </c>
      <c r="F283" s="2" t="str" cm="1">
        <f t="array" ref="F283">_xlfn.XLOOKUP(C283, customers!$A$1:A1282, customers!$B$1:B1282, 0)</f>
        <v>Karlan Karby</v>
      </c>
      <c r="G283" s="2" t="str">
        <f>IF(_xlfn.XLOOKUP(C283, customers!A282:A1282, customers!C282:C1282, 0)=0, "", _xlfn.XLOOKUP(C283, customers!A282:A1282, customers!C282:C1282, 0))</f>
        <v>kkarby7t@sbwire.com</v>
      </c>
      <c r="H283" s="2" t="str" cm="1">
        <f t="array" ref="H283">_xlfn.XLOOKUP(C283, customers!$A$1:A1282, customers!$G$1:G1282,, 0)</f>
        <v>United States</v>
      </c>
      <c r="I283" t="str" cm="1">
        <f t="array" ref="I283">_xlfn.XLOOKUP(orders!D283, products!$A$1:A330, products!$B$1:B330, 0)</f>
        <v>Exc</v>
      </c>
      <c r="J283" t="str" cm="1">
        <f t="array" ref="J283">_xlfn.XLOOKUP(D283, products!$A$1:A330, products!$C$1:C330, 0)</f>
        <v>L</v>
      </c>
      <c r="K283" s="4" cm="1">
        <f t="array" ref="K283">_xlfn.XLOOKUP(D283, products!$A$1:A330, products!$D$1:D330, 0)</f>
        <v>1</v>
      </c>
      <c r="L283" s="4" cm="1">
        <f t="array" ref="L283">_xlfn.XLOOKUP(D283, products!$A$1:A330, products!$E$1:E330)</f>
        <v>14.85</v>
      </c>
      <c r="M283">
        <f t="shared" si="8"/>
        <v>59.4</v>
      </c>
      <c r="N283" t="str">
        <f t="shared" si="9"/>
        <v>Excelsa</v>
      </c>
      <c r="O283" t="str" cm="1">
        <f t="array" ref="O283">_xlfn.IFS(J283="M", "Medium", J283="L", "Light", J283="D", "Dark")</f>
        <v>Light</v>
      </c>
      <c r="P283" t="str">
        <f>_xlfn.XLOOKUP(Orders[[#This Row],[Customer ID]], customers!$A$2:$A$1001, customers!$I$2:$I$1001, 0)</f>
        <v>Yes</v>
      </c>
    </row>
    <row r="284" spans="1:16" x14ac:dyDescent="0.35">
      <c r="A284" s="2" t="s">
        <v>2085</v>
      </c>
      <c r="B284" s="3">
        <v>43520</v>
      </c>
      <c r="C284" s="2" t="s">
        <v>2086</v>
      </c>
      <c r="D284" t="s">
        <v>6180</v>
      </c>
      <c r="E284" s="2">
        <v>1</v>
      </c>
      <c r="F284" s="2" t="str" cm="1">
        <f t="array" ref="F284">_xlfn.XLOOKUP(C284, customers!$A$1:A1283, customers!$B$1:B1283, 0)</f>
        <v>Flory Crumpe</v>
      </c>
      <c r="G284" s="2" t="str">
        <f>IF(_xlfn.XLOOKUP(C284, customers!A283:A1283, customers!C283:C1283, 0)=0, "", _xlfn.XLOOKUP(C284, customers!A283:A1283, customers!C283:C1283, 0))</f>
        <v>fcrumpe7u@ftc.gov</v>
      </c>
      <c r="H284" s="2" t="str" cm="1">
        <f t="array" ref="H284">_xlfn.XLOOKUP(C284, customers!$A$1:A1283, customers!$G$1:G1283,, 0)</f>
        <v>United Kingdom</v>
      </c>
      <c r="I284" t="str" cm="1">
        <f t="array" ref="I284">_xlfn.XLOOKUP(orders!D284, products!$A$1:A331, products!$B$1:B331, 0)</f>
        <v>Ara</v>
      </c>
      <c r="J284" t="str" cm="1">
        <f t="array" ref="J284">_xlfn.XLOOKUP(D284, products!$A$1:A331, products!$C$1:C331, 0)</f>
        <v>L</v>
      </c>
      <c r="K284" s="4" cm="1">
        <f t="array" ref="K284">_xlfn.XLOOKUP(D284, products!$A$1:A331, products!$D$1:D331, 0)</f>
        <v>0.5</v>
      </c>
      <c r="L284" s="4" cm="1">
        <f t="array" ref="L284">_xlfn.XLOOKUP(D284, products!$A$1:A331, products!$E$1:E331)</f>
        <v>7.77</v>
      </c>
      <c r="M284">
        <f t="shared" si="8"/>
        <v>7.77</v>
      </c>
      <c r="N284" t="str">
        <f t="shared" si="9"/>
        <v>Arabica</v>
      </c>
      <c r="O284" t="str" cm="1">
        <f t="array" ref="O284">_xlfn.IFS(J284="M", "Medium", J284="L", "Light", J284="D", "Dark")</f>
        <v>Light</v>
      </c>
      <c r="P284" t="str">
        <f>_xlfn.XLOOKUP(Orders[[#This Row],[Customer ID]], customers!$A$2:$A$1001, customers!$I$2:$I$1001, 0)</f>
        <v>No</v>
      </c>
    </row>
    <row r="285" spans="1:16" x14ac:dyDescent="0.35">
      <c r="A285" s="2" t="s">
        <v>2091</v>
      </c>
      <c r="B285" s="3">
        <v>43639</v>
      </c>
      <c r="C285" s="2" t="s">
        <v>2092</v>
      </c>
      <c r="D285" t="s">
        <v>6172</v>
      </c>
      <c r="E285" s="2">
        <v>1</v>
      </c>
      <c r="F285" s="2" t="str" cm="1">
        <f t="array" ref="F285">_xlfn.XLOOKUP(C285, customers!$A$1:A1284, customers!$B$1:B1284, 0)</f>
        <v>Amity Chatto</v>
      </c>
      <c r="G285" s="2" t="str">
        <f>IF(_xlfn.XLOOKUP(C285, customers!A284:A1284, customers!C284:C1284, 0)=0, "", _xlfn.XLOOKUP(C285, customers!A284:A1284, customers!C284:C1284, 0))</f>
        <v>achatto7v@sakura.ne.jp</v>
      </c>
      <c r="H285" s="2" t="str" cm="1">
        <f t="array" ref="H285">_xlfn.XLOOKUP(C285, customers!$A$1:A1284, customers!$G$1:G1284,, 0)</f>
        <v>United Kingdom</v>
      </c>
      <c r="I285" t="str" cm="1">
        <f t="array" ref="I285">_xlfn.XLOOKUP(orders!D285, products!$A$1:A332, products!$B$1:B332, 0)</f>
        <v>Rob</v>
      </c>
      <c r="J285" t="str" cm="1">
        <f t="array" ref="J285">_xlfn.XLOOKUP(D285, products!$A$1:A332, products!$C$1:C332, 0)</f>
        <v>D</v>
      </c>
      <c r="K285" s="4" cm="1">
        <f t="array" ref="K285">_xlfn.XLOOKUP(D285, products!$A$1:A332, products!$D$1:D332, 0)</f>
        <v>0.5</v>
      </c>
      <c r="L285" s="4" cm="1">
        <f t="array" ref="L285">_xlfn.XLOOKUP(D285, products!$A$1:A332, products!$E$1:E332)</f>
        <v>5.3699999999999992</v>
      </c>
      <c r="M285">
        <f t="shared" si="8"/>
        <v>5.3699999999999992</v>
      </c>
      <c r="N285" t="str">
        <f t="shared" si="9"/>
        <v>Robusta</v>
      </c>
      <c r="O285" t="str" cm="1">
        <f t="array" ref="O285">_xlfn.IFS(J285="M", "Medium", J285="L", "Light", J285="D", "Dark")</f>
        <v>Dark</v>
      </c>
      <c r="P285" t="str">
        <f>_xlfn.XLOOKUP(Orders[[#This Row],[Customer ID]], customers!$A$2:$A$1001, customers!$I$2:$I$1001, 0)</f>
        <v>Yes</v>
      </c>
    </row>
    <row r="286" spans="1:16" x14ac:dyDescent="0.35">
      <c r="A286" s="2" t="s">
        <v>2097</v>
      </c>
      <c r="B286" s="3">
        <v>43960</v>
      </c>
      <c r="C286" s="2" t="s">
        <v>2098</v>
      </c>
      <c r="D286" t="s">
        <v>6166</v>
      </c>
      <c r="E286" s="2">
        <v>3</v>
      </c>
      <c r="F286" s="2" t="str" cm="1">
        <f t="array" ref="F286">_xlfn.XLOOKUP(C286, customers!$A$1:A1285, customers!$B$1:B1285, 0)</f>
        <v>Nanine McCarthy</v>
      </c>
      <c r="G286" s="2" t="str">
        <f>IF(_xlfn.XLOOKUP(C286, customers!A285:A1285, customers!C285:C1285, 0)=0, "", _xlfn.XLOOKUP(C286, customers!A285:A1285, customers!C285:C1285, 0))</f>
        <v/>
      </c>
      <c r="H286" s="2" t="str" cm="1">
        <f t="array" ref="H286">_xlfn.XLOOKUP(C286, customers!$A$1:A1285, customers!$G$1:G1285,, 0)</f>
        <v>United States</v>
      </c>
      <c r="I286" t="str" cm="1">
        <f t="array" ref="I286">_xlfn.XLOOKUP(orders!D286, products!$A$1:A333, products!$B$1:B333, 0)</f>
        <v>Exc</v>
      </c>
      <c r="J286" t="str" cm="1">
        <f t="array" ref="J286">_xlfn.XLOOKUP(D286, products!$A$1:A333, products!$C$1:C333, 0)</f>
        <v>M</v>
      </c>
      <c r="K286" s="4" cm="1">
        <f t="array" ref="K286">_xlfn.XLOOKUP(D286, products!$A$1:A333, products!$D$1:D333, 0)</f>
        <v>2.5</v>
      </c>
      <c r="L286" s="4" cm="1">
        <f t="array" ref="L286">_xlfn.XLOOKUP(D286, products!$A$1:A333, products!$E$1:E333)</f>
        <v>31.624999999999996</v>
      </c>
      <c r="M286">
        <f t="shared" si="8"/>
        <v>94.874999999999986</v>
      </c>
      <c r="N286" t="str">
        <f t="shared" si="9"/>
        <v>Excelsa</v>
      </c>
      <c r="O286" t="str" cm="1">
        <f t="array" ref="O286">_xlfn.IFS(J286="M", "Medium", J286="L", "Light", J286="D", "Dark")</f>
        <v>Medium</v>
      </c>
      <c r="P286" t="str">
        <f>_xlfn.XLOOKUP(Orders[[#This Row],[Customer ID]], customers!$A$2:$A$1001, customers!$I$2:$I$1001, 0)</f>
        <v>No</v>
      </c>
    </row>
    <row r="287" spans="1:16" x14ac:dyDescent="0.35">
      <c r="A287" s="2" t="s">
        <v>2102</v>
      </c>
      <c r="B287" s="3">
        <v>44030</v>
      </c>
      <c r="C287" s="2" t="s">
        <v>2103</v>
      </c>
      <c r="D287" t="s">
        <v>6164</v>
      </c>
      <c r="E287" s="2">
        <v>1</v>
      </c>
      <c r="F287" s="2" t="str" cm="1">
        <f t="array" ref="F287">_xlfn.XLOOKUP(C287, customers!$A$1:A1286, customers!$B$1:B1286, 0)</f>
        <v>Lyndsey Megany</v>
      </c>
      <c r="G287" s="2" t="str">
        <f>IF(_xlfn.XLOOKUP(C287, customers!A286:A1286, customers!C286:C1286, 0)=0, "", _xlfn.XLOOKUP(C287, customers!A286:A1286, customers!C286:C1286, 0))</f>
        <v/>
      </c>
      <c r="H287" s="2" t="str" cm="1">
        <f t="array" ref="H287">_xlfn.XLOOKUP(C287, customers!$A$1:A1286, customers!$G$1:G1286,, 0)</f>
        <v>United States</v>
      </c>
      <c r="I287" t="str" cm="1">
        <f t="array" ref="I287">_xlfn.XLOOKUP(orders!D287, products!$A$1:A334, products!$B$1:B334, 0)</f>
        <v>Lib</v>
      </c>
      <c r="J287" t="str" cm="1">
        <f t="array" ref="J287">_xlfn.XLOOKUP(D287, products!$A$1:A334, products!$C$1:C334, 0)</f>
        <v>L</v>
      </c>
      <c r="K287" s="4" cm="1">
        <f t="array" ref="K287">_xlfn.XLOOKUP(D287, products!$A$1:A334, products!$D$1:D334, 0)</f>
        <v>2.5</v>
      </c>
      <c r="L287" s="4" cm="1">
        <f t="array" ref="L287">_xlfn.XLOOKUP(D287, products!$A$1:A334, products!$E$1:E334)</f>
        <v>36.454999999999998</v>
      </c>
      <c r="M287">
        <f t="shared" si="8"/>
        <v>36.454999999999998</v>
      </c>
      <c r="N287" t="str">
        <f t="shared" si="9"/>
        <v>Liberica</v>
      </c>
      <c r="O287" t="str" cm="1">
        <f t="array" ref="O287">_xlfn.IFS(J287="M", "Medium", J287="L", "Light", J287="D", "Dark")</f>
        <v>Light</v>
      </c>
      <c r="P287" t="str">
        <f>_xlfn.XLOOKUP(Orders[[#This Row],[Customer ID]], customers!$A$2:$A$1001, customers!$I$2:$I$1001, 0)</f>
        <v>No</v>
      </c>
    </row>
    <row r="288" spans="1:16" x14ac:dyDescent="0.35">
      <c r="A288" s="2" t="s">
        <v>2107</v>
      </c>
      <c r="B288" s="3">
        <v>43755</v>
      </c>
      <c r="C288" s="2" t="s">
        <v>2108</v>
      </c>
      <c r="D288" t="s">
        <v>6152</v>
      </c>
      <c r="E288" s="2">
        <v>4</v>
      </c>
      <c r="F288" s="2" t="str" cm="1">
        <f t="array" ref="F288">_xlfn.XLOOKUP(C288, customers!$A$1:A1287, customers!$B$1:B1287, 0)</f>
        <v>Byram Mergue</v>
      </c>
      <c r="G288" s="2" t="str">
        <f>IF(_xlfn.XLOOKUP(C288, customers!A287:A1287, customers!C287:C1287, 0)=0, "", _xlfn.XLOOKUP(C288, customers!A287:A1287, customers!C287:C1287, 0))</f>
        <v>bmergue7y@umn.edu</v>
      </c>
      <c r="H288" s="2" t="str" cm="1">
        <f t="array" ref="H288">_xlfn.XLOOKUP(C288, customers!$A$1:A1287, customers!$G$1:G1287,, 0)</f>
        <v>United States</v>
      </c>
      <c r="I288" t="str" cm="1">
        <f t="array" ref="I288">_xlfn.XLOOKUP(orders!D288, products!$A$1:A335, products!$B$1:B335, 0)</f>
        <v>Ara</v>
      </c>
      <c r="J288" t="str" cm="1">
        <f t="array" ref="J288">_xlfn.XLOOKUP(D288, products!$A$1:A335, products!$C$1:C335, 0)</f>
        <v>M</v>
      </c>
      <c r="K288" s="4" cm="1">
        <f t="array" ref="K288">_xlfn.XLOOKUP(D288, products!$A$1:A335, products!$D$1:D335, 0)</f>
        <v>0.2</v>
      </c>
      <c r="L288" s="4" cm="1">
        <f t="array" ref="L288">_xlfn.XLOOKUP(D288, products!$A$1:A335, products!$E$1:E335)</f>
        <v>3.375</v>
      </c>
      <c r="M288">
        <f t="shared" si="8"/>
        <v>13.5</v>
      </c>
      <c r="N288" t="str">
        <f t="shared" si="9"/>
        <v>Arabica</v>
      </c>
      <c r="O288" t="str" cm="1">
        <f t="array" ref="O288">_xlfn.IFS(J288="M", "Medium", J288="L", "Light", J288="D", "Dark")</f>
        <v>Medium</v>
      </c>
      <c r="P288" t="str">
        <f>_xlfn.XLOOKUP(Orders[[#This Row],[Customer ID]], customers!$A$2:$A$1001, customers!$I$2:$I$1001, 0)</f>
        <v>Yes</v>
      </c>
    </row>
    <row r="289" spans="1:16" x14ac:dyDescent="0.35">
      <c r="A289" s="2" t="s">
        <v>2112</v>
      </c>
      <c r="B289" s="3">
        <v>44697</v>
      </c>
      <c r="C289" s="2" t="s">
        <v>2113</v>
      </c>
      <c r="D289" t="s">
        <v>6178</v>
      </c>
      <c r="E289" s="2">
        <v>4</v>
      </c>
      <c r="F289" s="2" t="str" cm="1">
        <f t="array" ref="F289">_xlfn.XLOOKUP(C289, customers!$A$1:A1288, customers!$B$1:B1288, 0)</f>
        <v>Kerr Patise</v>
      </c>
      <c r="G289" s="2" t="str">
        <f>IF(_xlfn.XLOOKUP(C289, customers!A288:A1288, customers!C288:C1288, 0)=0, "", _xlfn.XLOOKUP(C289, customers!A288:A1288, customers!C288:C1288, 0))</f>
        <v>kpatise7z@jigsy.com</v>
      </c>
      <c r="H289" s="2" t="str" cm="1">
        <f t="array" ref="H289">_xlfn.XLOOKUP(C289, customers!$A$1:A1288, customers!$G$1:G1288,, 0)</f>
        <v>United States</v>
      </c>
      <c r="I289" t="str" cm="1">
        <f t="array" ref="I289">_xlfn.XLOOKUP(orders!D289, products!$A$1:A336, products!$B$1:B336, 0)</f>
        <v>Rob</v>
      </c>
      <c r="J289" t="str" cm="1">
        <f t="array" ref="J289">_xlfn.XLOOKUP(D289, products!$A$1:A336, products!$C$1:C336, 0)</f>
        <v>L</v>
      </c>
      <c r="K289" s="4" cm="1">
        <f t="array" ref="K289">_xlfn.XLOOKUP(D289, products!$A$1:A336, products!$D$1:D336, 0)</f>
        <v>0.2</v>
      </c>
      <c r="L289" s="4" cm="1">
        <f t="array" ref="L289">_xlfn.XLOOKUP(D289, products!$A$1:A336, products!$E$1:E336)</f>
        <v>3.5849999999999995</v>
      </c>
      <c r="M289">
        <f t="shared" si="8"/>
        <v>14.339999999999998</v>
      </c>
      <c r="N289" t="str">
        <f t="shared" si="9"/>
        <v>Robusta</v>
      </c>
      <c r="O289" t="str" cm="1">
        <f t="array" ref="O289">_xlfn.IFS(J289="M", "Medium", J289="L", "Light", J289="D", "Dark")</f>
        <v>Light</v>
      </c>
      <c r="P289" t="str">
        <f>_xlfn.XLOOKUP(Orders[[#This Row],[Customer ID]], customers!$A$2:$A$1001, customers!$I$2:$I$1001, 0)</f>
        <v>No</v>
      </c>
    </row>
    <row r="290" spans="1:16" x14ac:dyDescent="0.35">
      <c r="A290" s="2" t="s">
        <v>2118</v>
      </c>
      <c r="B290" s="3">
        <v>44279</v>
      </c>
      <c r="C290" s="2" t="s">
        <v>2119</v>
      </c>
      <c r="D290" t="s">
        <v>6139</v>
      </c>
      <c r="E290" s="2">
        <v>1</v>
      </c>
      <c r="F290" s="2" t="str" cm="1">
        <f t="array" ref="F290">_xlfn.XLOOKUP(C290, customers!$A$1:A1289, customers!$B$1:B1289, 0)</f>
        <v>Mathew Goulter</v>
      </c>
      <c r="G290" s="2" t="str">
        <f>IF(_xlfn.XLOOKUP(C290, customers!A289:A1289, customers!C289:C1289, 0)=0, "", _xlfn.XLOOKUP(C290, customers!A289:A1289, customers!C289:C1289, 0))</f>
        <v/>
      </c>
      <c r="H290" s="2" t="str" cm="1">
        <f t="array" ref="H290">_xlfn.XLOOKUP(C290, customers!$A$1:A1289, customers!$G$1:G1289,, 0)</f>
        <v>Ireland</v>
      </c>
      <c r="I290" t="str" cm="1">
        <f t="array" ref="I290">_xlfn.XLOOKUP(orders!D290, products!$A$1:A337, products!$B$1:B337, 0)</f>
        <v>Exc</v>
      </c>
      <c r="J290" t="str" cm="1">
        <f t="array" ref="J290">_xlfn.XLOOKUP(D290, products!$A$1:A337, products!$C$1:C337, 0)</f>
        <v>M</v>
      </c>
      <c r="K290" s="4" cm="1">
        <f t="array" ref="K290">_xlfn.XLOOKUP(D290, products!$A$1:A337, products!$D$1:D337, 0)</f>
        <v>0.5</v>
      </c>
      <c r="L290" s="4" cm="1">
        <f t="array" ref="L290">_xlfn.XLOOKUP(D290, products!$A$1:A337, products!$E$1:E337)</f>
        <v>8.25</v>
      </c>
      <c r="M290">
        <f t="shared" si="8"/>
        <v>8.25</v>
      </c>
      <c r="N290" t="str">
        <f t="shared" si="9"/>
        <v>Excelsa</v>
      </c>
      <c r="O290" t="str" cm="1">
        <f t="array" ref="O290">_xlfn.IFS(J290="M", "Medium", J290="L", "Light", J290="D", "Dark")</f>
        <v>Medium</v>
      </c>
      <c r="P290" t="str">
        <f>_xlfn.XLOOKUP(Orders[[#This Row],[Customer ID]], customers!$A$2:$A$1001, customers!$I$2:$I$1001, 0)</f>
        <v>Yes</v>
      </c>
    </row>
    <row r="291" spans="1:16" x14ac:dyDescent="0.35">
      <c r="A291" s="2" t="s">
        <v>2123</v>
      </c>
      <c r="B291" s="3">
        <v>43772</v>
      </c>
      <c r="C291" s="2" t="s">
        <v>2124</v>
      </c>
      <c r="D291" t="s">
        <v>6163</v>
      </c>
      <c r="E291" s="2">
        <v>5</v>
      </c>
      <c r="F291" s="2" t="str" cm="1">
        <f t="array" ref="F291">_xlfn.XLOOKUP(C291, customers!$A$1:A1290, customers!$B$1:B1290, 0)</f>
        <v>Marris Grcic</v>
      </c>
      <c r="G291" s="2" t="str">
        <f>IF(_xlfn.XLOOKUP(C291, customers!A290:A1290, customers!C290:C1290, 0)=0, "", _xlfn.XLOOKUP(C291, customers!A290:A1290, customers!C290:C1290, 0))</f>
        <v/>
      </c>
      <c r="H291" s="2" t="str" cm="1">
        <f t="array" ref="H291">_xlfn.XLOOKUP(C291, customers!$A$1:A1290, customers!$G$1:G1290,, 0)</f>
        <v>United States</v>
      </c>
      <c r="I291" t="str" cm="1">
        <f t="array" ref="I291">_xlfn.XLOOKUP(orders!D291, products!$A$1:A338, products!$B$1:B338, 0)</f>
        <v>Rob</v>
      </c>
      <c r="J291" t="str" cm="1">
        <f t="array" ref="J291">_xlfn.XLOOKUP(D291, products!$A$1:A338, products!$C$1:C338, 0)</f>
        <v>D</v>
      </c>
      <c r="K291" s="4" cm="1">
        <f t="array" ref="K291">_xlfn.XLOOKUP(D291, products!$A$1:A338, products!$D$1:D338, 0)</f>
        <v>0.2</v>
      </c>
      <c r="L291" s="4" cm="1">
        <f t="array" ref="L291">_xlfn.XLOOKUP(D291, products!$A$1:A338, products!$E$1:E338)</f>
        <v>2.6849999999999996</v>
      </c>
      <c r="M291">
        <f t="shared" si="8"/>
        <v>13.424999999999997</v>
      </c>
      <c r="N291" t="str">
        <f t="shared" si="9"/>
        <v>Robusta</v>
      </c>
      <c r="O291" t="str" cm="1">
        <f t="array" ref="O291">_xlfn.IFS(J291="M", "Medium", J291="L", "Light", J291="D", "Dark")</f>
        <v>Dark</v>
      </c>
      <c r="P291" t="str">
        <f>_xlfn.XLOOKUP(Orders[[#This Row],[Customer ID]], customers!$A$2:$A$1001, customers!$I$2:$I$1001, 0)</f>
        <v>Yes</v>
      </c>
    </row>
    <row r="292" spans="1:16" x14ac:dyDescent="0.35">
      <c r="A292" s="2" t="s">
        <v>2127</v>
      </c>
      <c r="B292" s="3">
        <v>44497</v>
      </c>
      <c r="C292" s="2" t="s">
        <v>2128</v>
      </c>
      <c r="D292" t="s">
        <v>6147</v>
      </c>
      <c r="E292" s="2">
        <v>5</v>
      </c>
      <c r="F292" s="2" t="str" cm="1">
        <f t="array" ref="F292">_xlfn.XLOOKUP(C292, customers!$A$1:A1291, customers!$B$1:B1291, 0)</f>
        <v>Domeniga Duke</v>
      </c>
      <c r="G292" s="2" t="str">
        <f>IF(_xlfn.XLOOKUP(C292, customers!A291:A1291, customers!C291:C1291, 0)=0, "", _xlfn.XLOOKUP(C292, customers!A291:A1291, customers!C291:C1291, 0))</f>
        <v>dduke82@vkontakte.ru</v>
      </c>
      <c r="H292" s="2" t="str" cm="1">
        <f t="array" ref="H292">_xlfn.XLOOKUP(C292, customers!$A$1:A1291, customers!$G$1:G1291,, 0)</f>
        <v>United States</v>
      </c>
      <c r="I292" t="str" cm="1">
        <f t="array" ref="I292">_xlfn.XLOOKUP(orders!D292, products!$A$1:A339, products!$B$1:B339, 0)</f>
        <v>Ara</v>
      </c>
      <c r="J292" t="str" cm="1">
        <f t="array" ref="J292">_xlfn.XLOOKUP(D292, products!$A$1:A339, products!$C$1:C339, 0)</f>
        <v>D</v>
      </c>
      <c r="K292" s="4" cm="1">
        <f t="array" ref="K292">_xlfn.XLOOKUP(D292, products!$A$1:A339, products!$D$1:D339, 0)</f>
        <v>1</v>
      </c>
      <c r="L292" s="4" cm="1">
        <f t="array" ref="L292">_xlfn.XLOOKUP(D292, products!$A$1:A339, products!$E$1:E339)</f>
        <v>9.9499999999999993</v>
      </c>
      <c r="M292">
        <f t="shared" si="8"/>
        <v>49.75</v>
      </c>
      <c r="N292" t="str">
        <f t="shared" si="9"/>
        <v>Arabica</v>
      </c>
      <c r="O292" t="str" cm="1">
        <f t="array" ref="O292">_xlfn.IFS(J292="M", "Medium", J292="L", "Light", J292="D", "Dark")</f>
        <v>Dark</v>
      </c>
      <c r="P292" t="str">
        <f>_xlfn.XLOOKUP(Orders[[#This Row],[Customer ID]], customers!$A$2:$A$1001, customers!$I$2:$I$1001, 0)</f>
        <v>No</v>
      </c>
    </row>
    <row r="293" spans="1:16" x14ac:dyDescent="0.35">
      <c r="A293" s="2" t="s">
        <v>2133</v>
      </c>
      <c r="B293" s="3">
        <v>44181</v>
      </c>
      <c r="C293" s="2" t="s">
        <v>2134</v>
      </c>
      <c r="D293" t="s">
        <v>6139</v>
      </c>
      <c r="E293" s="2">
        <v>2</v>
      </c>
      <c r="F293" s="2" t="str" cm="1">
        <f t="array" ref="F293">_xlfn.XLOOKUP(C293, customers!$A$1:A1292, customers!$B$1:B1292, 0)</f>
        <v>Violante Skouling</v>
      </c>
      <c r="G293" s="2" t="str">
        <f>IF(_xlfn.XLOOKUP(C293, customers!A292:A1292, customers!C292:C1292, 0)=0, "", _xlfn.XLOOKUP(C293, customers!A292:A1292, customers!C292:C1292, 0))</f>
        <v/>
      </c>
      <c r="H293" s="2" t="str" cm="1">
        <f t="array" ref="H293">_xlfn.XLOOKUP(C293, customers!$A$1:A1292, customers!$G$1:G1292,, 0)</f>
        <v>Ireland</v>
      </c>
      <c r="I293" t="str" cm="1">
        <f t="array" ref="I293">_xlfn.XLOOKUP(orders!D293, products!$A$1:A340, products!$B$1:B340, 0)</f>
        <v>Exc</v>
      </c>
      <c r="J293" t="str" cm="1">
        <f t="array" ref="J293">_xlfn.XLOOKUP(D293, products!$A$1:A340, products!$C$1:C340, 0)</f>
        <v>M</v>
      </c>
      <c r="K293" s="4" cm="1">
        <f t="array" ref="K293">_xlfn.XLOOKUP(D293, products!$A$1:A340, products!$D$1:D340, 0)</f>
        <v>0.5</v>
      </c>
      <c r="L293" s="4" cm="1">
        <f t="array" ref="L293">_xlfn.XLOOKUP(D293, products!$A$1:A340, products!$E$1:E340)</f>
        <v>8.25</v>
      </c>
      <c r="M293">
        <f t="shared" si="8"/>
        <v>16.5</v>
      </c>
      <c r="N293" t="str">
        <f t="shared" si="9"/>
        <v>Excelsa</v>
      </c>
      <c r="O293" t="str" cm="1">
        <f t="array" ref="O293">_xlfn.IFS(J293="M", "Medium", J293="L", "Light", J293="D", "Dark")</f>
        <v>Medium</v>
      </c>
      <c r="P293" t="str">
        <f>_xlfn.XLOOKUP(Orders[[#This Row],[Customer ID]], customers!$A$2:$A$1001, customers!$I$2:$I$1001, 0)</f>
        <v>No</v>
      </c>
    </row>
    <row r="294" spans="1:16" x14ac:dyDescent="0.35">
      <c r="A294" s="2" t="s">
        <v>2137</v>
      </c>
      <c r="B294" s="3">
        <v>44529</v>
      </c>
      <c r="C294" s="2" t="s">
        <v>2138</v>
      </c>
      <c r="D294" t="s">
        <v>6158</v>
      </c>
      <c r="E294" s="2">
        <v>3</v>
      </c>
      <c r="F294" s="2" t="str" cm="1">
        <f t="array" ref="F294">_xlfn.XLOOKUP(C294, customers!$A$1:A1293, customers!$B$1:B1293, 0)</f>
        <v>Isidore Hussey</v>
      </c>
      <c r="G294" s="2" t="str">
        <f>IF(_xlfn.XLOOKUP(C294, customers!A293:A1293, customers!C293:C1293, 0)=0, "", _xlfn.XLOOKUP(C294, customers!A293:A1293, customers!C293:C1293, 0))</f>
        <v>ihussey84@mapy.cz</v>
      </c>
      <c r="H294" s="2" t="str" cm="1">
        <f t="array" ref="H294">_xlfn.XLOOKUP(C294, customers!$A$1:A1293, customers!$G$1:G1293,, 0)</f>
        <v>United States</v>
      </c>
      <c r="I294" t="str" cm="1">
        <f t="array" ref="I294">_xlfn.XLOOKUP(orders!D294, products!$A$1:A341, products!$B$1:B341, 0)</f>
        <v>Ara</v>
      </c>
      <c r="J294" t="str" cm="1">
        <f t="array" ref="J294">_xlfn.XLOOKUP(D294, products!$A$1:A341, products!$C$1:C341, 0)</f>
        <v>D</v>
      </c>
      <c r="K294" s="4" cm="1">
        <f t="array" ref="K294">_xlfn.XLOOKUP(D294, products!$A$1:A341, products!$D$1:D341, 0)</f>
        <v>0.5</v>
      </c>
      <c r="L294" s="4" cm="1">
        <f t="array" ref="L294">_xlfn.XLOOKUP(D294, products!$A$1:A341, products!$E$1:E341)</f>
        <v>5.97</v>
      </c>
      <c r="M294">
        <f t="shared" si="8"/>
        <v>17.91</v>
      </c>
      <c r="N294" t="str">
        <f t="shared" si="9"/>
        <v>Arabica</v>
      </c>
      <c r="O294" t="str" cm="1">
        <f t="array" ref="O294">_xlfn.IFS(J294="M", "Medium", J294="L", "Light", J294="D", "Dark")</f>
        <v>Dark</v>
      </c>
      <c r="P294" t="str">
        <f>_xlfn.XLOOKUP(Orders[[#This Row],[Customer ID]], customers!$A$2:$A$1001, customers!$I$2:$I$1001, 0)</f>
        <v>No</v>
      </c>
    </row>
    <row r="295" spans="1:16" x14ac:dyDescent="0.35">
      <c r="A295" s="2" t="s">
        <v>2142</v>
      </c>
      <c r="B295" s="3">
        <v>44275</v>
      </c>
      <c r="C295" s="2" t="s">
        <v>2143</v>
      </c>
      <c r="D295" t="s">
        <v>6158</v>
      </c>
      <c r="E295" s="2">
        <v>5</v>
      </c>
      <c r="F295" s="2" t="str" cm="1">
        <f t="array" ref="F295">_xlfn.XLOOKUP(C295, customers!$A$1:A1294, customers!$B$1:B1294, 0)</f>
        <v>Cassie Pinkerton</v>
      </c>
      <c r="G295" s="2" t="str">
        <f>IF(_xlfn.XLOOKUP(C295, customers!A294:A1294, customers!C294:C1294, 0)=0, "", _xlfn.XLOOKUP(C295, customers!A294:A1294, customers!C294:C1294, 0))</f>
        <v>cpinkerton85@upenn.edu</v>
      </c>
      <c r="H295" s="2" t="str" cm="1">
        <f t="array" ref="H295">_xlfn.XLOOKUP(C295, customers!$A$1:A1294, customers!$G$1:G1294,, 0)</f>
        <v>United States</v>
      </c>
      <c r="I295" t="str" cm="1">
        <f t="array" ref="I295">_xlfn.XLOOKUP(orders!D295, products!$A$1:A342, products!$B$1:B342, 0)</f>
        <v>Ara</v>
      </c>
      <c r="J295" t="str" cm="1">
        <f t="array" ref="J295">_xlfn.XLOOKUP(D295, products!$A$1:A342, products!$C$1:C342, 0)</f>
        <v>D</v>
      </c>
      <c r="K295" s="4" cm="1">
        <f t="array" ref="K295">_xlfn.XLOOKUP(D295, products!$A$1:A342, products!$D$1:D342, 0)</f>
        <v>0.5</v>
      </c>
      <c r="L295" s="4" cm="1">
        <f t="array" ref="L295">_xlfn.XLOOKUP(D295, products!$A$1:A342, products!$E$1:E342)</f>
        <v>5.97</v>
      </c>
      <c r="M295">
        <f t="shared" si="8"/>
        <v>29.849999999999998</v>
      </c>
      <c r="N295" t="str">
        <f t="shared" si="9"/>
        <v>Arabica</v>
      </c>
      <c r="O295" t="str" cm="1">
        <f t="array" ref="O295">_xlfn.IFS(J295="M", "Medium", J295="L", "Light", J295="D", "Dark")</f>
        <v>Dark</v>
      </c>
      <c r="P295" t="str">
        <f>_xlfn.XLOOKUP(Orders[[#This Row],[Customer ID]], customers!$A$2:$A$1001, customers!$I$2:$I$1001, 0)</f>
        <v>No</v>
      </c>
    </row>
    <row r="296" spans="1:16" x14ac:dyDescent="0.35">
      <c r="A296" s="2" t="s">
        <v>2148</v>
      </c>
      <c r="B296" s="3">
        <v>44659</v>
      </c>
      <c r="C296" s="2" t="s">
        <v>2149</v>
      </c>
      <c r="D296" t="s">
        <v>6171</v>
      </c>
      <c r="E296" s="2">
        <v>3</v>
      </c>
      <c r="F296" s="2" t="str" cm="1">
        <f t="array" ref="F296">_xlfn.XLOOKUP(C296, customers!$A$1:A1295, customers!$B$1:B1295, 0)</f>
        <v>Micki Fero</v>
      </c>
      <c r="G296" s="2" t="str">
        <f>IF(_xlfn.XLOOKUP(C296, customers!A295:A1295, customers!C295:C1295, 0)=0, "", _xlfn.XLOOKUP(C296, customers!A295:A1295, customers!C295:C1295, 0))</f>
        <v/>
      </c>
      <c r="H296" s="2" t="str" cm="1">
        <f t="array" ref="H296">_xlfn.XLOOKUP(C296, customers!$A$1:A1295, customers!$G$1:G1295,, 0)</f>
        <v>United States</v>
      </c>
      <c r="I296" t="str" cm="1">
        <f t="array" ref="I296">_xlfn.XLOOKUP(orders!D296, products!$A$1:A343, products!$B$1:B343, 0)</f>
        <v>Exc</v>
      </c>
      <c r="J296" t="str" cm="1">
        <f t="array" ref="J296">_xlfn.XLOOKUP(D296, products!$A$1:A343, products!$C$1:C343, 0)</f>
        <v>L</v>
      </c>
      <c r="K296" s="4" cm="1">
        <f t="array" ref="K296">_xlfn.XLOOKUP(D296, products!$A$1:A343, products!$D$1:D343, 0)</f>
        <v>1</v>
      </c>
      <c r="L296" s="4" cm="1">
        <f t="array" ref="L296">_xlfn.XLOOKUP(D296, products!$A$1:A343, products!$E$1:E343)</f>
        <v>14.85</v>
      </c>
      <c r="M296">
        <f t="shared" si="8"/>
        <v>44.55</v>
      </c>
      <c r="N296" t="str">
        <f t="shared" si="9"/>
        <v>Excelsa</v>
      </c>
      <c r="O296" t="str" cm="1">
        <f t="array" ref="O296">_xlfn.IFS(J296="M", "Medium", J296="L", "Light", J296="D", "Dark")</f>
        <v>Light</v>
      </c>
      <c r="P296" t="str">
        <f>_xlfn.XLOOKUP(Orders[[#This Row],[Customer ID]], customers!$A$2:$A$1001, customers!$I$2:$I$1001, 0)</f>
        <v>No</v>
      </c>
    </row>
    <row r="297" spans="1:16" x14ac:dyDescent="0.35">
      <c r="A297" s="2" t="s">
        <v>2153</v>
      </c>
      <c r="B297" s="3">
        <v>44057</v>
      </c>
      <c r="C297" s="2" t="s">
        <v>2154</v>
      </c>
      <c r="D297" t="s">
        <v>6141</v>
      </c>
      <c r="E297" s="2">
        <v>2</v>
      </c>
      <c r="F297" s="2" t="str" cm="1">
        <f t="array" ref="F297">_xlfn.XLOOKUP(C297, customers!$A$1:A1296, customers!$B$1:B1296, 0)</f>
        <v>Cybill Graddell</v>
      </c>
      <c r="G297" s="2" t="str">
        <f>IF(_xlfn.XLOOKUP(C297, customers!A296:A1296, customers!C296:C1296, 0)=0, "", _xlfn.XLOOKUP(C297, customers!A296:A1296, customers!C296:C1296, 0))</f>
        <v/>
      </c>
      <c r="H297" s="2" t="str" cm="1">
        <f t="array" ref="H297">_xlfn.XLOOKUP(C297, customers!$A$1:A1296, customers!$G$1:G1296,, 0)</f>
        <v>United States</v>
      </c>
      <c r="I297" t="str" cm="1">
        <f t="array" ref="I297">_xlfn.XLOOKUP(orders!D297, products!$A$1:A344, products!$B$1:B344, 0)</f>
        <v>Exc</v>
      </c>
      <c r="J297" t="str" cm="1">
        <f t="array" ref="J297">_xlfn.XLOOKUP(D297, products!$A$1:A344, products!$C$1:C344, 0)</f>
        <v>M</v>
      </c>
      <c r="K297" s="4" cm="1">
        <f t="array" ref="K297">_xlfn.XLOOKUP(D297, products!$A$1:A344, products!$D$1:D344, 0)</f>
        <v>1</v>
      </c>
      <c r="L297" s="4" cm="1">
        <f t="array" ref="L297">_xlfn.XLOOKUP(D297, products!$A$1:A344, products!$E$1:E344)</f>
        <v>13.75</v>
      </c>
      <c r="M297">
        <f t="shared" si="8"/>
        <v>27.5</v>
      </c>
      <c r="N297" t="str">
        <f t="shared" si="9"/>
        <v>Excelsa</v>
      </c>
      <c r="O297" t="str" cm="1">
        <f t="array" ref="O297">_xlfn.IFS(J297="M", "Medium", J297="L", "Light", J297="D", "Dark")</f>
        <v>Medium</v>
      </c>
      <c r="P297" t="str">
        <f>_xlfn.XLOOKUP(Orders[[#This Row],[Customer ID]], customers!$A$2:$A$1001, customers!$I$2:$I$1001, 0)</f>
        <v>No</v>
      </c>
    </row>
    <row r="298" spans="1:16" x14ac:dyDescent="0.35">
      <c r="A298" s="2" t="s">
        <v>2157</v>
      </c>
      <c r="B298" s="3">
        <v>43597</v>
      </c>
      <c r="C298" s="2" t="s">
        <v>2158</v>
      </c>
      <c r="D298" t="s">
        <v>6146</v>
      </c>
      <c r="E298" s="2">
        <v>6</v>
      </c>
      <c r="F298" s="2" t="str" cm="1">
        <f t="array" ref="F298">_xlfn.XLOOKUP(C298, customers!$A$1:A1297, customers!$B$1:B1297, 0)</f>
        <v>Dorian Vizor</v>
      </c>
      <c r="G298" s="2" t="str">
        <f>IF(_xlfn.XLOOKUP(C298, customers!A297:A1297, customers!C297:C1297, 0)=0, "", _xlfn.XLOOKUP(C298, customers!A297:A1297, customers!C297:C1297, 0))</f>
        <v>dvizor88@furl.net</v>
      </c>
      <c r="H298" s="2" t="str" cm="1">
        <f t="array" ref="H298">_xlfn.XLOOKUP(C298, customers!$A$1:A1297, customers!$G$1:G1297,, 0)</f>
        <v>United States</v>
      </c>
      <c r="I298" t="str" cm="1">
        <f t="array" ref="I298">_xlfn.XLOOKUP(orders!D298, products!$A$1:A345, products!$B$1:B345, 0)</f>
        <v>Rob</v>
      </c>
      <c r="J298" t="str" cm="1">
        <f t="array" ref="J298">_xlfn.XLOOKUP(D298, products!$A$1:A345, products!$C$1:C345, 0)</f>
        <v>M</v>
      </c>
      <c r="K298" s="4" cm="1">
        <f t="array" ref="K298">_xlfn.XLOOKUP(D298, products!$A$1:A345, products!$D$1:D345, 0)</f>
        <v>0.5</v>
      </c>
      <c r="L298" s="4" cm="1">
        <f t="array" ref="L298">_xlfn.XLOOKUP(D298, products!$A$1:A345, products!$E$1:E345)</f>
        <v>5.97</v>
      </c>
      <c r="M298">
        <f t="shared" si="8"/>
        <v>35.82</v>
      </c>
      <c r="N298" t="str">
        <f t="shared" si="9"/>
        <v>Robusta</v>
      </c>
      <c r="O298" t="str" cm="1">
        <f t="array" ref="O298">_xlfn.IFS(J298="M", "Medium", J298="L", "Light", J298="D", "Dark")</f>
        <v>Medium</v>
      </c>
      <c r="P298" t="str">
        <f>_xlfn.XLOOKUP(Orders[[#This Row],[Customer ID]], customers!$A$2:$A$1001, customers!$I$2:$I$1001, 0)</f>
        <v>Yes</v>
      </c>
    </row>
    <row r="299" spans="1:16" x14ac:dyDescent="0.35">
      <c r="A299" s="2" t="s">
        <v>2163</v>
      </c>
      <c r="B299" s="3">
        <v>44258</v>
      </c>
      <c r="C299" s="2" t="s">
        <v>2164</v>
      </c>
      <c r="D299" t="s">
        <v>6172</v>
      </c>
      <c r="E299" s="2">
        <v>3</v>
      </c>
      <c r="F299" s="2" t="str" cm="1">
        <f t="array" ref="F299">_xlfn.XLOOKUP(C299, customers!$A$1:A1298, customers!$B$1:B1298, 0)</f>
        <v>Eddi Sedgebeer</v>
      </c>
      <c r="G299" s="2" t="str">
        <f>IF(_xlfn.XLOOKUP(C299, customers!A298:A1298, customers!C298:C1298, 0)=0, "", _xlfn.XLOOKUP(C299, customers!A298:A1298, customers!C298:C1298, 0))</f>
        <v>esedgebeer89@oaic.gov.au</v>
      </c>
      <c r="H299" s="2" t="str" cm="1">
        <f t="array" ref="H299">_xlfn.XLOOKUP(C299, customers!$A$1:A1298, customers!$G$1:G1298,, 0)</f>
        <v>United States</v>
      </c>
      <c r="I299" t="str" cm="1">
        <f t="array" ref="I299">_xlfn.XLOOKUP(orders!D299, products!$A$1:A346, products!$B$1:B346, 0)</f>
        <v>Rob</v>
      </c>
      <c r="J299" t="str" cm="1">
        <f t="array" ref="J299">_xlfn.XLOOKUP(D299, products!$A$1:A346, products!$C$1:C346, 0)</f>
        <v>D</v>
      </c>
      <c r="K299" s="4" cm="1">
        <f t="array" ref="K299">_xlfn.XLOOKUP(D299, products!$A$1:A346, products!$D$1:D346, 0)</f>
        <v>0.5</v>
      </c>
      <c r="L299" s="4" cm="1">
        <f t="array" ref="L299">_xlfn.XLOOKUP(D299, products!$A$1:A346, products!$E$1:E346)</f>
        <v>5.3699999999999992</v>
      </c>
      <c r="M299">
        <f t="shared" si="8"/>
        <v>16.11</v>
      </c>
      <c r="N299" t="str">
        <f t="shared" si="9"/>
        <v>Robusta</v>
      </c>
      <c r="O299" t="str" cm="1">
        <f t="array" ref="O299">_xlfn.IFS(J299="M", "Medium", J299="L", "Light", J299="D", "Dark")</f>
        <v>Dark</v>
      </c>
      <c r="P299" t="str">
        <f>_xlfn.XLOOKUP(Orders[[#This Row],[Customer ID]], customers!$A$2:$A$1001, customers!$I$2:$I$1001, 0)</f>
        <v>Yes</v>
      </c>
    </row>
    <row r="300" spans="1:16" x14ac:dyDescent="0.35">
      <c r="A300" s="2" t="s">
        <v>2169</v>
      </c>
      <c r="B300" s="3">
        <v>43872</v>
      </c>
      <c r="C300" s="2" t="s">
        <v>2170</v>
      </c>
      <c r="D300" t="s">
        <v>6184</v>
      </c>
      <c r="E300" s="2">
        <v>6</v>
      </c>
      <c r="F300" s="2" t="str" cm="1">
        <f t="array" ref="F300">_xlfn.XLOOKUP(C300, customers!$A$1:A1299, customers!$B$1:B1299, 0)</f>
        <v>Ken Lestrange</v>
      </c>
      <c r="G300" s="2" t="str">
        <f>IF(_xlfn.XLOOKUP(C300, customers!A299:A1299, customers!C299:C1299, 0)=0, "", _xlfn.XLOOKUP(C300, customers!A299:A1299, customers!C299:C1299, 0))</f>
        <v>klestrange8a@lulu.com</v>
      </c>
      <c r="H300" s="2" t="str" cm="1">
        <f t="array" ref="H300">_xlfn.XLOOKUP(C300, customers!$A$1:A1299, customers!$G$1:G1299,, 0)</f>
        <v>United States</v>
      </c>
      <c r="I300" t="str" cm="1">
        <f t="array" ref="I300">_xlfn.XLOOKUP(orders!D300, products!$A$1:A347, products!$B$1:B347, 0)</f>
        <v>Exc</v>
      </c>
      <c r="J300" t="str" cm="1">
        <f t="array" ref="J300">_xlfn.XLOOKUP(D300, products!$A$1:A347, products!$C$1:C347, 0)</f>
        <v>L</v>
      </c>
      <c r="K300" s="4" cm="1">
        <f t="array" ref="K300">_xlfn.XLOOKUP(D300, products!$A$1:A347, products!$D$1:D347, 0)</f>
        <v>0.2</v>
      </c>
      <c r="L300" s="4" cm="1">
        <f t="array" ref="L300">_xlfn.XLOOKUP(D300, products!$A$1:A347, products!$E$1:E347)</f>
        <v>4.4550000000000001</v>
      </c>
      <c r="M300">
        <f t="shared" si="8"/>
        <v>26.73</v>
      </c>
      <c r="N300" t="str">
        <f t="shared" si="9"/>
        <v>Excelsa</v>
      </c>
      <c r="O300" t="str" cm="1">
        <f t="array" ref="O300">_xlfn.IFS(J300="M", "Medium", J300="L", "Light", J300="D", "Dark")</f>
        <v>Light</v>
      </c>
      <c r="P300" t="str">
        <f>_xlfn.XLOOKUP(Orders[[#This Row],[Customer ID]], customers!$A$2:$A$1001, customers!$I$2:$I$1001, 0)</f>
        <v>Yes</v>
      </c>
    </row>
    <row r="301" spans="1:16" x14ac:dyDescent="0.35">
      <c r="A301" s="2" t="s">
        <v>2175</v>
      </c>
      <c r="B301" s="3">
        <v>43582</v>
      </c>
      <c r="C301" s="2" t="s">
        <v>2176</v>
      </c>
      <c r="D301" t="s">
        <v>6148</v>
      </c>
      <c r="E301" s="2">
        <v>6</v>
      </c>
      <c r="F301" s="2" t="str" cm="1">
        <f t="array" ref="F301">_xlfn.XLOOKUP(C301, customers!$A$1:A1300, customers!$B$1:B1300, 0)</f>
        <v>Lacee Tanti</v>
      </c>
      <c r="G301" s="2" t="str">
        <f>IF(_xlfn.XLOOKUP(C301, customers!A300:A1300, customers!C300:C1300, 0)=0, "", _xlfn.XLOOKUP(C301, customers!A300:A1300, customers!C300:C1300, 0))</f>
        <v>ltanti8b@techcrunch.com</v>
      </c>
      <c r="H301" s="2" t="str" cm="1">
        <f t="array" ref="H301">_xlfn.XLOOKUP(C301, customers!$A$1:A1300, customers!$G$1:G1300,, 0)</f>
        <v>United States</v>
      </c>
      <c r="I301" t="str" cm="1">
        <f t="array" ref="I301">_xlfn.XLOOKUP(orders!D301, products!$A$1:A348, products!$B$1:B348, 0)</f>
        <v>Exc</v>
      </c>
      <c r="J301" t="str" cm="1">
        <f t="array" ref="J301">_xlfn.XLOOKUP(D301, products!$A$1:A348, products!$C$1:C348, 0)</f>
        <v>L</v>
      </c>
      <c r="K301" s="4" cm="1">
        <f t="array" ref="K301">_xlfn.XLOOKUP(D301, products!$A$1:A348, products!$D$1:D348, 0)</f>
        <v>2.5</v>
      </c>
      <c r="L301" s="4" cm="1">
        <f t="array" ref="L301">_xlfn.XLOOKUP(D301, products!$A$1:A348, products!$E$1:E348)</f>
        <v>34.154999999999994</v>
      </c>
      <c r="M301">
        <f t="shared" si="8"/>
        <v>204.92999999999995</v>
      </c>
      <c r="N301" t="str">
        <f t="shared" si="9"/>
        <v>Excelsa</v>
      </c>
      <c r="O301" t="str" cm="1">
        <f t="array" ref="O301">_xlfn.IFS(J301="M", "Medium", J301="L", "Light", J301="D", "Dark")</f>
        <v>Light</v>
      </c>
      <c r="P301" t="str">
        <f>_xlfn.XLOOKUP(Orders[[#This Row],[Customer ID]], customers!$A$2:$A$1001, customers!$I$2:$I$1001, 0)</f>
        <v>Yes</v>
      </c>
    </row>
    <row r="302" spans="1:16" x14ac:dyDescent="0.35">
      <c r="A302" s="2" t="s">
        <v>2181</v>
      </c>
      <c r="B302" s="3">
        <v>44646</v>
      </c>
      <c r="C302" s="2" t="s">
        <v>2182</v>
      </c>
      <c r="D302" t="s">
        <v>6140</v>
      </c>
      <c r="E302" s="2">
        <v>3</v>
      </c>
      <c r="F302" s="2" t="str" cm="1">
        <f t="array" ref="F302">_xlfn.XLOOKUP(C302, customers!$A$1:A1301, customers!$B$1:B1301, 0)</f>
        <v>Arel De Lasci</v>
      </c>
      <c r="G302" s="2" t="str">
        <f>IF(_xlfn.XLOOKUP(C302, customers!A301:A1301, customers!C301:C1301, 0)=0, "", _xlfn.XLOOKUP(C302, customers!A301:A1301, customers!C301:C1301, 0))</f>
        <v>ade8c@1und1.de</v>
      </c>
      <c r="H302" s="2" t="str" cm="1">
        <f t="array" ref="H302">_xlfn.XLOOKUP(C302, customers!$A$1:A1301, customers!$G$1:G1301,, 0)</f>
        <v>United States</v>
      </c>
      <c r="I302" t="str" cm="1">
        <f t="array" ref="I302">_xlfn.XLOOKUP(orders!D302, products!$A$1:A349, products!$B$1:B349, 0)</f>
        <v>Ara</v>
      </c>
      <c r="J302" t="str" cm="1">
        <f t="array" ref="J302">_xlfn.XLOOKUP(D302, products!$A$1:A349, products!$C$1:C349, 0)</f>
        <v>L</v>
      </c>
      <c r="K302" s="4" cm="1">
        <f t="array" ref="K302">_xlfn.XLOOKUP(D302, products!$A$1:A349, products!$D$1:D349, 0)</f>
        <v>1</v>
      </c>
      <c r="L302" s="4" cm="1">
        <f t="array" ref="L302">_xlfn.XLOOKUP(D302, products!$A$1:A349, products!$E$1:E349)</f>
        <v>12.95</v>
      </c>
      <c r="M302">
        <f t="shared" si="8"/>
        <v>38.849999999999994</v>
      </c>
      <c r="N302" t="str">
        <f t="shared" si="9"/>
        <v>Arabica</v>
      </c>
      <c r="O302" t="str" cm="1">
        <f t="array" ref="O302">_xlfn.IFS(J302="M", "Medium", J302="L", "Light", J302="D", "Dark")</f>
        <v>Light</v>
      </c>
      <c r="P302" t="str">
        <f>_xlfn.XLOOKUP(Orders[[#This Row],[Customer ID]], customers!$A$2:$A$1001, customers!$I$2:$I$1001, 0)</f>
        <v>Yes</v>
      </c>
    </row>
    <row r="303" spans="1:16" x14ac:dyDescent="0.35">
      <c r="A303" s="2" t="s">
        <v>2187</v>
      </c>
      <c r="B303" s="3">
        <v>44102</v>
      </c>
      <c r="C303" s="2" t="s">
        <v>2188</v>
      </c>
      <c r="D303" t="s">
        <v>6150</v>
      </c>
      <c r="E303" s="2">
        <v>4</v>
      </c>
      <c r="F303" s="2" t="str" cm="1">
        <f t="array" ref="F303">_xlfn.XLOOKUP(C303, customers!$A$1:A1302, customers!$B$1:B1302, 0)</f>
        <v>Trescha Jedrachowicz</v>
      </c>
      <c r="G303" s="2" t="str">
        <f>IF(_xlfn.XLOOKUP(C303, customers!A302:A1302, customers!C302:C1302, 0)=0, "", _xlfn.XLOOKUP(C303, customers!A302:A1302, customers!C302:C1302, 0))</f>
        <v>tjedrachowicz8d@acquirethisname.com</v>
      </c>
      <c r="H303" s="2" t="str" cm="1">
        <f t="array" ref="H303">_xlfn.XLOOKUP(C303, customers!$A$1:A1302, customers!$G$1:G1302,, 0)</f>
        <v>United States</v>
      </c>
      <c r="I303" t="str" cm="1">
        <f t="array" ref="I303">_xlfn.XLOOKUP(orders!D303, products!$A$1:A350, products!$B$1:B350, 0)</f>
        <v>Lib</v>
      </c>
      <c r="J303" t="str" cm="1">
        <f t="array" ref="J303">_xlfn.XLOOKUP(D303, products!$A$1:A350, products!$C$1:C350, 0)</f>
        <v>D</v>
      </c>
      <c r="K303" s="4" cm="1">
        <f t="array" ref="K303">_xlfn.XLOOKUP(D303, products!$A$1:A350, products!$D$1:D350, 0)</f>
        <v>0.2</v>
      </c>
      <c r="L303" s="4" cm="1">
        <f t="array" ref="L303">_xlfn.XLOOKUP(D303, products!$A$1:A350, products!$E$1:E350)</f>
        <v>3.8849999999999998</v>
      </c>
      <c r="M303">
        <f t="shared" si="8"/>
        <v>15.54</v>
      </c>
      <c r="N303" t="str">
        <f t="shared" si="9"/>
        <v>Liberica</v>
      </c>
      <c r="O303" t="str" cm="1">
        <f t="array" ref="O303">_xlfn.IFS(J303="M", "Medium", J303="L", "Light", J303="D", "Dark")</f>
        <v>Dark</v>
      </c>
      <c r="P303" t="str">
        <f>_xlfn.XLOOKUP(Orders[[#This Row],[Customer ID]], customers!$A$2:$A$1001, customers!$I$2:$I$1001, 0)</f>
        <v>Yes</v>
      </c>
    </row>
    <row r="304" spans="1:16" x14ac:dyDescent="0.35">
      <c r="A304" s="2" t="s">
        <v>2193</v>
      </c>
      <c r="B304" s="3">
        <v>43762</v>
      </c>
      <c r="C304" s="2" t="s">
        <v>2194</v>
      </c>
      <c r="D304" t="s">
        <v>6157</v>
      </c>
      <c r="E304" s="2">
        <v>1</v>
      </c>
      <c r="F304" s="2" t="str" cm="1">
        <f t="array" ref="F304">_xlfn.XLOOKUP(C304, customers!$A$1:A1303, customers!$B$1:B1303, 0)</f>
        <v>Perkin Stonner</v>
      </c>
      <c r="G304" s="2" t="str">
        <f>IF(_xlfn.XLOOKUP(C304, customers!A303:A1303, customers!C303:C1303, 0)=0, "", _xlfn.XLOOKUP(C304, customers!A303:A1303, customers!C303:C1303, 0))</f>
        <v>pstonner8e@moonfruit.com</v>
      </c>
      <c r="H304" s="2" t="str" cm="1">
        <f t="array" ref="H304">_xlfn.XLOOKUP(C304, customers!$A$1:A1303, customers!$G$1:G1303,, 0)</f>
        <v>United States</v>
      </c>
      <c r="I304" t="str" cm="1">
        <f t="array" ref="I304">_xlfn.XLOOKUP(orders!D304, products!$A$1:A351, products!$B$1:B351, 0)</f>
        <v>Ara</v>
      </c>
      <c r="J304" t="str" cm="1">
        <f t="array" ref="J304">_xlfn.XLOOKUP(D304, products!$A$1:A351, products!$C$1:C351, 0)</f>
        <v>M</v>
      </c>
      <c r="K304" s="4" cm="1">
        <f t="array" ref="K304">_xlfn.XLOOKUP(D304, products!$A$1:A351, products!$D$1:D351, 0)</f>
        <v>0.5</v>
      </c>
      <c r="L304" s="4" cm="1">
        <f t="array" ref="L304">_xlfn.XLOOKUP(D304, products!$A$1:A351, products!$E$1:E351)</f>
        <v>6.75</v>
      </c>
      <c r="M304">
        <f t="shared" si="8"/>
        <v>6.75</v>
      </c>
      <c r="N304" t="str">
        <f t="shared" si="9"/>
        <v>Arabica</v>
      </c>
      <c r="O304" t="str" cm="1">
        <f t="array" ref="O304">_xlfn.IFS(J304="M", "Medium", J304="L", "Light", J304="D", "Dark")</f>
        <v>Medium</v>
      </c>
      <c r="P304" t="str">
        <f>_xlfn.XLOOKUP(Orders[[#This Row],[Customer ID]], customers!$A$2:$A$1001, customers!$I$2:$I$1001, 0)</f>
        <v>No</v>
      </c>
    </row>
    <row r="305" spans="1:16" x14ac:dyDescent="0.35">
      <c r="A305" s="2" t="s">
        <v>2199</v>
      </c>
      <c r="B305" s="3">
        <v>44412</v>
      </c>
      <c r="C305" s="2" t="s">
        <v>2200</v>
      </c>
      <c r="D305" t="s">
        <v>6185</v>
      </c>
      <c r="E305" s="2">
        <v>4</v>
      </c>
      <c r="F305" s="2" t="str" cm="1">
        <f t="array" ref="F305">_xlfn.XLOOKUP(C305, customers!$A$1:A1304, customers!$B$1:B1304, 0)</f>
        <v>Darrin Tingly</v>
      </c>
      <c r="G305" s="2" t="str">
        <f>IF(_xlfn.XLOOKUP(C305, customers!A304:A1304, customers!C304:C1304, 0)=0, "", _xlfn.XLOOKUP(C305, customers!A304:A1304, customers!C304:C1304, 0))</f>
        <v>dtingly8f@goo.ne.jp</v>
      </c>
      <c r="H305" s="2" t="str" cm="1">
        <f t="array" ref="H305">_xlfn.XLOOKUP(C305, customers!$A$1:A1304, customers!$G$1:G1304,, 0)</f>
        <v>United States</v>
      </c>
      <c r="I305" t="str" cm="1">
        <f t="array" ref="I305">_xlfn.XLOOKUP(orders!D305, products!$A$1:A352, products!$B$1:B352, 0)</f>
        <v>Exc</v>
      </c>
      <c r="J305" t="str" cm="1">
        <f t="array" ref="J305">_xlfn.XLOOKUP(D305, products!$A$1:A352, products!$C$1:C352, 0)</f>
        <v>D</v>
      </c>
      <c r="K305" s="4" cm="1">
        <f t="array" ref="K305">_xlfn.XLOOKUP(D305, products!$A$1:A352, products!$D$1:D352, 0)</f>
        <v>2.5</v>
      </c>
      <c r="L305" s="4" cm="1">
        <f t="array" ref="L305">_xlfn.XLOOKUP(D305, products!$A$1:A352, products!$E$1:E352)</f>
        <v>27.945</v>
      </c>
      <c r="M305">
        <f t="shared" si="8"/>
        <v>111.78</v>
      </c>
      <c r="N305" t="str">
        <f t="shared" si="9"/>
        <v>Excelsa</v>
      </c>
      <c r="O305" t="str" cm="1">
        <f t="array" ref="O305">_xlfn.IFS(J305="M", "Medium", J305="L", "Light", J305="D", "Dark")</f>
        <v>Dark</v>
      </c>
      <c r="P305" t="str">
        <f>_xlfn.XLOOKUP(Orders[[#This Row],[Customer ID]], customers!$A$2:$A$1001, customers!$I$2:$I$1001, 0)</f>
        <v>Yes</v>
      </c>
    </row>
    <row r="306" spans="1:16" x14ac:dyDescent="0.35">
      <c r="A306" s="2" t="s">
        <v>2204</v>
      </c>
      <c r="B306" s="3">
        <v>43828</v>
      </c>
      <c r="C306" s="2" t="s">
        <v>2245</v>
      </c>
      <c r="D306" t="s">
        <v>6167</v>
      </c>
      <c r="E306" s="2">
        <v>1</v>
      </c>
      <c r="F306" s="2" t="str" cm="1">
        <f t="array" ref="F306">_xlfn.XLOOKUP(C306, customers!$A$1:A1305, customers!$B$1:B1305, 0)</f>
        <v>Claudetta Rushe</v>
      </c>
      <c r="G306" s="2" t="str">
        <f>IF(_xlfn.XLOOKUP(C306, customers!A305:A1305, customers!C305:C1305, 0)=0, "", _xlfn.XLOOKUP(C306, customers!A305:A1305, customers!C305:C1305, 0))</f>
        <v>crushe8n@about.me</v>
      </c>
      <c r="H306" s="2" t="str" cm="1">
        <f t="array" ref="H306">_xlfn.XLOOKUP(C306, customers!$A$1:A1305, customers!$G$1:G1305,, 0)</f>
        <v>United States</v>
      </c>
      <c r="I306" t="str" cm="1">
        <f t="array" ref="I306">_xlfn.XLOOKUP(orders!D306, products!$A$1:A353, products!$B$1:B353, 0)</f>
        <v>Ara</v>
      </c>
      <c r="J306" t="str" cm="1">
        <f t="array" ref="J306">_xlfn.XLOOKUP(D306, products!$A$1:A353, products!$C$1:C353, 0)</f>
        <v>L</v>
      </c>
      <c r="K306" s="4" cm="1">
        <f t="array" ref="K306">_xlfn.XLOOKUP(D306, products!$A$1:A353, products!$D$1:D353, 0)</f>
        <v>0.2</v>
      </c>
      <c r="L306" s="4" cm="1">
        <f t="array" ref="L306">_xlfn.XLOOKUP(D306, products!$A$1:A353, products!$E$1:E353)</f>
        <v>3.8849999999999998</v>
      </c>
      <c r="M306">
        <f t="shared" si="8"/>
        <v>3.8849999999999998</v>
      </c>
      <c r="N306" t="str">
        <f t="shared" si="9"/>
        <v>Arabica</v>
      </c>
      <c r="O306" t="str" cm="1">
        <f t="array" ref="O306">_xlfn.IFS(J306="M", "Medium", J306="L", "Light", J306="D", "Dark")</f>
        <v>Light</v>
      </c>
      <c r="P306" t="str">
        <f>_xlfn.XLOOKUP(Orders[[#This Row],[Customer ID]], customers!$A$2:$A$1001, customers!$I$2:$I$1001, 0)</f>
        <v>Yes</v>
      </c>
    </row>
    <row r="307" spans="1:16" x14ac:dyDescent="0.35">
      <c r="A307" s="2" t="s">
        <v>2209</v>
      </c>
      <c r="B307" s="3">
        <v>43796</v>
      </c>
      <c r="C307" s="2" t="s">
        <v>2210</v>
      </c>
      <c r="D307" t="s">
        <v>6159</v>
      </c>
      <c r="E307" s="2">
        <v>5</v>
      </c>
      <c r="F307" s="2" t="str" cm="1">
        <f t="array" ref="F307">_xlfn.XLOOKUP(C307, customers!$A$1:A1306, customers!$B$1:B1306, 0)</f>
        <v>Benn Checci</v>
      </c>
      <c r="G307" s="2" t="str">
        <f>IF(_xlfn.XLOOKUP(C307, customers!A306:A1306, customers!C306:C1306, 0)=0, "", _xlfn.XLOOKUP(C307, customers!A306:A1306, customers!C306:C1306, 0))</f>
        <v>bchecci8h@usa.gov</v>
      </c>
      <c r="H307" s="2" t="str" cm="1">
        <f t="array" ref="H307">_xlfn.XLOOKUP(C307, customers!$A$1:A1306, customers!$G$1:G1306,, 0)</f>
        <v>United Kingdom</v>
      </c>
      <c r="I307" t="str" cm="1">
        <f t="array" ref="I307">_xlfn.XLOOKUP(orders!D307, products!$A$1:A354, products!$B$1:B354, 0)</f>
        <v>Lib</v>
      </c>
      <c r="J307" t="str" cm="1">
        <f t="array" ref="J307">_xlfn.XLOOKUP(D307, products!$A$1:A354, products!$C$1:C354, 0)</f>
        <v>M</v>
      </c>
      <c r="K307" s="4" cm="1">
        <f t="array" ref="K307">_xlfn.XLOOKUP(D307, products!$A$1:A354, products!$D$1:D354, 0)</f>
        <v>0.2</v>
      </c>
      <c r="L307" s="4" cm="1">
        <f t="array" ref="L307">_xlfn.XLOOKUP(D307, products!$A$1:A354, products!$E$1:E354)</f>
        <v>4.3650000000000002</v>
      </c>
      <c r="M307">
        <f t="shared" si="8"/>
        <v>21.825000000000003</v>
      </c>
      <c r="N307" t="str">
        <f t="shared" si="9"/>
        <v>Liberica</v>
      </c>
      <c r="O307" t="str" cm="1">
        <f t="array" ref="O307">_xlfn.IFS(J307="M", "Medium", J307="L", "Light", J307="D", "Dark")</f>
        <v>Medium</v>
      </c>
      <c r="P307" t="str">
        <f>_xlfn.XLOOKUP(Orders[[#This Row],[Customer ID]], customers!$A$2:$A$1001, customers!$I$2:$I$1001, 0)</f>
        <v>No</v>
      </c>
    </row>
    <row r="308" spans="1:16" x14ac:dyDescent="0.35">
      <c r="A308" s="2" t="s">
        <v>2215</v>
      </c>
      <c r="B308" s="3">
        <v>43890</v>
      </c>
      <c r="C308" s="2" t="s">
        <v>2216</v>
      </c>
      <c r="D308" t="s">
        <v>6174</v>
      </c>
      <c r="E308" s="2">
        <v>5</v>
      </c>
      <c r="F308" s="2" t="str" cm="1">
        <f t="array" ref="F308">_xlfn.XLOOKUP(C308, customers!$A$1:A1307, customers!$B$1:B1307, 0)</f>
        <v>Janifer Bagot</v>
      </c>
      <c r="G308" s="2" t="str">
        <f>IF(_xlfn.XLOOKUP(C308, customers!A307:A1307, customers!C307:C1307, 0)=0, "", _xlfn.XLOOKUP(C308, customers!A307:A1307, customers!C307:C1307, 0))</f>
        <v>jbagot8i@mac.com</v>
      </c>
      <c r="H308" s="2" t="str" cm="1">
        <f t="array" ref="H308">_xlfn.XLOOKUP(C308, customers!$A$1:A1307, customers!$G$1:G1307,, 0)</f>
        <v>United States</v>
      </c>
      <c r="I308" t="str" cm="1">
        <f t="array" ref="I308">_xlfn.XLOOKUP(orders!D308, products!$A$1:A355, products!$B$1:B355, 0)</f>
        <v>Rob</v>
      </c>
      <c r="J308" t="str" cm="1">
        <f t="array" ref="J308">_xlfn.XLOOKUP(D308, products!$A$1:A355, products!$C$1:C355, 0)</f>
        <v>M</v>
      </c>
      <c r="K308" s="4" cm="1">
        <f t="array" ref="K308">_xlfn.XLOOKUP(D308, products!$A$1:A355, products!$D$1:D355, 0)</f>
        <v>0.2</v>
      </c>
      <c r="L308" s="4" cm="1">
        <f t="array" ref="L308">_xlfn.XLOOKUP(D308, products!$A$1:A355, products!$E$1:E355)</f>
        <v>2.9849999999999999</v>
      </c>
      <c r="M308">
        <f t="shared" si="8"/>
        <v>14.924999999999999</v>
      </c>
      <c r="N308" t="str">
        <f t="shared" si="9"/>
        <v>Robusta</v>
      </c>
      <c r="O308" t="str" cm="1">
        <f t="array" ref="O308">_xlfn.IFS(J308="M", "Medium", J308="L", "Light", J308="D", "Dark")</f>
        <v>Medium</v>
      </c>
      <c r="P308" t="str">
        <f>_xlfn.XLOOKUP(Orders[[#This Row],[Customer ID]], customers!$A$2:$A$1001, customers!$I$2:$I$1001, 0)</f>
        <v>No</v>
      </c>
    </row>
    <row r="309" spans="1:16" x14ac:dyDescent="0.35">
      <c r="A309" s="2" t="s">
        <v>2221</v>
      </c>
      <c r="B309" s="3">
        <v>44227</v>
      </c>
      <c r="C309" s="2" t="s">
        <v>2222</v>
      </c>
      <c r="D309" t="s">
        <v>6155</v>
      </c>
      <c r="E309" s="2">
        <v>3</v>
      </c>
      <c r="F309" s="2" t="str" cm="1">
        <f t="array" ref="F309">_xlfn.XLOOKUP(C309, customers!$A$1:A1308, customers!$B$1:B1308, 0)</f>
        <v>Ermin Beeble</v>
      </c>
      <c r="G309" s="2" t="str">
        <f>IF(_xlfn.XLOOKUP(C309, customers!A308:A1308, customers!C308:C1308, 0)=0, "", _xlfn.XLOOKUP(C309, customers!A308:A1308, customers!C308:C1308, 0))</f>
        <v>ebeeble8j@soundcloud.com</v>
      </c>
      <c r="H309" s="2" t="str" cm="1">
        <f t="array" ref="H309">_xlfn.XLOOKUP(C309, customers!$A$1:A1308, customers!$G$1:G1308,, 0)</f>
        <v>United States</v>
      </c>
      <c r="I309" t="str" cm="1">
        <f t="array" ref="I309">_xlfn.XLOOKUP(orders!D309, products!$A$1:A356, products!$B$1:B356, 0)</f>
        <v>Ara</v>
      </c>
      <c r="J309" t="str" cm="1">
        <f t="array" ref="J309">_xlfn.XLOOKUP(D309, products!$A$1:A356, products!$C$1:C356, 0)</f>
        <v>M</v>
      </c>
      <c r="K309" s="4" cm="1">
        <f t="array" ref="K309">_xlfn.XLOOKUP(D309, products!$A$1:A356, products!$D$1:D356, 0)</f>
        <v>1</v>
      </c>
      <c r="L309" s="4" cm="1">
        <f t="array" ref="L309">_xlfn.XLOOKUP(D309, products!$A$1:A356, products!$E$1:E356)</f>
        <v>11.25</v>
      </c>
      <c r="M309">
        <f t="shared" si="8"/>
        <v>33.75</v>
      </c>
      <c r="N309" t="str">
        <f t="shared" si="9"/>
        <v>Arabica</v>
      </c>
      <c r="O309" t="str" cm="1">
        <f t="array" ref="O309">_xlfn.IFS(J309="M", "Medium", J309="L", "Light", J309="D", "Dark")</f>
        <v>Medium</v>
      </c>
      <c r="P309" t="str">
        <f>_xlfn.XLOOKUP(Orders[[#This Row],[Customer ID]], customers!$A$2:$A$1001, customers!$I$2:$I$1001, 0)</f>
        <v>Yes</v>
      </c>
    </row>
    <row r="310" spans="1:16" x14ac:dyDescent="0.35">
      <c r="A310" s="2" t="s">
        <v>2227</v>
      </c>
      <c r="B310" s="3">
        <v>44729</v>
      </c>
      <c r="C310" s="2" t="s">
        <v>2228</v>
      </c>
      <c r="D310" t="s">
        <v>6155</v>
      </c>
      <c r="E310" s="2">
        <v>3</v>
      </c>
      <c r="F310" s="2" t="str" cm="1">
        <f t="array" ref="F310">_xlfn.XLOOKUP(C310, customers!$A$1:A1309, customers!$B$1:B1309, 0)</f>
        <v>Cos Fluin</v>
      </c>
      <c r="G310" s="2" t="str">
        <f>IF(_xlfn.XLOOKUP(C310, customers!A309:A1309, customers!C309:C1309, 0)=0, "", _xlfn.XLOOKUP(C310, customers!A309:A1309, customers!C309:C1309, 0))</f>
        <v>cfluin8k@flickr.com</v>
      </c>
      <c r="H310" s="2" t="str" cm="1">
        <f t="array" ref="H310">_xlfn.XLOOKUP(C310, customers!$A$1:A1309, customers!$G$1:G1309,, 0)</f>
        <v>United Kingdom</v>
      </c>
      <c r="I310" t="str" cm="1">
        <f t="array" ref="I310">_xlfn.XLOOKUP(orders!D310, products!$A$1:A357, products!$B$1:B357, 0)</f>
        <v>Ara</v>
      </c>
      <c r="J310" t="str" cm="1">
        <f t="array" ref="J310">_xlfn.XLOOKUP(D310, products!$A$1:A357, products!$C$1:C357, 0)</f>
        <v>M</v>
      </c>
      <c r="K310" s="4" cm="1">
        <f t="array" ref="K310">_xlfn.XLOOKUP(D310, products!$A$1:A357, products!$D$1:D357, 0)</f>
        <v>1</v>
      </c>
      <c r="L310" s="4" cm="1">
        <f t="array" ref="L310">_xlfn.XLOOKUP(D310, products!$A$1:A357, products!$E$1:E357)</f>
        <v>11.25</v>
      </c>
      <c r="M310">
        <f t="shared" si="8"/>
        <v>33.75</v>
      </c>
      <c r="N310" t="str">
        <f t="shared" si="9"/>
        <v>Arabica</v>
      </c>
      <c r="O310" t="str" cm="1">
        <f t="array" ref="O310">_xlfn.IFS(J310="M", "Medium", J310="L", "Light", J310="D", "Dark")</f>
        <v>Medium</v>
      </c>
      <c r="P310" t="str">
        <f>_xlfn.XLOOKUP(Orders[[#This Row],[Customer ID]], customers!$A$2:$A$1001, customers!$I$2:$I$1001, 0)</f>
        <v>No</v>
      </c>
    </row>
    <row r="311" spans="1:16" x14ac:dyDescent="0.35">
      <c r="A311" s="2" t="s">
        <v>2232</v>
      </c>
      <c r="B311" s="3">
        <v>43864</v>
      </c>
      <c r="C311" s="2" t="s">
        <v>2233</v>
      </c>
      <c r="D311" t="s">
        <v>6159</v>
      </c>
      <c r="E311" s="2">
        <v>6</v>
      </c>
      <c r="F311" s="2" t="str" cm="1">
        <f t="array" ref="F311">_xlfn.XLOOKUP(C311, customers!$A$1:A1310, customers!$B$1:B1310, 0)</f>
        <v>Eveleen Bletsor</v>
      </c>
      <c r="G311" s="2" t="str">
        <f>IF(_xlfn.XLOOKUP(C311, customers!A310:A1310, customers!C310:C1310, 0)=0, "", _xlfn.XLOOKUP(C311, customers!A310:A1310, customers!C310:C1310, 0))</f>
        <v>ebletsor8l@vinaora.com</v>
      </c>
      <c r="H311" s="2" t="str" cm="1">
        <f t="array" ref="H311">_xlfn.XLOOKUP(C311, customers!$A$1:A1310, customers!$G$1:G1310,, 0)</f>
        <v>United States</v>
      </c>
      <c r="I311" t="str" cm="1">
        <f t="array" ref="I311">_xlfn.XLOOKUP(orders!D311, products!$A$1:A358, products!$B$1:B358, 0)</f>
        <v>Lib</v>
      </c>
      <c r="J311" t="str" cm="1">
        <f t="array" ref="J311">_xlfn.XLOOKUP(D311, products!$A$1:A358, products!$C$1:C358, 0)</f>
        <v>M</v>
      </c>
      <c r="K311" s="4" cm="1">
        <f t="array" ref="K311">_xlfn.XLOOKUP(D311, products!$A$1:A358, products!$D$1:D358, 0)</f>
        <v>0.2</v>
      </c>
      <c r="L311" s="4" cm="1">
        <f t="array" ref="L311">_xlfn.XLOOKUP(D311, products!$A$1:A358, products!$E$1:E358)</f>
        <v>4.3650000000000002</v>
      </c>
      <c r="M311">
        <f t="shared" si="8"/>
        <v>26.19</v>
      </c>
      <c r="N311" t="str">
        <f t="shared" si="9"/>
        <v>Liberica</v>
      </c>
      <c r="O311" t="str" cm="1">
        <f t="array" ref="O311">_xlfn.IFS(J311="M", "Medium", J311="L", "Light", J311="D", "Dark")</f>
        <v>Medium</v>
      </c>
      <c r="P311" t="str">
        <f>_xlfn.XLOOKUP(Orders[[#This Row],[Customer ID]], customers!$A$2:$A$1001, customers!$I$2:$I$1001, 0)</f>
        <v>Yes</v>
      </c>
    </row>
    <row r="312" spans="1:16" x14ac:dyDescent="0.35">
      <c r="A312" s="2" t="s">
        <v>2238</v>
      </c>
      <c r="B312" s="3">
        <v>44586</v>
      </c>
      <c r="C312" s="2" t="s">
        <v>2239</v>
      </c>
      <c r="D312" t="s">
        <v>6171</v>
      </c>
      <c r="E312" s="2">
        <v>1</v>
      </c>
      <c r="F312" s="2" t="str" cm="1">
        <f t="array" ref="F312">_xlfn.XLOOKUP(C312, customers!$A$1:A1311, customers!$B$1:B1311, 0)</f>
        <v>Paola Brydell</v>
      </c>
      <c r="G312" s="2" t="str">
        <f>IF(_xlfn.XLOOKUP(C312, customers!A311:A1311, customers!C311:C1311, 0)=0, "", _xlfn.XLOOKUP(C312, customers!A311:A1311, customers!C311:C1311, 0))</f>
        <v>pbrydell8m@bloglovin.com</v>
      </c>
      <c r="H312" s="2" t="str" cm="1">
        <f t="array" ref="H312">_xlfn.XLOOKUP(C312, customers!$A$1:A1311, customers!$G$1:G1311,, 0)</f>
        <v>Ireland</v>
      </c>
      <c r="I312" t="str" cm="1">
        <f t="array" ref="I312">_xlfn.XLOOKUP(orders!D312, products!$A$1:A359, products!$B$1:B359, 0)</f>
        <v>Exc</v>
      </c>
      <c r="J312" t="str" cm="1">
        <f t="array" ref="J312">_xlfn.XLOOKUP(D312, products!$A$1:A359, products!$C$1:C359, 0)</f>
        <v>L</v>
      </c>
      <c r="K312" s="4" cm="1">
        <f t="array" ref="K312">_xlfn.XLOOKUP(D312, products!$A$1:A359, products!$D$1:D359, 0)</f>
        <v>1</v>
      </c>
      <c r="L312" s="4" cm="1">
        <f t="array" ref="L312">_xlfn.XLOOKUP(D312, products!$A$1:A359, products!$E$1:E359)</f>
        <v>14.85</v>
      </c>
      <c r="M312">
        <f t="shared" si="8"/>
        <v>14.85</v>
      </c>
      <c r="N312" t="str">
        <f t="shared" si="9"/>
        <v>Excelsa</v>
      </c>
      <c r="O312" t="str" cm="1">
        <f t="array" ref="O312">_xlfn.IFS(J312="M", "Medium", J312="L", "Light", J312="D", "Dark")</f>
        <v>Light</v>
      </c>
      <c r="P312" t="str">
        <f>_xlfn.XLOOKUP(Orders[[#This Row],[Customer ID]], customers!$A$2:$A$1001, customers!$I$2:$I$1001, 0)</f>
        <v>No</v>
      </c>
    </row>
    <row r="313" spans="1:16" x14ac:dyDescent="0.35">
      <c r="A313" s="2" t="s">
        <v>2244</v>
      </c>
      <c r="B313" s="3">
        <v>43951</v>
      </c>
      <c r="C313" s="2" t="s">
        <v>2245</v>
      </c>
      <c r="D313" t="s">
        <v>6166</v>
      </c>
      <c r="E313" s="2">
        <v>6</v>
      </c>
      <c r="F313" s="2" t="str" cm="1">
        <f t="array" ref="F313">_xlfn.XLOOKUP(C313, customers!$A$1:A1312, customers!$B$1:B1312, 0)</f>
        <v>Claudetta Rushe</v>
      </c>
      <c r="G313" s="2" t="str">
        <f>IF(_xlfn.XLOOKUP(C313, customers!A312:A1312, customers!C312:C1312, 0)=0, "", _xlfn.XLOOKUP(C313, customers!A312:A1312, customers!C312:C1312, 0))</f>
        <v>crushe8n@about.me</v>
      </c>
      <c r="H313" s="2" t="str" cm="1">
        <f t="array" ref="H313">_xlfn.XLOOKUP(C313, customers!$A$1:A1312, customers!$G$1:G1312,, 0)</f>
        <v>United States</v>
      </c>
      <c r="I313" t="str" cm="1">
        <f t="array" ref="I313">_xlfn.XLOOKUP(orders!D313, products!$A$1:A360, products!$B$1:B360, 0)</f>
        <v>Exc</v>
      </c>
      <c r="J313" t="str" cm="1">
        <f t="array" ref="J313">_xlfn.XLOOKUP(D313, products!$A$1:A360, products!$C$1:C360, 0)</f>
        <v>M</v>
      </c>
      <c r="K313" s="4" cm="1">
        <f t="array" ref="K313">_xlfn.XLOOKUP(D313, products!$A$1:A360, products!$D$1:D360, 0)</f>
        <v>2.5</v>
      </c>
      <c r="L313" s="4" cm="1">
        <f t="array" ref="L313">_xlfn.XLOOKUP(D313, products!$A$1:A360, products!$E$1:E360)</f>
        <v>31.624999999999996</v>
      </c>
      <c r="M313">
        <f t="shared" si="8"/>
        <v>189.74999999999997</v>
      </c>
      <c r="N313" t="str">
        <f t="shared" si="9"/>
        <v>Excelsa</v>
      </c>
      <c r="O313" t="str" cm="1">
        <f t="array" ref="O313">_xlfn.IFS(J313="M", "Medium", J313="L", "Light", J313="D", "Dark")</f>
        <v>Medium</v>
      </c>
      <c r="P313" t="str">
        <f>_xlfn.XLOOKUP(Orders[[#This Row],[Customer ID]], customers!$A$2:$A$1001, customers!$I$2:$I$1001, 0)</f>
        <v>Yes</v>
      </c>
    </row>
    <row r="314" spans="1:16" x14ac:dyDescent="0.35">
      <c r="A314" s="2" t="s">
        <v>2250</v>
      </c>
      <c r="B314" s="3">
        <v>44317</v>
      </c>
      <c r="C314" s="2" t="s">
        <v>2251</v>
      </c>
      <c r="D314" t="s">
        <v>6146</v>
      </c>
      <c r="E314" s="2">
        <v>1</v>
      </c>
      <c r="F314" s="2" t="str" cm="1">
        <f t="array" ref="F314">_xlfn.XLOOKUP(C314, customers!$A$1:A1313, customers!$B$1:B1313, 0)</f>
        <v>Natka Leethem</v>
      </c>
      <c r="G314" s="2" t="str">
        <f>IF(_xlfn.XLOOKUP(C314, customers!A313:A1313, customers!C313:C1313, 0)=0, "", _xlfn.XLOOKUP(C314, customers!A313:A1313, customers!C313:C1313, 0))</f>
        <v>nleethem8o@mac.com</v>
      </c>
      <c r="H314" s="2" t="str" cm="1">
        <f t="array" ref="H314">_xlfn.XLOOKUP(C314, customers!$A$1:A1313, customers!$G$1:G1313,, 0)</f>
        <v>United States</v>
      </c>
      <c r="I314" t="str" cm="1">
        <f t="array" ref="I314">_xlfn.XLOOKUP(orders!D314, products!$A$1:A361, products!$B$1:B361, 0)</f>
        <v>Rob</v>
      </c>
      <c r="J314" t="str" cm="1">
        <f t="array" ref="J314">_xlfn.XLOOKUP(D314, products!$A$1:A361, products!$C$1:C361, 0)</f>
        <v>M</v>
      </c>
      <c r="K314" s="4" cm="1">
        <f t="array" ref="K314">_xlfn.XLOOKUP(D314, products!$A$1:A361, products!$D$1:D361, 0)</f>
        <v>0.5</v>
      </c>
      <c r="L314" s="4" cm="1">
        <f t="array" ref="L314">_xlfn.XLOOKUP(D314, products!$A$1:A361, products!$E$1:E361)</f>
        <v>5.97</v>
      </c>
      <c r="M314">
        <f t="shared" si="8"/>
        <v>5.97</v>
      </c>
      <c r="N314" t="str">
        <f t="shared" si="9"/>
        <v>Robusta</v>
      </c>
      <c r="O314" t="str" cm="1">
        <f t="array" ref="O314">_xlfn.IFS(J314="M", "Medium", J314="L", "Light", J314="D", "Dark")</f>
        <v>Medium</v>
      </c>
      <c r="P314" t="str">
        <f>_xlfn.XLOOKUP(Orders[[#This Row],[Customer ID]], customers!$A$2:$A$1001, customers!$I$2:$I$1001, 0)</f>
        <v>Yes</v>
      </c>
    </row>
    <row r="315" spans="1:16" x14ac:dyDescent="0.35">
      <c r="A315" s="2" t="s">
        <v>2256</v>
      </c>
      <c r="B315" s="3">
        <v>44497</v>
      </c>
      <c r="C315" s="2" t="s">
        <v>2257</v>
      </c>
      <c r="D315" t="s">
        <v>6138</v>
      </c>
      <c r="E315" s="2">
        <v>3</v>
      </c>
      <c r="F315" s="2" t="str" cm="1">
        <f t="array" ref="F315">_xlfn.XLOOKUP(C315, customers!$A$1:A1314, customers!$B$1:B1314, 0)</f>
        <v>Ailene Nesfield</v>
      </c>
      <c r="G315" s="2" t="str">
        <f>IF(_xlfn.XLOOKUP(C315, customers!A314:A1314, customers!C314:C1314, 0)=0, "", _xlfn.XLOOKUP(C315, customers!A314:A1314, customers!C314:C1314, 0))</f>
        <v>anesfield8p@people.com.cn</v>
      </c>
      <c r="H315" s="2" t="str" cm="1">
        <f t="array" ref="H315">_xlfn.XLOOKUP(C315, customers!$A$1:A1314, customers!$G$1:G1314,, 0)</f>
        <v>United Kingdom</v>
      </c>
      <c r="I315" t="str" cm="1">
        <f t="array" ref="I315">_xlfn.XLOOKUP(orders!D315, products!$A$1:A362, products!$B$1:B362, 0)</f>
        <v>Rob</v>
      </c>
      <c r="J315" t="str" cm="1">
        <f t="array" ref="J315">_xlfn.XLOOKUP(D315, products!$A$1:A362, products!$C$1:C362, 0)</f>
        <v>M</v>
      </c>
      <c r="K315" s="4" cm="1">
        <f t="array" ref="K315">_xlfn.XLOOKUP(D315, products!$A$1:A362, products!$D$1:D362, 0)</f>
        <v>1</v>
      </c>
      <c r="L315" s="4" cm="1">
        <f t="array" ref="L315">_xlfn.XLOOKUP(D315, products!$A$1:A362, products!$E$1:E362)</f>
        <v>9.9499999999999993</v>
      </c>
      <c r="M315">
        <f t="shared" si="8"/>
        <v>29.849999999999998</v>
      </c>
      <c r="N315" t="str">
        <f t="shared" si="9"/>
        <v>Robusta</v>
      </c>
      <c r="O315" t="str" cm="1">
        <f t="array" ref="O315">_xlfn.IFS(J315="M", "Medium", J315="L", "Light", J315="D", "Dark")</f>
        <v>Medium</v>
      </c>
      <c r="P315" t="str">
        <f>_xlfn.XLOOKUP(Orders[[#This Row],[Customer ID]], customers!$A$2:$A$1001, customers!$I$2:$I$1001, 0)</f>
        <v>Yes</v>
      </c>
    </row>
    <row r="316" spans="1:16" x14ac:dyDescent="0.35">
      <c r="A316" s="2" t="s">
        <v>2262</v>
      </c>
      <c r="B316" s="3">
        <v>44437</v>
      </c>
      <c r="C316" s="2" t="s">
        <v>2263</v>
      </c>
      <c r="D316" t="s">
        <v>6177</v>
      </c>
      <c r="E316" s="2">
        <v>5</v>
      </c>
      <c r="F316" s="2" t="str" cm="1">
        <f t="array" ref="F316">_xlfn.XLOOKUP(C316, customers!$A$1:A1315, customers!$B$1:B1315, 0)</f>
        <v>Stacy Pickworth</v>
      </c>
      <c r="G316" s="2" t="str">
        <f>IF(_xlfn.XLOOKUP(C316, customers!A315:A1315, customers!C315:C1315, 0)=0, "", _xlfn.XLOOKUP(C316, customers!A315:A1315, customers!C315:C1315, 0))</f>
        <v/>
      </c>
      <c r="H316" s="2" t="str" cm="1">
        <f t="array" ref="H316">_xlfn.XLOOKUP(C316, customers!$A$1:A1315, customers!$G$1:G1315,, 0)</f>
        <v>United States</v>
      </c>
      <c r="I316" t="str" cm="1">
        <f t="array" ref="I316">_xlfn.XLOOKUP(orders!D316, products!$A$1:A363, products!$B$1:B363, 0)</f>
        <v>Rob</v>
      </c>
      <c r="J316" t="str" cm="1">
        <f t="array" ref="J316">_xlfn.XLOOKUP(D316, products!$A$1:A363, products!$C$1:C363, 0)</f>
        <v>D</v>
      </c>
      <c r="K316" s="4" cm="1">
        <f t="array" ref="K316">_xlfn.XLOOKUP(D316, products!$A$1:A363, products!$D$1:D363, 0)</f>
        <v>1</v>
      </c>
      <c r="L316" s="4" cm="1">
        <f t="array" ref="L316">_xlfn.XLOOKUP(D316, products!$A$1:A363, products!$E$1:E363)</f>
        <v>8.9499999999999993</v>
      </c>
      <c r="M316">
        <f t="shared" si="8"/>
        <v>44.75</v>
      </c>
      <c r="N316" t="str">
        <f t="shared" si="9"/>
        <v>Robusta</v>
      </c>
      <c r="O316" t="str" cm="1">
        <f t="array" ref="O316">_xlfn.IFS(J316="M", "Medium", J316="L", "Light", J316="D", "Dark")</f>
        <v>Dark</v>
      </c>
      <c r="P316" t="str">
        <f>_xlfn.XLOOKUP(Orders[[#This Row],[Customer ID]], customers!$A$2:$A$1001, customers!$I$2:$I$1001, 0)</f>
        <v>No</v>
      </c>
    </row>
    <row r="317" spans="1:16" x14ac:dyDescent="0.35">
      <c r="A317" s="2" t="s">
        <v>2267</v>
      </c>
      <c r="B317" s="3">
        <v>43826</v>
      </c>
      <c r="C317" s="2" t="s">
        <v>2268</v>
      </c>
      <c r="D317" t="s">
        <v>6148</v>
      </c>
      <c r="E317" s="2">
        <v>1</v>
      </c>
      <c r="F317" s="2" t="str" cm="1">
        <f t="array" ref="F317">_xlfn.XLOOKUP(C317, customers!$A$1:A1316, customers!$B$1:B1316, 0)</f>
        <v>Melli Brockway</v>
      </c>
      <c r="G317" s="2" t="str">
        <f>IF(_xlfn.XLOOKUP(C317, customers!A316:A1316, customers!C316:C1316, 0)=0, "", _xlfn.XLOOKUP(C317, customers!A316:A1316, customers!C316:C1316, 0))</f>
        <v>mbrockway8r@ibm.com</v>
      </c>
      <c r="H317" s="2" t="str" cm="1">
        <f t="array" ref="H317">_xlfn.XLOOKUP(C317, customers!$A$1:A1316, customers!$G$1:G1316,, 0)</f>
        <v>United States</v>
      </c>
      <c r="I317" t="str" cm="1">
        <f t="array" ref="I317">_xlfn.XLOOKUP(orders!D317, products!$A$1:A364, products!$B$1:B364, 0)</f>
        <v>Exc</v>
      </c>
      <c r="J317" t="str" cm="1">
        <f t="array" ref="J317">_xlfn.XLOOKUP(D317, products!$A$1:A364, products!$C$1:C364, 0)</f>
        <v>L</v>
      </c>
      <c r="K317" s="4" cm="1">
        <f t="array" ref="K317">_xlfn.XLOOKUP(D317, products!$A$1:A364, products!$D$1:D364, 0)</f>
        <v>2.5</v>
      </c>
      <c r="L317" s="4" cm="1">
        <f t="array" ref="L317">_xlfn.XLOOKUP(D317, products!$A$1:A364, products!$E$1:E364)</f>
        <v>34.154999999999994</v>
      </c>
      <c r="M317">
        <f t="shared" si="8"/>
        <v>34.154999999999994</v>
      </c>
      <c r="N317" t="str">
        <f t="shared" si="9"/>
        <v>Excelsa</v>
      </c>
      <c r="O317" t="str" cm="1">
        <f t="array" ref="O317">_xlfn.IFS(J317="M", "Medium", J317="L", "Light", J317="D", "Dark")</f>
        <v>Light</v>
      </c>
      <c r="P317" t="str">
        <f>_xlfn.XLOOKUP(Orders[[#This Row],[Customer ID]], customers!$A$2:$A$1001, customers!$I$2:$I$1001, 0)</f>
        <v>Yes</v>
      </c>
    </row>
    <row r="318" spans="1:16" x14ac:dyDescent="0.35">
      <c r="A318" s="2" t="s">
        <v>2273</v>
      </c>
      <c r="B318" s="3">
        <v>43641</v>
      </c>
      <c r="C318" s="2" t="s">
        <v>2274</v>
      </c>
      <c r="D318" t="s">
        <v>6148</v>
      </c>
      <c r="E318" s="2">
        <v>6</v>
      </c>
      <c r="F318" s="2" t="str" cm="1">
        <f t="array" ref="F318">_xlfn.XLOOKUP(C318, customers!$A$1:A1317, customers!$B$1:B1317, 0)</f>
        <v>Nanny Lush</v>
      </c>
      <c r="G318" s="2" t="str">
        <f>IF(_xlfn.XLOOKUP(C318, customers!A317:A1317, customers!C317:C1317, 0)=0, "", _xlfn.XLOOKUP(C318, customers!A317:A1317, customers!C317:C1317, 0))</f>
        <v>nlush8s@dedecms.com</v>
      </c>
      <c r="H318" s="2" t="str" cm="1">
        <f t="array" ref="H318">_xlfn.XLOOKUP(C318, customers!$A$1:A1317, customers!$G$1:G1317,, 0)</f>
        <v>Ireland</v>
      </c>
      <c r="I318" t="str" cm="1">
        <f t="array" ref="I318">_xlfn.XLOOKUP(orders!D318, products!$A$1:A365, products!$B$1:B365, 0)</f>
        <v>Exc</v>
      </c>
      <c r="J318" t="str" cm="1">
        <f t="array" ref="J318">_xlfn.XLOOKUP(D318, products!$A$1:A365, products!$C$1:C365, 0)</f>
        <v>L</v>
      </c>
      <c r="K318" s="4" cm="1">
        <f t="array" ref="K318">_xlfn.XLOOKUP(D318, products!$A$1:A365, products!$D$1:D365, 0)</f>
        <v>2.5</v>
      </c>
      <c r="L318" s="4" cm="1">
        <f t="array" ref="L318">_xlfn.XLOOKUP(D318, products!$A$1:A365, products!$E$1:E365)</f>
        <v>34.154999999999994</v>
      </c>
      <c r="M318">
        <f t="shared" si="8"/>
        <v>204.92999999999995</v>
      </c>
      <c r="N318" t="str">
        <f t="shared" si="9"/>
        <v>Excelsa</v>
      </c>
      <c r="O318" t="str" cm="1">
        <f t="array" ref="O318">_xlfn.IFS(J318="M", "Medium", J318="L", "Light", J318="D", "Dark")</f>
        <v>Light</v>
      </c>
      <c r="P318" t="str">
        <f>_xlfn.XLOOKUP(Orders[[#This Row],[Customer ID]], customers!$A$2:$A$1001, customers!$I$2:$I$1001, 0)</f>
        <v>No</v>
      </c>
    </row>
    <row r="319" spans="1:16" x14ac:dyDescent="0.35">
      <c r="A319" s="2" t="s">
        <v>2279</v>
      </c>
      <c r="B319" s="3">
        <v>43526</v>
      </c>
      <c r="C319" s="2" t="s">
        <v>2280</v>
      </c>
      <c r="D319" t="s">
        <v>6144</v>
      </c>
      <c r="E319" s="2">
        <v>3</v>
      </c>
      <c r="F319" s="2" t="str" cm="1">
        <f t="array" ref="F319">_xlfn.XLOOKUP(C319, customers!$A$1:A1318, customers!$B$1:B1318, 0)</f>
        <v>Selma McMillian</v>
      </c>
      <c r="G319" s="2" t="str">
        <f>IF(_xlfn.XLOOKUP(C319, customers!A318:A1318, customers!C318:C1318, 0)=0, "", _xlfn.XLOOKUP(C319, customers!A318:A1318, customers!C318:C1318, 0))</f>
        <v>smcmillian8t@csmonitor.com</v>
      </c>
      <c r="H319" s="2" t="str" cm="1">
        <f t="array" ref="H319">_xlfn.XLOOKUP(C319, customers!$A$1:A1318, customers!$G$1:G1318,, 0)</f>
        <v>United States</v>
      </c>
      <c r="I319" t="str" cm="1">
        <f t="array" ref="I319">_xlfn.XLOOKUP(orders!D319, products!$A$1:A366, products!$B$1:B366, 0)</f>
        <v>Exc</v>
      </c>
      <c r="J319" t="str" cm="1">
        <f t="array" ref="J319">_xlfn.XLOOKUP(D319, products!$A$1:A366, products!$C$1:C366, 0)</f>
        <v>D</v>
      </c>
      <c r="K319" s="4" cm="1">
        <f t="array" ref="K319">_xlfn.XLOOKUP(D319, products!$A$1:A366, products!$D$1:D366, 0)</f>
        <v>0.5</v>
      </c>
      <c r="L319" s="4" cm="1">
        <f t="array" ref="L319">_xlfn.XLOOKUP(D319, products!$A$1:A366, products!$E$1:E366)</f>
        <v>7.29</v>
      </c>
      <c r="M319">
        <f t="shared" si="8"/>
        <v>21.87</v>
      </c>
      <c r="N319" t="str">
        <f t="shared" si="9"/>
        <v>Excelsa</v>
      </c>
      <c r="O319" t="str" cm="1">
        <f t="array" ref="O319">_xlfn.IFS(J319="M", "Medium", J319="L", "Light", J319="D", "Dark")</f>
        <v>Dark</v>
      </c>
      <c r="P319" t="str">
        <f>_xlfn.XLOOKUP(Orders[[#This Row],[Customer ID]], customers!$A$2:$A$1001, customers!$I$2:$I$1001, 0)</f>
        <v>No</v>
      </c>
    </row>
    <row r="320" spans="1:16" x14ac:dyDescent="0.35">
      <c r="A320" s="2" t="s">
        <v>2285</v>
      </c>
      <c r="B320" s="3">
        <v>44563</v>
      </c>
      <c r="C320" s="2" t="s">
        <v>2286</v>
      </c>
      <c r="D320" t="s">
        <v>6175</v>
      </c>
      <c r="E320" s="2">
        <v>2</v>
      </c>
      <c r="F320" s="2" t="str" cm="1">
        <f t="array" ref="F320">_xlfn.XLOOKUP(C320, customers!$A$1:A1319, customers!$B$1:B1319, 0)</f>
        <v>Tess Bennison</v>
      </c>
      <c r="G320" s="2" t="str">
        <f>IF(_xlfn.XLOOKUP(C320, customers!A319:A1319, customers!C319:C1319, 0)=0, "", _xlfn.XLOOKUP(C320, customers!A319:A1319, customers!C319:C1319, 0))</f>
        <v>tbennison8u@google.cn</v>
      </c>
      <c r="H320" s="2" t="str" cm="1">
        <f t="array" ref="H320">_xlfn.XLOOKUP(C320, customers!$A$1:A1319, customers!$G$1:G1319,, 0)</f>
        <v>United States</v>
      </c>
      <c r="I320" t="str" cm="1">
        <f t="array" ref="I320">_xlfn.XLOOKUP(orders!D320, products!$A$1:A367, products!$B$1:B367, 0)</f>
        <v>Ara</v>
      </c>
      <c r="J320" t="str" cm="1">
        <f t="array" ref="J320">_xlfn.XLOOKUP(D320, products!$A$1:A367, products!$C$1:C367, 0)</f>
        <v>M</v>
      </c>
      <c r="K320" s="4" cm="1">
        <f t="array" ref="K320">_xlfn.XLOOKUP(D320, products!$A$1:A367, products!$D$1:D367, 0)</f>
        <v>2.5</v>
      </c>
      <c r="L320" s="4" cm="1">
        <f t="array" ref="L320">_xlfn.XLOOKUP(D320, products!$A$1:A367, products!$E$1:E367)</f>
        <v>25.874999999999996</v>
      </c>
      <c r="M320">
        <f t="shared" si="8"/>
        <v>51.749999999999993</v>
      </c>
      <c r="N320" t="str">
        <f t="shared" si="9"/>
        <v>Arabica</v>
      </c>
      <c r="O320" t="str" cm="1">
        <f t="array" ref="O320">_xlfn.IFS(J320="M", "Medium", J320="L", "Light", J320="D", "Dark")</f>
        <v>Medium</v>
      </c>
      <c r="P320" t="str">
        <f>_xlfn.XLOOKUP(Orders[[#This Row],[Customer ID]], customers!$A$2:$A$1001, customers!$I$2:$I$1001, 0)</f>
        <v>Yes</v>
      </c>
    </row>
    <row r="321" spans="1:16" x14ac:dyDescent="0.35">
      <c r="A321" s="2" t="s">
        <v>2291</v>
      </c>
      <c r="B321" s="3">
        <v>43676</v>
      </c>
      <c r="C321" s="2" t="s">
        <v>2292</v>
      </c>
      <c r="D321" t="s">
        <v>6156</v>
      </c>
      <c r="E321" s="2">
        <v>2</v>
      </c>
      <c r="F321" s="2" t="str" cm="1">
        <f t="array" ref="F321">_xlfn.XLOOKUP(C321, customers!$A$1:A1320, customers!$B$1:B1320, 0)</f>
        <v>Gabie Tweed</v>
      </c>
      <c r="G321" s="2" t="str">
        <f>IF(_xlfn.XLOOKUP(C321, customers!A320:A1320, customers!C320:C1320, 0)=0, "", _xlfn.XLOOKUP(C321, customers!A320:A1320, customers!C320:C1320, 0))</f>
        <v>gtweed8v@yolasite.com</v>
      </c>
      <c r="H321" s="2" t="str" cm="1">
        <f t="array" ref="H321">_xlfn.XLOOKUP(C321, customers!$A$1:A1320, customers!$G$1:G1320,, 0)</f>
        <v>United States</v>
      </c>
      <c r="I321" t="str" cm="1">
        <f t="array" ref="I321">_xlfn.XLOOKUP(orders!D321, products!$A$1:A368, products!$B$1:B368, 0)</f>
        <v>Exc</v>
      </c>
      <c r="J321" t="str" cm="1">
        <f t="array" ref="J321">_xlfn.XLOOKUP(D321, products!$A$1:A368, products!$C$1:C368, 0)</f>
        <v>M</v>
      </c>
      <c r="K321" s="4" cm="1">
        <f t="array" ref="K321">_xlfn.XLOOKUP(D321, products!$A$1:A368, products!$D$1:D368, 0)</f>
        <v>0.2</v>
      </c>
      <c r="L321" s="4" cm="1">
        <f t="array" ref="L321">_xlfn.XLOOKUP(D321, products!$A$1:A368, products!$E$1:E368)</f>
        <v>4.125</v>
      </c>
      <c r="M321">
        <f t="shared" si="8"/>
        <v>8.25</v>
      </c>
      <c r="N321" t="str">
        <f t="shared" si="9"/>
        <v>Excelsa</v>
      </c>
      <c r="O321" t="str" cm="1">
        <f t="array" ref="O321">_xlfn.IFS(J321="M", "Medium", J321="L", "Light", J321="D", "Dark")</f>
        <v>Medium</v>
      </c>
      <c r="P321" t="str">
        <f>_xlfn.XLOOKUP(Orders[[#This Row],[Customer ID]], customers!$A$2:$A$1001, customers!$I$2:$I$1001, 0)</f>
        <v>Yes</v>
      </c>
    </row>
    <row r="322" spans="1:16" x14ac:dyDescent="0.35">
      <c r="A322" s="2" t="s">
        <v>2291</v>
      </c>
      <c r="B322" s="3">
        <v>43676</v>
      </c>
      <c r="C322" s="2" t="s">
        <v>2292</v>
      </c>
      <c r="D322" t="s">
        <v>6167</v>
      </c>
      <c r="E322" s="2">
        <v>5</v>
      </c>
      <c r="F322" s="2" t="str" cm="1">
        <f t="array" ref="F322">_xlfn.XLOOKUP(C322, customers!$A$1:A1321, customers!$B$1:B1321, 0)</f>
        <v>Gabie Tweed</v>
      </c>
      <c r="G322" s="2" t="str">
        <f>IF(_xlfn.XLOOKUP(C322, customers!A321:A1321, customers!C321:C1321, 0)=0, "", _xlfn.XLOOKUP(C322, customers!A321:A1321, customers!C321:C1321, 0))</f>
        <v>gtweed8v@yolasite.com</v>
      </c>
      <c r="H322" s="2" t="str" cm="1">
        <f t="array" ref="H322">_xlfn.XLOOKUP(C322, customers!$A$1:A1321, customers!$G$1:G1321,, 0)</f>
        <v>United States</v>
      </c>
      <c r="I322" t="str" cm="1">
        <f t="array" ref="I322">_xlfn.XLOOKUP(orders!D322, products!$A$1:A369, products!$B$1:B369, 0)</f>
        <v>Ara</v>
      </c>
      <c r="J322" t="str" cm="1">
        <f t="array" ref="J322">_xlfn.XLOOKUP(D322, products!$A$1:A369, products!$C$1:C369, 0)</f>
        <v>L</v>
      </c>
      <c r="K322" s="4" cm="1">
        <f t="array" ref="K322">_xlfn.XLOOKUP(D322, products!$A$1:A369, products!$D$1:D369, 0)</f>
        <v>0.2</v>
      </c>
      <c r="L322" s="4" cm="1">
        <f t="array" ref="L322">_xlfn.XLOOKUP(D322, products!$A$1:A369, products!$E$1:E369)</f>
        <v>3.8849999999999998</v>
      </c>
      <c r="M322">
        <f t="shared" si="8"/>
        <v>19.424999999999997</v>
      </c>
      <c r="N322" t="str">
        <f t="shared" si="9"/>
        <v>Arabica</v>
      </c>
      <c r="O322" t="str" cm="1">
        <f t="array" ref="O322">_xlfn.IFS(J322="M", "Medium", J322="L", "Light", J322="D", "Dark")</f>
        <v>Light</v>
      </c>
      <c r="P322" t="str">
        <f>_xlfn.XLOOKUP(Orders[[#This Row],[Customer ID]], customers!$A$2:$A$1001, customers!$I$2:$I$1001, 0)</f>
        <v>Yes</v>
      </c>
    </row>
    <row r="323" spans="1:16" x14ac:dyDescent="0.35">
      <c r="A323" s="2" t="s">
        <v>2301</v>
      </c>
      <c r="B323" s="3">
        <v>44170</v>
      </c>
      <c r="C323" s="2" t="s">
        <v>2302</v>
      </c>
      <c r="D323" t="s">
        <v>6152</v>
      </c>
      <c r="E323" s="2">
        <v>6</v>
      </c>
      <c r="F323" s="2" t="str" cm="1">
        <f t="array" ref="F323">_xlfn.XLOOKUP(C323, customers!$A$1:A1322, customers!$B$1:B1322, 0)</f>
        <v>Gaile Goggin</v>
      </c>
      <c r="G323" s="2" t="str">
        <f>IF(_xlfn.XLOOKUP(C323, customers!A322:A1322, customers!C322:C1322, 0)=0, "", _xlfn.XLOOKUP(C323, customers!A322:A1322, customers!C322:C1322, 0))</f>
        <v>ggoggin8x@wix.com</v>
      </c>
      <c r="H323" s="2" t="str" cm="1">
        <f t="array" ref="H323">_xlfn.XLOOKUP(C323, customers!$A$1:A1322, customers!$G$1:G1322,, 0)</f>
        <v>Ireland</v>
      </c>
      <c r="I323" t="str" cm="1">
        <f t="array" ref="I323">_xlfn.XLOOKUP(orders!D323, products!$A$1:A370, products!$B$1:B370, 0)</f>
        <v>Ara</v>
      </c>
      <c r="J323" t="str" cm="1">
        <f t="array" ref="J323">_xlfn.XLOOKUP(D323, products!$A$1:A370, products!$C$1:C370, 0)</f>
        <v>M</v>
      </c>
      <c r="K323" s="4" cm="1">
        <f t="array" ref="K323">_xlfn.XLOOKUP(D323, products!$A$1:A370, products!$D$1:D370, 0)</f>
        <v>0.2</v>
      </c>
      <c r="L323" s="4" cm="1">
        <f t="array" ref="L323">_xlfn.XLOOKUP(D323, products!$A$1:A370, products!$E$1:E370)</f>
        <v>3.375</v>
      </c>
      <c r="M323">
        <f t="shared" ref="M323:M386" si="10">L323*E323</f>
        <v>20.25</v>
      </c>
      <c r="N323" t="str">
        <f t="shared" ref="N323:N386" si="11">IF(I323="Rob", "Robusta", IF(I323="Exc", "Excelsa", IF(I323="Ara", "Arabica", IF(I323="Lib", "Liberica", ""))))</f>
        <v>Arabica</v>
      </c>
      <c r="O323" t="str" cm="1">
        <f t="array" ref="O323">_xlfn.IFS(J323="M", "Medium", J323="L", "Light", J323="D", "Dark")</f>
        <v>Medium</v>
      </c>
      <c r="P323" t="str">
        <f>_xlfn.XLOOKUP(Orders[[#This Row],[Customer ID]], customers!$A$2:$A$1001, customers!$I$2:$I$1001, 0)</f>
        <v>Yes</v>
      </c>
    </row>
    <row r="324" spans="1:16" x14ac:dyDescent="0.35">
      <c r="A324" s="2" t="s">
        <v>2307</v>
      </c>
      <c r="B324" s="3">
        <v>44182</v>
      </c>
      <c r="C324" s="2" t="s">
        <v>2308</v>
      </c>
      <c r="D324" t="s">
        <v>6169</v>
      </c>
      <c r="E324" s="2">
        <v>3</v>
      </c>
      <c r="F324" s="2" t="str" cm="1">
        <f t="array" ref="F324">_xlfn.XLOOKUP(C324, customers!$A$1:A1323, customers!$B$1:B1323, 0)</f>
        <v>Skylar Jeyness</v>
      </c>
      <c r="G324" s="2" t="str">
        <f>IF(_xlfn.XLOOKUP(C324, customers!A323:A1323, customers!C323:C1323, 0)=0, "", _xlfn.XLOOKUP(C324, customers!A323:A1323, customers!C323:C1323, 0))</f>
        <v>sjeyness8y@biglobe.ne.jp</v>
      </c>
      <c r="H324" s="2" t="str" cm="1">
        <f t="array" ref="H324">_xlfn.XLOOKUP(C324, customers!$A$1:A1323, customers!$G$1:G1323,, 0)</f>
        <v>Ireland</v>
      </c>
      <c r="I324" t="str" cm="1">
        <f t="array" ref="I324">_xlfn.XLOOKUP(orders!D324, products!$A$1:A371, products!$B$1:B371, 0)</f>
        <v>Lib</v>
      </c>
      <c r="J324" t="str" cm="1">
        <f t="array" ref="J324">_xlfn.XLOOKUP(D324, products!$A$1:A371, products!$C$1:C371, 0)</f>
        <v>D</v>
      </c>
      <c r="K324" s="4" cm="1">
        <f t="array" ref="K324">_xlfn.XLOOKUP(D324, products!$A$1:A371, products!$D$1:D371, 0)</f>
        <v>0.5</v>
      </c>
      <c r="L324" s="4" cm="1">
        <f t="array" ref="L324">_xlfn.XLOOKUP(D324, products!$A$1:A371, products!$E$1:E371)</f>
        <v>7.77</v>
      </c>
      <c r="M324">
        <f t="shared" si="10"/>
        <v>23.31</v>
      </c>
      <c r="N324" t="str">
        <f t="shared" si="11"/>
        <v>Liberica</v>
      </c>
      <c r="O324" t="str" cm="1">
        <f t="array" ref="O324">_xlfn.IFS(J324="M", "Medium", J324="L", "Light", J324="D", "Dark")</f>
        <v>Dark</v>
      </c>
      <c r="P324" t="str">
        <f>_xlfn.XLOOKUP(Orders[[#This Row],[Customer ID]], customers!$A$2:$A$1001, customers!$I$2:$I$1001, 0)</f>
        <v>No</v>
      </c>
    </row>
    <row r="325" spans="1:16" x14ac:dyDescent="0.35">
      <c r="A325" s="2" t="s">
        <v>2313</v>
      </c>
      <c r="B325" s="3">
        <v>44373</v>
      </c>
      <c r="C325" s="2" t="s">
        <v>2314</v>
      </c>
      <c r="D325" t="s">
        <v>6153</v>
      </c>
      <c r="E325" s="2">
        <v>5</v>
      </c>
      <c r="F325" s="2" t="str" cm="1">
        <f t="array" ref="F325">_xlfn.XLOOKUP(C325, customers!$A$1:A1324, customers!$B$1:B1324, 0)</f>
        <v>Donica Bonhome</v>
      </c>
      <c r="G325" s="2" t="str">
        <f>IF(_xlfn.XLOOKUP(C325, customers!A324:A1324, customers!C324:C1324, 0)=0, "", _xlfn.XLOOKUP(C325, customers!A324:A1324, customers!C324:C1324, 0))</f>
        <v>dbonhome8z@shinystat.com</v>
      </c>
      <c r="H325" s="2" t="str" cm="1">
        <f t="array" ref="H325">_xlfn.XLOOKUP(C325, customers!$A$1:A1324, customers!$G$1:G1324,, 0)</f>
        <v>United States</v>
      </c>
      <c r="I325" t="str" cm="1">
        <f t="array" ref="I325">_xlfn.XLOOKUP(orders!D325, products!$A$1:A372, products!$B$1:B372, 0)</f>
        <v>Exc</v>
      </c>
      <c r="J325" t="str" cm="1">
        <f t="array" ref="J325">_xlfn.XLOOKUP(D325, products!$A$1:A372, products!$C$1:C372, 0)</f>
        <v>D</v>
      </c>
      <c r="K325" s="4" cm="1">
        <f t="array" ref="K325">_xlfn.XLOOKUP(D325, products!$A$1:A372, products!$D$1:D372, 0)</f>
        <v>0.2</v>
      </c>
      <c r="L325" s="4" cm="1">
        <f t="array" ref="L325">_xlfn.XLOOKUP(D325, products!$A$1:A372, products!$E$1:E372)</f>
        <v>3.645</v>
      </c>
      <c r="M325">
        <f t="shared" si="10"/>
        <v>18.225000000000001</v>
      </c>
      <c r="N325" t="str">
        <f t="shared" si="11"/>
        <v>Excelsa</v>
      </c>
      <c r="O325" t="str" cm="1">
        <f t="array" ref="O325">_xlfn.IFS(J325="M", "Medium", J325="L", "Light", J325="D", "Dark")</f>
        <v>Dark</v>
      </c>
      <c r="P325" t="str">
        <f>_xlfn.XLOOKUP(Orders[[#This Row],[Customer ID]], customers!$A$2:$A$1001, customers!$I$2:$I$1001, 0)</f>
        <v>Yes</v>
      </c>
    </row>
    <row r="326" spans="1:16" x14ac:dyDescent="0.35">
      <c r="A326" s="2" t="s">
        <v>2319</v>
      </c>
      <c r="B326" s="3">
        <v>43666</v>
      </c>
      <c r="C326" s="2" t="s">
        <v>2320</v>
      </c>
      <c r="D326" t="s">
        <v>6141</v>
      </c>
      <c r="E326" s="2">
        <v>1</v>
      </c>
      <c r="F326" s="2" t="str" cm="1">
        <f t="array" ref="F326">_xlfn.XLOOKUP(C326, customers!$A$1:A1325, customers!$B$1:B1325, 0)</f>
        <v>Diena Peetermann</v>
      </c>
      <c r="G326" s="2" t="str">
        <f>IF(_xlfn.XLOOKUP(C326, customers!A325:A1325, customers!C325:C1325, 0)=0, "", _xlfn.XLOOKUP(C326, customers!A325:A1325, customers!C325:C1325, 0))</f>
        <v/>
      </c>
      <c r="H326" s="2" t="str" cm="1">
        <f t="array" ref="H326">_xlfn.XLOOKUP(C326, customers!$A$1:A1325, customers!$G$1:G1325,, 0)</f>
        <v>United States</v>
      </c>
      <c r="I326" t="str" cm="1">
        <f t="array" ref="I326">_xlfn.XLOOKUP(orders!D326, products!$A$1:A373, products!$B$1:B373, 0)</f>
        <v>Exc</v>
      </c>
      <c r="J326" t="str" cm="1">
        <f t="array" ref="J326">_xlfn.XLOOKUP(D326, products!$A$1:A373, products!$C$1:C373, 0)</f>
        <v>M</v>
      </c>
      <c r="K326" s="4" cm="1">
        <f t="array" ref="K326">_xlfn.XLOOKUP(D326, products!$A$1:A373, products!$D$1:D373, 0)</f>
        <v>1</v>
      </c>
      <c r="L326" s="4" cm="1">
        <f t="array" ref="L326">_xlfn.XLOOKUP(D326, products!$A$1:A373, products!$E$1:E373)</f>
        <v>13.75</v>
      </c>
      <c r="M326">
        <f t="shared" si="10"/>
        <v>13.75</v>
      </c>
      <c r="N326" t="str">
        <f t="shared" si="11"/>
        <v>Excelsa</v>
      </c>
      <c r="O326" t="str" cm="1">
        <f t="array" ref="O326">_xlfn.IFS(J326="M", "Medium", J326="L", "Light", J326="D", "Dark")</f>
        <v>Medium</v>
      </c>
      <c r="P326" t="str">
        <f>_xlfn.XLOOKUP(Orders[[#This Row],[Customer ID]], customers!$A$2:$A$1001, customers!$I$2:$I$1001, 0)</f>
        <v>No</v>
      </c>
    </row>
    <row r="327" spans="1:16" x14ac:dyDescent="0.35">
      <c r="A327" s="2" t="s">
        <v>2324</v>
      </c>
      <c r="B327" s="3">
        <v>44756</v>
      </c>
      <c r="C327" s="2" t="s">
        <v>2325</v>
      </c>
      <c r="D327" t="s">
        <v>6182</v>
      </c>
      <c r="E327" s="2">
        <v>1</v>
      </c>
      <c r="F327" s="2" t="str" cm="1">
        <f t="array" ref="F327">_xlfn.XLOOKUP(C327, customers!$A$1:A1326, customers!$B$1:B1326, 0)</f>
        <v>Trina Le Sarr</v>
      </c>
      <c r="G327" s="2" t="str">
        <f>IF(_xlfn.XLOOKUP(C327, customers!A326:A1326, customers!C326:C1326, 0)=0, "", _xlfn.XLOOKUP(C327, customers!A326:A1326, customers!C326:C1326, 0))</f>
        <v>tle91@epa.gov</v>
      </c>
      <c r="H327" s="2" t="str" cm="1">
        <f t="array" ref="H327">_xlfn.XLOOKUP(C327, customers!$A$1:A1326, customers!$G$1:G1326,, 0)</f>
        <v>United States</v>
      </c>
      <c r="I327" t="str" cm="1">
        <f t="array" ref="I327">_xlfn.XLOOKUP(orders!D327, products!$A$1:A374, products!$B$1:B374, 0)</f>
        <v>Ara</v>
      </c>
      <c r="J327" t="str" cm="1">
        <f t="array" ref="J327">_xlfn.XLOOKUP(D327, products!$A$1:A374, products!$C$1:C374, 0)</f>
        <v>L</v>
      </c>
      <c r="K327" s="4" cm="1">
        <f t="array" ref="K327">_xlfn.XLOOKUP(D327, products!$A$1:A374, products!$D$1:D374, 0)</f>
        <v>2.5</v>
      </c>
      <c r="L327" s="4" cm="1">
        <f t="array" ref="L327">_xlfn.XLOOKUP(D327, products!$A$1:A374, products!$E$1:E374)</f>
        <v>29.784999999999997</v>
      </c>
      <c r="M327">
        <f t="shared" si="10"/>
        <v>29.784999999999997</v>
      </c>
      <c r="N327" t="str">
        <f t="shared" si="11"/>
        <v>Arabica</v>
      </c>
      <c r="O327" t="str" cm="1">
        <f t="array" ref="O327">_xlfn.IFS(J327="M", "Medium", J327="L", "Light", J327="D", "Dark")</f>
        <v>Light</v>
      </c>
      <c r="P327" t="str">
        <f>_xlfn.XLOOKUP(Orders[[#This Row],[Customer ID]], customers!$A$2:$A$1001, customers!$I$2:$I$1001, 0)</f>
        <v>Yes</v>
      </c>
    </row>
    <row r="328" spans="1:16" x14ac:dyDescent="0.35">
      <c r="A328" s="2" t="s">
        <v>2330</v>
      </c>
      <c r="B328" s="3">
        <v>44057</v>
      </c>
      <c r="C328" s="2" t="s">
        <v>2331</v>
      </c>
      <c r="D328" t="s">
        <v>6177</v>
      </c>
      <c r="E328" s="2">
        <v>5</v>
      </c>
      <c r="F328" s="2" t="str" cm="1">
        <f t="array" ref="F328">_xlfn.XLOOKUP(C328, customers!$A$1:A1327, customers!$B$1:B1327, 0)</f>
        <v>Flynn Antony</v>
      </c>
      <c r="G328" s="2" t="str">
        <f>IF(_xlfn.XLOOKUP(C328, customers!A327:A1327, customers!C327:C1327, 0)=0, "", _xlfn.XLOOKUP(C328, customers!A327:A1327, customers!C327:C1327, 0))</f>
        <v/>
      </c>
      <c r="H328" s="2" t="str" cm="1">
        <f t="array" ref="H328">_xlfn.XLOOKUP(C328, customers!$A$1:A1327, customers!$G$1:G1327,, 0)</f>
        <v>United States</v>
      </c>
      <c r="I328" t="str" cm="1">
        <f t="array" ref="I328">_xlfn.XLOOKUP(orders!D328, products!$A$1:A375, products!$B$1:B375, 0)</f>
        <v>Rob</v>
      </c>
      <c r="J328" t="str" cm="1">
        <f t="array" ref="J328">_xlfn.XLOOKUP(D328, products!$A$1:A375, products!$C$1:C375, 0)</f>
        <v>D</v>
      </c>
      <c r="K328" s="4" cm="1">
        <f t="array" ref="K328">_xlfn.XLOOKUP(D328, products!$A$1:A375, products!$D$1:D375, 0)</f>
        <v>1</v>
      </c>
      <c r="L328" s="4" cm="1">
        <f t="array" ref="L328">_xlfn.XLOOKUP(D328, products!$A$1:A375, products!$E$1:E375)</f>
        <v>8.9499999999999993</v>
      </c>
      <c r="M328">
        <f t="shared" si="10"/>
        <v>44.75</v>
      </c>
      <c r="N328" t="str">
        <f t="shared" si="11"/>
        <v>Robusta</v>
      </c>
      <c r="O328" t="str" cm="1">
        <f t="array" ref="O328">_xlfn.IFS(J328="M", "Medium", J328="L", "Light", J328="D", "Dark")</f>
        <v>Dark</v>
      </c>
      <c r="P328" t="str">
        <f>_xlfn.XLOOKUP(Orders[[#This Row],[Customer ID]], customers!$A$2:$A$1001, customers!$I$2:$I$1001, 0)</f>
        <v>No</v>
      </c>
    </row>
    <row r="329" spans="1:16" x14ac:dyDescent="0.35">
      <c r="A329" s="2" t="s">
        <v>2335</v>
      </c>
      <c r="B329" s="3">
        <v>43579</v>
      </c>
      <c r="C329" s="2" t="s">
        <v>2336</v>
      </c>
      <c r="D329" t="s">
        <v>6177</v>
      </c>
      <c r="E329" s="2">
        <v>5</v>
      </c>
      <c r="F329" s="2" t="str" cm="1">
        <f t="array" ref="F329">_xlfn.XLOOKUP(C329, customers!$A$1:A1328, customers!$B$1:B1328, 0)</f>
        <v>Baudoin Alldridge</v>
      </c>
      <c r="G329" s="2" t="str">
        <f>IF(_xlfn.XLOOKUP(C329, customers!A328:A1328, customers!C328:C1328, 0)=0, "", _xlfn.XLOOKUP(C329, customers!A328:A1328, customers!C328:C1328, 0))</f>
        <v>balldridge93@yandex.ru</v>
      </c>
      <c r="H329" s="2" t="str" cm="1">
        <f t="array" ref="H329">_xlfn.XLOOKUP(C329, customers!$A$1:A1328, customers!$G$1:G1328,, 0)</f>
        <v>United States</v>
      </c>
      <c r="I329" t="str" cm="1">
        <f t="array" ref="I329">_xlfn.XLOOKUP(orders!D329, products!$A$1:A376, products!$B$1:B376, 0)</f>
        <v>Rob</v>
      </c>
      <c r="J329" t="str" cm="1">
        <f t="array" ref="J329">_xlfn.XLOOKUP(D329, products!$A$1:A376, products!$C$1:C376, 0)</f>
        <v>D</v>
      </c>
      <c r="K329" s="4" cm="1">
        <f t="array" ref="K329">_xlfn.XLOOKUP(D329, products!$A$1:A376, products!$D$1:D376, 0)</f>
        <v>1</v>
      </c>
      <c r="L329" s="4" cm="1">
        <f t="array" ref="L329">_xlfn.XLOOKUP(D329, products!$A$1:A376, products!$E$1:E376)</f>
        <v>8.9499999999999993</v>
      </c>
      <c r="M329">
        <f t="shared" si="10"/>
        <v>44.75</v>
      </c>
      <c r="N329" t="str">
        <f t="shared" si="11"/>
        <v>Robusta</v>
      </c>
      <c r="O329" t="str" cm="1">
        <f t="array" ref="O329">_xlfn.IFS(J329="M", "Medium", J329="L", "Light", J329="D", "Dark")</f>
        <v>Dark</v>
      </c>
      <c r="P329" t="str">
        <f>_xlfn.XLOOKUP(Orders[[#This Row],[Customer ID]], customers!$A$2:$A$1001, customers!$I$2:$I$1001, 0)</f>
        <v>Yes</v>
      </c>
    </row>
    <row r="330" spans="1:16" x14ac:dyDescent="0.35">
      <c r="A330" s="2" t="s">
        <v>2341</v>
      </c>
      <c r="B330" s="3">
        <v>43620</v>
      </c>
      <c r="C330" s="2" t="s">
        <v>2342</v>
      </c>
      <c r="D330" t="s">
        <v>6161</v>
      </c>
      <c r="E330" s="2">
        <v>4</v>
      </c>
      <c r="F330" s="2" t="str" cm="1">
        <f t="array" ref="F330">_xlfn.XLOOKUP(C330, customers!$A$1:A1329, customers!$B$1:B1329, 0)</f>
        <v>Homer Dulany</v>
      </c>
      <c r="G330" s="2" t="str">
        <f>IF(_xlfn.XLOOKUP(C330, customers!A329:A1329, customers!C329:C1329, 0)=0, "", _xlfn.XLOOKUP(C330, customers!A329:A1329, customers!C329:C1329, 0))</f>
        <v/>
      </c>
      <c r="H330" s="2" t="str" cm="1">
        <f t="array" ref="H330">_xlfn.XLOOKUP(C330, customers!$A$1:A1329, customers!$G$1:G1329,, 0)</f>
        <v>United States</v>
      </c>
      <c r="I330" t="str" cm="1">
        <f t="array" ref="I330">_xlfn.XLOOKUP(orders!D330, products!$A$1:A377, products!$B$1:B377, 0)</f>
        <v>Lib</v>
      </c>
      <c r="J330" t="str" cm="1">
        <f t="array" ref="J330">_xlfn.XLOOKUP(D330, products!$A$1:A377, products!$C$1:C377, 0)</f>
        <v>L</v>
      </c>
      <c r="K330" s="4" cm="1">
        <f t="array" ref="K330">_xlfn.XLOOKUP(D330, products!$A$1:A377, products!$D$1:D377, 0)</f>
        <v>0.5</v>
      </c>
      <c r="L330" s="4" cm="1">
        <f t="array" ref="L330">_xlfn.XLOOKUP(D330, products!$A$1:A377, products!$E$1:E377)</f>
        <v>9.51</v>
      </c>
      <c r="M330">
        <f t="shared" si="10"/>
        <v>38.04</v>
      </c>
      <c r="N330" t="str">
        <f t="shared" si="11"/>
        <v>Liberica</v>
      </c>
      <c r="O330" t="str" cm="1">
        <f t="array" ref="O330">_xlfn.IFS(J330="M", "Medium", J330="L", "Light", J330="D", "Dark")</f>
        <v>Light</v>
      </c>
      <c r="P330" t="str">
        <f>_xlfn.XLOOKUP(Orders[[#This Row],[Customer ID]], customers!$A$2:$A$1001, customers!$I$2:$I$1001, 0)</f>
        <v>Yes</v>
      </c>
    </row>
    <row r="331" spans="1:16" x14ac:dyDescent="0.35">
      <c r="A331" s="2" t="s">
        <v>2346</v>
      </c>
      <c r="B331" s="3">
        <v>44781</v>
      </c>
      <c r="C331" s="2" t="s">
        <v>2347</v>
      </c>
      <c r="D331" t="s">
        <v>6172</v>
      </c>
      <c r="E331" s="2">
        <v>4</v>
      </c>
      <c r="F331" s="2" t="str" cm="1">
        <f t="array" ref="F331">_xlfn.XLOOKUP(C331, customers!$A$1:A1330, customers!$B$1:B1330, 0)</f>
        <v>Lisa Goodger</v>
      </c>
      <c r="G331" s="2" t="str">
        <f>IF(_xlfn.XLOOKUP(C331, customers!A330:A1330, customers!C330:C1330, 0)=0, "", _xlfn.XLOOKUP(C331, customers!A330:A1330, customers!C330:C1330, 0))</f>
        <v>lgoodger95@guardian.co.uk</v>
      </c>
      <c r="H331" s="2" t="str" cm="1">
        <f t="array" ref="H331">_xlfn.XLOOKUP(C331, customers!$A$1:A1330, customers!$G$1:G1330,, 0)</f>
        <v>United States</v>
      </c>
      <c r="I331" t="str" cm="1">
        <f t="array" ref="I331">_xlfn.XLOOKUP(orders!D331, products!$A$1:A378, products!$B$1:B378, 0)</f>
        <v>Rob</v>
      </c>
      <c r="J331" t="str" cm="1">
        <f t="array" ref="J331">_xlfn.XLOOKUP(D331, products!$A$1:A378, products!$C$1:C378, 0)</f>
        <v>D</v>
      </c>
      <c r="K331" s="4" cm="1">
        <f t="array" ref="K331">_xlfn.XLOOKUP(D331, products!$A$1:A378, products!$D$1:D378, 0)</f>
        <v>0.5</v>
      </c>
      <c r="L331" s="4" cm="1">
        <f t="array" ref="L331">_xlfn.XLOOKUP(D331, products!$A$1:A378, products!$E$1:E378)</f>
        <v>5.3699999999999992</v>
      </c>
      <c r="M331">
        <f t="shared" si="10"/>
        <v>21.479999999999997</v>
      </c>
      <c r="N331" t="str">
        <f t="shared" si="11"/>
        <v>Robusta</v>
      </c>
      <c r="O331" t="str" cm="1">
        <f t="array" ref="O331">_xlfn.IFS(J331="M", "Medium", J331="L", "Light", J331="D", "Dark")</f>
        <v>Dark</v>
      </c>
      <c r="P331" t="str">
        <f>_xlfn.XLOOKUP(Orders[[#This Row],[Customer ID]], customers!$A$2:$A$1001, customers!$I$2:$I$1001, 0)</f>
        <v>Yes</v>
      </c>
    </row>
    <row r="332" spans="1:16" x14ac:dyDescent="0.35">
      <c r="A332" s="2" t="s">
        <v>2351</v>
      </c>
      <c r="B332" s="3">
        <v>43782</v>
      </c>
      <c r="C332" s="2" t="s">
        <v>2280</v>
      </c>
      <c r="D332" t="s">
        <v>6172</v>
      </c>
      <c r="E332" s="2">
        <v>3</v>
      </c>
      <c r="F332" s="2" t="str" cm="1">
        <f t="array" ref="F332">_xlfn.XLOOKUP(C332, customers!$A$1:A1331, customers!$B$1:B1331, 0)</f>
        <v>Selma McMillian</v>
      </c>
      <c r="G332" s="2" t="str">
        <f>IF(_xlfn.XLOOKUP(C332, customers!A331:A1331, customers!C331:C1331, 0)=0, "", _xlfn.XLOOKUP(C332, customers!A331:A1331, customers!C331:C1331, 0))</f>
        <v/>
      </c>
      <c r="H332" s="2" t="str" cm="1">
        <f t="array" ref="H332">_xlfn.XLOOKUP(C332, customers!$A$1:A1331, customers!$G$1:G1331,, 0)</f>
        <v>United States</v>
      </c>
      <c r="I332" t="str" cm="1">
        <f t="array" ref="I332">_xlfn.XLOOKUP(orders!D332, products!$A$1:A379, products!$B$1:B379, 0)</f>
        <v>Rob</v>
      </c>
      <c r="J332" t="str" cm="1">
        <f t="array" ref="J332">_xlfn.XLOOKUP(D332, products!$A$1:A379, products!$C$1:C379, 0)</f>
        <v>D</v>
      </c>
      <c r="K332" s="4" cm="1">
        <f t="array" ref="K332">_xlfn.XLOOKUP(D332, products!$A$1:A379, products!$D$1:D379, 0)</f>
        <v>0.5</v>
      </c>
      <c r="L332" s="4" cm="1">
        <f t="array" ref="L332">_xlfn.XLOOKUP(D332, products!$A$1:A379, products!$E$1:E379)</f>
        <v>5.3699999999999992</v>
      </c>
      <c r="M332">
        <f t="shared" si="10"/>
        <v>16.11</v>
      </c>
      <c r="N332" t="str">
        <f t="shared" si="11"/>
        <v>Robusta</v>
      </c>
      <c r="O332" t="str" cm="1">
        <f t="array" ref="O332">_xlfn.IFS(J332="M", "Medium", J332="L", "Light", J332="D", "Dark")</f>
        <v>Dark</v>
      </c>
      <c r="P332" t="str">
        <f>_xlfn.XLOOKUP(Orders[[#This Row],[Customer ID]], customers!$A$2:$A$1001, customers!$I$2:$I$1001, 0)</f>
        <v>No</v>
      </c>
    </row>
    <row r="333" spans="1:16" x14ac:dyDescent="0.35">
      <c r="A333" s="2" t="s">
        <v>2357</v>
      </c>
      <c r="B333" s="3">
        <v>43989</v>
      </c>
      <c r="C333" s="2" t="s">
        <v>2358</v>
      </c>
      <c r="D333" t="s">
        <v>6151</v>
      </c>
      <c r="E333" s="2">
        <v>1</v>
      </c>
      <c r="F333" s="2" t="str" cm="1">
        <f t="array" ref="F333">_xlfn.XLOOKUP(C333, customers!$A$1:A1332, customers!$B$1:B1332, 0)</f>
        <v>Corine Drewett</v>
      </c>
      <c r="G333" s="2" t="str">
        <f>IF(_xlfn.XLOOKUP(C333, customers!A332:A1332, customers!C332:C1332, 0)=0, "", _xlfn.XLOOKUP(C333, customers!A332:A1332, customers!C332:C1332, 0))</f>
        <v>cdrewett97@wikipedia.org</v>
      </c>
      <c r="H333" s="2" t="str" cm="1">
        <f t="array" ref="H333">_xlfn.XLOOKUP(C333, customers!$A$1:A1332, customers!$G$1:G1332,, 0)</f>
        <v>United States</v>
      </c>
      <c r="I333" t="str" cm="1">
        <f t="array" ref="I333">_xlfn.XLOOKUP(orders!D333, products!$A$1:A380, products!$B$1:B380, 0)</f>
        <v>Rob</v>
      </c>
      <c r="J333" t="str" cm="1">
        <f t="array" ref="J333">_xlfn.XLOOKUP(D333, products!$A$1:A380, products!$C$1:C380, 0)</f>
        <v>M</v>
      </c>
      <c r="K333" s="4" cm="1">
        <f t="array" ref="K333">_xlfn.XLOOKUP(D333, products!$A$1:A380, products!$D$1:D380, 0)</f>
        <v>2.5</v>
      </c>
      <c r="L333" s="4" cm="1">
        <f t="array" ref="L333">_xlfn.XLOOKUP(D333, products!$A$1:A380, products!$E$1:E380)</f>
        <v>22.884999999999998</v>
      </c>
      <c r="M333">
        <f t="shared" si="10"/>
        <v>22.884999999999998</v>
      </c>
      <c r="N333" t="str">
        <f t="shared" si="11"/>
        <v>Robusta</v>
      </c>
      <c r="O333" t="str" cm="1">
        <f t="array" ref="O333">_xlfn.IFS(J333="M", "Medium", J333="L", "Light", J333="D", "Dark")</f>
        <v>Medium</v>
      </c>
      <c r="P333" t="str">
        <f>_xlfn.XLOOKUP(Orders[[#This Row],[Customer ID]], customers!$A$2:$A$1001, customers!$I$2:$I$1001, 0)</f>
        <v>Yes</v>
      </c>
    </row>
    <row r="334" spans="1:16" x14ac:dyDescent="0.35">
      <c r="A334" s="2" t="s">
        <v>2363</v>
      </c>
      <c r="B334" s="3">
        <v>43689</v>
      </c>
      <c r="C334" s="2" t="s">
        <v>2364</v>
      </c>
      <c r="D334" t="s">
        <v>6158</v>
      </c>
      <c r="E334" s="2">
        <v>3</v>
      </c>
      <c r="F334" s="2" t="str" cm="1">
        <f t="array" ref="F334">_xlfn.XLOOKUP(C334, customers!$A$1:A1333, customers!$B$1:B1333, 0)</f>
        <v>Quinn Parsons</v>
      </c>
      <c r="G334" s="2" t="str">
        <f>IF(_xlfn.XLOOKUP(C334, customers!A333:A1333, customers!C333:C1333, 0)=0, "", _xlfn.XLOOKUP(C334, customers!A333:A1333, customers!C333:C1333, 0))</f>
        <v>qparsons98@blogtalkradio.com</v>
      </c>
      <c r="H334" s="2" t="str" cm="1">
        <f t="array" ref="H334">_xlfn.XLOOKUP(C334, customers!$A$1:A1333, customers!$G$1:G1333,, 0)</f>
        <v>United States</v>
      </c>
      <c r="I334" t="str" cm="1">
        <f t="array" ref="I334">_xlfn.XLOOKUP(orders!D334, products!$A$1:A381, products!$B$1:B381, 0)</f>
        <v>Ara</v>
      </c>
      <c r="J334" t="str" cm="1">
        <f t="array" ref="J334">_xlfn.XLOOKUP(D334, products!$A$1:A381, products!$C$1:C381, 0)</f>
        <v>D</v>
      </c>
      <c r="K334" s="4" cm="1">
        <f t="array" ref="K334">_xlfn.XLOOKUP(D334, products!$A$1:A381, products!$D$1:D381, 0)</f>
        <v>0.5</v>
      </c>
      <c r="L334" s="4" cm="1">
        <f t="array" ref="L334">_xlfn.XLOOKUP(D334, products!$A$1:A381, products!$E$1:E381)</f>
        <v>5.97</v>
      </c>
      <c r="M334">
        <f t="shared" si="10"/>
        <v>17.91</v>
      </c>
      <c r="N334" t="str">
        <f t="shared" si="11"/>
        <v>Arabica</v>
      </c>
      <c r="O334" t="str" cm="1">
        <f t="array" ref="O334">_xlfn.IFS(J334="M", "Medium", J334="L", "Light", J334="D", "Dark")</f>
        <v>Dark</v>
      </c>
      <c r="P334" t="str">
        <f>_xlfn.XLOOKUP(Orders[[#This Row],[Customer ID]], customers!$A$2:$A$1001, customers!$I$2:$I$1001, 0)</f>
        <v>Yes</v>
      </c>
    </row>
    <row r="335" spans="1:16" x14ac:dyDescent="0.35">
      <c r="A335" s="2" t="s">
        <v>2369</v>
      </c>
      <c r="B335" s="3">
        <v>43712</v>
      </c>
      <c r="C335" s="2" t="s">
        <v>2370</v>
      </c>
      <c r="D335" t="s">
        <v>6146</v>
      </c>
      <c r="E335" s="2">
        <v>4</v>
      </c>
      <c r="F335" s="2" t="str" cm="1">
        <f t="array" ref="F335">_xlfn.XLOOKUP(C335, customers!$A$1:A1334, customers!$B$1:B1334, 0)</f>
        <v>Vivyan Ceely</v>
      </c>
      <c r="G335" s="2" t="str">
        <f>IF(_xlfn.XLOOKUP(C335, customers!A334:A1334, customers!C334:C1334, 0)=0, "", _xlfn.XLOOKUP(C335, customers!A334:A1334, customers!C334:C1334, 0))</f>
        <v>vceely99@auda.org.au</v>
      </c>
      <c r="H335" s="2" t="str" cm="1">
        <f t="array" ref="H335">_xlfn.XLOOKUP(C335, customers!$A$1:A1334, customers!$G$1:G1334,, 0)</f>
        <v>United States</v>
      </c>
      <c r="I335" t="str" cm="1">
        <f t="array" ref="I335">_xlfn.XLOOKUP(orders!D335, products!$A$1:A382, products!$B$1:B382, 0)</f>
        <v>Rob</v>
      </c>
      <c r="J335" t="str" cm="1">
        <f t="array" ref="J335">_xlfn.XLOOKUP(D335, products!$A$1:A382, products!$C$1:C382, 0)</f>
        <v>M</v>
      </c>
      <c r="K335" s="4" cm="1">
        <f t="array" ref="K335">_xlfn.XLOOKUP(D335, products!$A$1:A382, products!$D$1:D382, 0)</f>
        <v>0.5</v>
      </c>
      <c r="L335" s="4" cm="1">
        <f t="array" ref="L335">_xlfn.XLOOKUP(D335, products!$A$1:A382, products!$E$1:E382)</f>
        <v>5.97</v>
      </c>
      <c r="M335">
        <f t="shared" si="10"/>
        <v>23.88</v>
      </c>
      <c r="N335" t="str">
        <f t="shared" si="11"/>
        <v>Robusta</v>
      </c>
      <c r="O335" t="str" cm="1">
        <f t="array" ref="O335">_xlfn.IFS(J335="M", "Medium", J335="L", "Light", J335="D", "Dark")</f>
        <v>Medium</v>
      </c>
      <c r="P335" t="str">
        <f>_xlfn.XLOOKUP(Orders[[#This Row],[Customer ID]], customers!$A$2:$A$1001, customers!$I$2:$I$1001, 0)</f>
        <v>Yes</v>
      </c>
    </row>
    <row r="336" spans="1:16" x14ac:dyDescent="0.35">
      <c r="A336" s="2" t="s">
        <v>2375</v>
      </c>
      <c r="B336" s="3">
        <v>43742</v>
      </c>
      <c r="C336" s="2" t="s">
        <v>2376</v>
      </c>
      <c r="D336" t="s">
        <v>6179</v>
      </c>
      <c r="E336" s="2">
        <v>5</v>
      </c>
      <c r="F336" s="2" t="str" cm="1">
        <f t="array" ref="F336">_xlfn.XLOOKUP(C336, customers!$A$1:A1335, customers!$B$1:B1335, 0)</f>
        <v>Elonore Goodings</v>
      </c>
      <c r="G336" s="2" t="str">
        <f>IF(_xlfn.XLOOKUP(C336, customers!A335:A1335, customers!C335:C1335, 0)=0, "", _xlfn.XLOOKUP(C336, customers!A335:A1335, customers!C335:C1335, 0))</f>
        <v/>
      </c>
      <c r="H336" s="2" t="str" cm="1">
        <f t="array" ref="H336">_xlfn.XLOOKUP(C336, customers!$A$1:A1335, customers!$G$1:G1335,, 0)</f>
        <v>United States</v>
      </c>
      <c r="I336" t="str" cm="1">
        <f t="array" ref="I336">_xlfn.XLOOKUP(orders!D336, products!$A$1:A383, products!$B$1:B383, 0)</f>
        <v>Rob</v>
      </c>
      <c r="J336" t="str" cm="1">
        <f t="array" ref="J336">_xlfn.XLOOKUP(D336, products!$A$1:A383, products!$C$1:C383, 0)</f>
        <v>L</v>
      </c>
      <c r="K336" s="4" cm="1">
        <f t="array" ref="K336">_xlfn.XLOOKUP(D336, products!$A$1:A383, products!$D$1:D383, 0)</f>
        <v>1</v>
      </c>
      <c r="L336" s="4" cm="1">
        <f t="array" ref="L336">_xlfn.XLOOKUP(D336, products!$A$1:A383, products!$E$1:E383)</f>
        <v>11.95</v>
      </c>
      <c r="M336">
        <f t="shared" si="10"/>
        <v>59.75</v>
      </c>
      <c r="N336" t="str">
        <f t="shared" si="11"/>
        <v>Robusta</v>
      </c>
      <c r="O336" t="str" cm="1">
        <f t="array" ref="O336">_xlfn.IFS(J336="M", "Medium", J336="L", "Light", J336="D", "Dark")</f>
        <v>Light</v>
      </c>
      <c r="P336" t="str">
        <f>_xlfn.XLOOKUP(Orders[[#This Row],[Customer ID]], customers!$A$2:$A$1001, customers!$I$2:$I$1001, 0)</f>
        <v>No</v>
      </c>
    </row>
    <row r="337" spans="1:16" x14ac:dyDescent="0.35">
      <c r="A337" s="2" t="s">
        <v>2379</v>
      </c>
      <c r="B337" s="3">
        <v>43885</v>
      </c>
      <c r="C337" s="2" t="s">
        <v>2380</v>
      </c>
      <c r="D337" t="s">
        <v>6145</v>
      </c>
      <c r="E337" s="2">
        <v>6</v>
      </c>
      <c r="F337" s="2" t="str" cm="1">
        <f t="array" ref="F337">_xlfn.XLOOKUP(C337, customers!$A$1:A1336, customers!$B$1:B1336, 0)</f>
        <v>Clement Vasiliev</v>
      </c>
      <c r="G337" s="2" t="str">
        <f>IF(_xlfn.XLOOKUP(C337, customers!A336:A1336, customers!C336:C1336, 0)=0, "", _xlfn.XLOOKUP(C337, customers!A336:A1336, customers!C336:C1336, 0))</f>
        <v>cvasiliev9b@discuz.net</v>
      </c>
      <c r="H337" s="2" t="str" cm="1">
        <f t="array" ref="H337">_xlfn.XLOOKUP(C337, customers!$A$1:A1336, customers!$G$1:G1336,, 0)</f>
        <v>United States</v>
      </c>
      <c r="I337" t="str" cm="1">
        <f t="array" ref="I337">_xlfn.XLOOKUP(orders!D337, products!$A$1:A384, products!$B$1:B384, 0)</f>
        <v>Lib</v>
      </c>
      <c r="J337" t="str" cm="1">
        <f t="array" ref="J337">_xlfn.XLOOKUP(D337, products!$A$1:A384, products!$C$1:C384, 0)</f>
        <v>L</v>
      </c>
      <c r="K337" s="4" cm="1">
        <f t="array" ref="K337">_xlfn.XLOOKUP(D337, products!$A$1:A384, products!$D$1:D384, 0)</f>
        <v>0.2</v>
      </c>
      <c r="L337" s="4" cm="1">
        <f t="array" ref="L337">_xlfn.XLOOKUP(D337, products!$A$1:A384, products!$E$1:E384)</f>
        <v>4.7549999999999999</v>
      </c>
      <c r="M337">
        <f t="shared" si="10"/>
        <v>28.53</v>
      </c>
      <c r="N337" t="str">
        <f t="shared" si="11"/>
        <v>Liberica</v>
      </c>
      <c r="O337" t="str" cm="1">
        <f t="array" ref="O337">_xlfn.IFS(J337="M", "Medium", J337="L", "Light", J337="D", "Dark")</f>
        <v>Light</v>
      </c>
      <c r="P337" t="str">
        <f>_xlfn.XLOOKUP(Orders[[#This Row],[Customer ID]], customers!$A$2:$A$1001, customers!$I$2:$I$1001, 0)</f>
        <v>Yes</v>
      </c>
    </row>
    <row r="338" spans="1:16" x14ac:dyDescent="0.35">
      <c r="A338" s="2" t="s">
        <v>2385</v>
      </c>
      <c r="B338" s="3">
        <v>44434</v>
      </c>
      <c r="C338" s="2" t="s">
        <v>2386</v>
      </c>
      <c r="D338" t="s">
        <v>6155</v>
      </c>
      <c r="E338" s="2">
        <v>4</v>
      </c>
      <c r="F338" s="2" t="str" cm="1">
        <f t="array" ref="F338">_xlfn.XLOOKUP(C338, customers!$A$1:A1337, customers!$B$1:B1337, 0)</f>
        <v>Terencio O'Moylan</v>
      </c>
      <c r="G338" s="2" t="str">
        <f>IF(_xlfn.XLOOKUP(C338, customers!A337:A1337, customers!C337:C1337, 0)=0, "", _xlfn.XLOOKUP(C338, customers!A337:A1337, customers!C337:C1337, 0))</f>
        <v>tomoylan9c@liveinternet.ru</v>
      </c>
      <c r="H338" s="2" t="str" cm="1">
        <f t="array" ref="H338">_xlfn.XLOOKUP(C338, customers!$A$1:A1337, customers!$G$1:G1337,, 0)</f>
        <v>United Kingdom</v>
      </c>
      <c r="I338" t="str" cm="1">
        <f t="array" ref="I338">_xlfn.XLOOKUP(orders!D338, products!$A$1:A385, products!$B$1:B385, 0)</f>
        <v>Ara</v>
      </c>
      <c r="J338" t="str" cm="1">
        <f t="array" ref="J338">_xlfn.XLOOKUP(D338, products!$A$1:A385, products!$C$1:C385, 0)</f>
        <v>M</v>
      </c>
      <c r="K338" s="4" cm="1">
        <f t="array" ref="K338">_xlfn.XLOOKUP(D338, products!$A$1:A385, products!$D$1:D385, 0)</f>
        <v>1</v>
      </c>
      <c r="L338" s="4" cm="1">
        <f t="array" ref="L338">_xlfn.XLOOKUP(D338, products!$A$1:A385, products!$E$1:E385)</f>
        <v>11.25</v>
      </c>
      <c r="M338">
        <f t="shared" si="10"/>
        <v>45</v>
      </c>
      <c r="N338" t="str">
        <f t="shared" si="11"/>
        <v>Arabica</v>
      </c>
      <c r="O338" t="str" cm="1">
        <f t="array" ref="O338">_xlfn.IFS(J338="M", "Medium", J338="L", "Light", J338="D", "Dark")</f>
        <v>Medium</v>
      </c>
      <c r="P338" t="str">
        <f>_xlfn.XLOOKUP(Orders[[#This Row],[Customer ID]], customers!$A$2:$A$1001, customers!$I$2:$I$1001, 0)</f>
        <v>No</v>
      </c>
    </row>
    <row r="339" spans="1:16" x14ac:dyDescent="0.35">
      <c r="A339" s="2" t="s">
        <v>2391</v>
      </c>
      <c r="B339" s="3">
        <v>44472</v>
      </c>
      <c r="C339" s="2" t="s">
        <v>2331</v>
      </c>
      <c r="D339" t="s">
        <v>6185</v>
      </c>
      <c r="E339" s="2">
        <v>2</v>
      </c>
      <c r="F339" s="2" t="str" cm="1">
        <f t="array" ref="F339">_xlfn.XLOOKUP(C339, customers!$A$1:A1338, customers!$B$1:B1338, 0)</f>
        <v>Flynn Antony</v>
      </c>
      <c r="G339" s="2" t="str">
        <f>IF(_xlfn.XLOOKUP(C339, customers!A338:A1338, customers!C338:C1338, 0)=0, "", _xlfn.XLOOKUP(C339, customers!A338:A1338, customers!C338:C1338, 0))</f>
        <v/>
      </c>
      <c r="H339" s="2" t="str" cm="1">
        <f t="array" ref="H339">_xlfn.XLOOKUP(C339, customers!$A$1:A1338, customers!$G$1:G1338,, 0)</f>
        <v>United States</v>
      </c>
      <c r="I339" t="str" cm="1">
        <f t="array" ref="I339">_xlfn.XLOOKUP(orders!D339, products!$A$1:A386, products!$B$1:B386, 0)</f>
        <v>Exc</v>
      </c>
      <c r="J339" t="str" cm="1">
        <f t="array" ref="J339">_xlfn.XLOOKUP(D339, products!$A$1:A386, products!$C$1:C386, 0)</f>
        <v>D</v>
      </c>
      <c r="K339" s="4" cm="1">
        <f t="array" ref="K339">_xlfn.XLOOKUP(D339, products!$A$1:A386, products!$D$1:D386, 0)</f>
        <v>2.5</v>
      </c>
      <c r="L339" s="4" cm="1">
        <f t="array" ref="L339">_xlfn.XLOOKUP(D339, products!$A$1:A386, products!$E$1:E386)</f>
        <v>27.945</v>
      </c>
      <c r="M339">
        <f t="shared" si="10"/>
        <v>55.89</v>
      </c>
      <c r="N339" t="str">
        <f t="shared" si="11"/>
        <v>Excelsa</v>
      </c>
      <c r="O339" t="str" cm="1">
        <f t="array" ref="O339">_xlfn.IFS(J339="M", "Medium", J339="L", "Light", J339="D", "Dark")</f>
        <v>Dark</v>
      </c>
      <c r="P339" t="str">
        <f>_xlfn.XLOOKUP(Orders[[#This Row],[Customer ID]], customers!$A$2:$A$1001, customers!$I$2:$I$1001, 0)</f>
        <v>No</v>
      </c>
    </row>
    <row r="340" spans="1:16" x14ac:dyDescent="0.35">
      <c r="A340" s="2" t="s">
        <v>2396</v>
      </c>
      <c r="B340" s="3">
        <v>43995</v>
      </c>
      <c r="C340" s="2" t="s">
        <v>2397</v>
      </c>
      <c r="D340" t="s">
        <v>6171</v>
      </c>
      <c r="E340" s="2">
        <v>4</v>
      </c>
      <c r="F340" s="2" t="str" cm="1">
        <f t="array" ref="F340">_xlfn.XLOOKUP(C340, customers!$A$1:A1339, customers!$B$1:B1339, 0)</f>
        <v>Wyatan Fetherston</v>
      </c>
      <c r="G340" s="2" t="str">
        <f>IF(_xlfn.XLOOKUP(C340, customers!A339:A1339, customers!C339:C1339, 0)=0, "", _xlfn.XLOOKUP(C340, customers!A339:A1339, customers!C339:C1339, 0))</f>
        <v>wfetherston9e@constantcontact.com</v>
      </c>
      <c r="H340" s="2" t="str" cm="1">
        <f t="array" ref="H340">_xlfn.XLOOKUP(C340, customers!$A$1:A1339, customers!$G$1:G1339,, 0)</f>
        <v>United States</v>
      </c>
      <c r="I340" t="str" cm="1">
        <f t="array" ref="I340">_xlfn.XLOOKUP(orders!D340, products!$A$1:A387, products!$B$1:B387, 0)</f>
        <v>Exc</v>
      </c>
      <c r="J340" t="str" cm="1">
        <f t="array" ref="J340">_xlfn.XLOOKUP(D340, products!$A$1:A387, products!$C$1:C387, 0)</f>
        <v>L</v>
      </c>
      <c r="K340" s="4" cm="1">
        <f t="array" ref="K340">_xlfn.XLOOKUP(D340, products!$A$1:A387, products!$D$1:D387, 0)</f>
        <v>1</v>
      </c>
      <c r="L340" s="4" cm="1">
        <f t="array" ref="L340">_xlfn.XLOOKUP(D340, products!$A$1:A387, products!$E$1:E387)</f>
        <v>14.85</v>
      </c>
      <c r="M340">
        <f t="shared" si="10"/>
        <v>59.4</v>
      </c>
      <c r="N340" t="str">
        <f t="shared" si="11"/>
        <v>Excelsa</v>
      </c>
      <c r="O340" t="str" cm="1">
        <f t="array" ref="O340">_xlfn.IFS(J340="M", "Medium", J340="L", "Light", J340="D", "Dark")</f>
        <v>Light</v>
      </c>
      <c r="P340" t="str">
        <f>_xlfn.XLOOKUP(Orders[[#This Row],[Customer ID]], customers!$A$2:$A$1001, customers!$I$2:$I$1001, 0)</f>
        <v>No</v>
      </c>
    </row>
    <row r="341" spans="1:16" x14ac:dyDescent="0.35">
      <c r="A341" s="2" t="s">
        <v>2402</v>
      </c>
      <c r="B341" s="3">
        <v>44256</v>
      </c>
      <c r="C341" s="2" t="s">
        <v>2403</v>
      </c>
      <c r="D341" t="s">
        <v>6153</v>
      </c>
      <c r="E341" s="2">
        <v>2</v>
      </c>
      <c r="F341" s="2" t="str" cm="1">
        <f t="array" ref="F341">_xlfn.XLOOKUP(C341, customers!$A$1:A1340, customers!$B$1:B1340, 0)</f>
        <v>Emmaline Rasmus</v>
      </c>
      <c r="G341" s="2" t="str">
        <f>IF(_xlfn.XLOOKUP(C341, customers!A340:A1340, customers!C340:C1340, 0)=0, "", _xlfn.XLOOKUP(C341, customers!A340:A1340, customers!C340:C1340, 0))</f>
        <v>erasmus9f@techcrunch.com</v>
      </c>
      <c r="H341" s="2" t="str" cm="1">
        <f t="array" ref="H341">_xlfn.XLOOKUP(C341, customers!$A$1:A1340, customers!$G$1:G1340,, 0)</f>
        <v>United States</v>
      </c>
      <c r="I341" t="str" cm="1">
        <f t="array" ref="I341">_xlfn.XLOOKUP(orders!D341, products!$A$1:A388, products!$B$1:B388, 0)</f>
        <v>Exc</v>
      </c>
      <c r="J341" t="str" cm="1">
        <f t="array" ref="J341">_xlfn.XLOOKUP(D341, products!$A$1:A388, products!$C$1:C388, 0)</f>
        <v>D</v>
      </c>
      <c r="K341" s="4" cm="1">
        <f t="array" ref="K341">_xlfn.XLOOKUP(D341, products!$A$1:A388, products!$D$1:D388, 0)</f>
        <v>0.2</v>
      </c>
      <c r="L341" s="4" cm="1">
        <f t="array" ref="L341">_xlfn.XLOOKUP(D341, products!$A$1:A388, products!$E$1:E388)</f>
        <v>3.645</v>
      </c>
      <c r="M341">
        <f t="shared" si="10"/>
        <v>7.29</v>
      </c>
      <c r="N341" t="str">
        <f t="shared" si="11"/>
        <v>Excelsa</v>
      </c>
      <c r="O341" t="str" cm="1">
        <f t="array" ref="O341">_xlfn.IFS(J341="M", "Medium", J341="L", "Light", J341="D", "Dark")</f>
        <v>Dark</v>
      </c>
      <c r="P341" t="str">
        <f>_xlfn.XLOOKUP(Orders[[#This Row],[Customer ID]], customers!$A$2:$A$1001, customers!$I$2:$I$1001, 0)</f>
        <v>Yes</v>
      </c>
    </row>
    <row r="342" spans="1:16" x14ac:dyDescent="0.35">
      <c r="A342" s="2" t="s">
        <v>2408</v>
      </c>
      <c r="B342" s="3">
        <v>43528</v>
      </c>
      <c r="C342" s="2" t="s">
        <v>2409</v>
      </c>
      <c r="D342" t="s">
        <v>6144</v>
      </c>
      <c r="E342" s="2">
        <v>1</v>
      </c>
      <c r="F342" s="2" t="str" cm="1">
        <f t="array" ref="F342">_xlfn.XLOOKUP(C342, customers!$A$1:A1341, customers!$B$1:B1341, 0)</f>
        <v>Wesley Giorgioni</v>
      </c>
      <c r="G342" s="2" t="str">
        <f>IF(_xlfn.XLOOKUP(C342, customers!A341:A1341, customers!C341:C1341, 0)=0, "", _xlfn.XLOOKUP(C342, customers!A341:A1341, customers!C341:C1341, 0))</f>
        <v>wgiorgioni9g@wikipedia.org</v>
      </c>
      <c r="H342" s="2" t="str" cm="1">
        <f t="array" ref="H342">_xlfn.XLOOKUP(C342, customers!$A$1:A1341, customers!$G$1:G1341,, 0)</f>
        <v>United States</v>
      </c>
      <c r="I342" t="str" cm="1">
        <f t="array" ref="I342">_xlfn.XLOOKUP(orders!D342, products!$A$1:A389, products!$B$1:B389, 0)</f>
        <v>Exc</v>
      </c>
      <c r="J342" t="str" cm="1">
        <f t="array" ref="J342">_xlfn.XLOOKUP(D342, products!$A$1:A389, products!$C$1:C389, 0)</f>
        <v>D</v>
      </c>
      <c r="K342" s="4" cm="1">
        <f t="array" ref="K342">_xlfn.XLOOKUP(D342, products!$A$1:A389, products!$D$1:D389, 0)</f>
        <v>0.5</v>
      </c>
      <c r="L342" s="4" cm="1">
        <f t="array" ref="L342">_xlfn.XLOOKUP(D342, products!$A$1:A389, products!$E$1:E389)</f>
        <v>7.29</v>
      </c>
      <c r="M342">
        <f t="shared" si="10"/>
        <v>7.29</v>
      </c>
      <c r="N342" t="str">
        <f t="shared" si="11"/>
        <v>Excelsa</v>
      </c>
      <c r="O342" t="str" cm="1">
        <f t="array" ref="O342">_xlfn.IFS(J342="M", "Medium", J342="L", "Light", J342="D", "Dark")</f>
        <v>Dark</v>
      </c>
      <c r="P342" t="str">
        <f>_xlfn.XLOOKUP(Orders[[#This Row],[Customer ID]], customers!$A$2:$A$1001, customers!$I$2:$I$1001, 0)</f>
        <v>Yes</v>
      </c>
    </row>
    <row r="343" spans="1:16" x14ac:dyDescent="0.35">
      <c r="A343" s="2" t="s">
        <v>2414</v>
      </c>
      <c r="B343" s="3">
        <v>43751</v>
      </c>
      <c r="C343" s="2" t="s">
        <v>2415</v>
      </c>
      <c r="D343" t="s">
        <v>6176</v>
      </c>
      <c r="E343" s="2">
        <v>2</v>
      </c>
      <c r="F343" s="2" t="str" cm="1">
        <f t="array" ref="F343">_xlfn.XLOOKUP(C343, customers!$A$1:A1342, customers!$B$1:B1342, 0)</f>
        <v>Lucienne Scargle</v>
      </c>
      <c r="G343" s="2" t="str">
        <f>IF(_xlfn.XLOOKUP(C343, customers!A342:A1342, customers!C342:C1342, 0)=0, "", _xlfn.XLOOKUP(C343, customers!A342:A1342, customers!C342:C1342, 0))</f>
        <v>lscargle9h@myspace.com</v>
      </c>
      <c r="H343" s="2" t="str" cm="1">
        <f t="array" ref="H343">_xlfn.XLOOKUP(C343, customers!$A$1:A1342, customers!$G$1:G1342,, 0)</f>
        <v>United States</v>
      </c>
      <c r="I343" t="str" cm="1">
        <f t="array" ref="I343">_xlfn.XLOOKUP(orders!D343, products!$A$1:A390, products!$B$1:B390, 0)</f>
        <v>Exc</v>
      </c>
      <c r="J343" t="str" cm="1">
        <f t="array" ref="J343">_xlfn.XLOOKUP(D343, products!$A$1:A390, products!$C$1:C390, 0)</f>
        <v>L</v>
      </c>
      <c r="K343" s="4" cm="1">
        <f t="array" ref="K343">_xlfn.XLOOKUP(D343, products!$A$1:A390, products!$D$1:D390, 0)</f>
        <v>0.5</v>
      </c>
      <c r="L343" s="4" cm="1">
        <f t="array" ref="L343">_xlfn.XLOOKUP(D343, products!$A$1:A390, products!$E$1:E390)</f>
        <v>8.91</v>
      </c>
      <c r="M343">
        <f t="shared" si="10"/>
        <v>17.82</v>
      </c>
      <c r="N343" t="str">
        <f t="shared" si="11"/>
        <v>Excelsa</v>
      </c>
      <c r="O343" t="str" cm="1">
        <f t="array" ref="O343">_xlfn.IFS(J343="M", "Medium", J343="L", "Light", J343="D", "Dark")</f>
        <v>Light</v>
      </c>
      <c r="P343" t="str">
        <f>_xlfn.XLOOKUP(Orders[[#This Row],[Customer ID]], customers!$A$2:$A$1001, customers!$I$2:$I$1001, 0)</f>
        <v>No</v>
      </c>
    </row>
    <row r="344" spans="1:16" x14ac:dyDescent="0.35">
      <c r="A344" s="2" t="s">
        <v>2414</v>
      </c>
      <c r="B344" s="3">
        <v>43751</v>
      </c>
      <c r="C344" s="2" t="s">
        <v>2415</v>
      </c>
      <c r="D344" t="s">
        <v>6169</v>
      </c>
      <c r="E344" s="2">
        <v>5</v>
      </c>
      <c r="F344" s="2" t="str" cm="1">
        <f t="array" ref="F344">_xlfn.XLOOKUP(C344, customers!$A$1:A1343, customers!$B$1:B1343, 0)</f>
        <v>Lucienne Scargle</v>
      </c>
      <c r="G344" s="2" t="str">
        <f>IF(_xlfn.XLOOKUP(C344, customers!A343:A1343, customers!C343:C1343, 0)=0, "", _xlfn.XLOOKUP(C344, customers!A343:A1343, customers!C343:C1343, 0))</f>
        <v>lscargle9h@myspace.com</v>
      </c>
      <c r="H344" s="2" t="str" cm="1">
        <f t="array" ref="H344">_xlfn.XLOOKUP(C344, customers!$A$1:A1343, customers!$G$1:G1343,, 0)</f>
        <v>United States</v>
      </c>
      <c r="I344" t="str" cm="1">
        <f t="array" ref="I344">_xlfn.XLOOKUP(orders!D344, products!$A$1:A391, products!$B$1:B391, 0)</f>
        <v>Lib</v>
      </c>
      <c r="J344" t="str" cm="1">
        <f t="array" ref="J344">_xlfn.XLOOKUP(D344, products!$A$1:A391, products!$C$1:C391, 0)</f>
        <v>D</v>
      </c>
      <c r="K344" s="4" cm="1">
        <f t="array" ref="K344">_xlfn.XLOOKUP(D344, products!$A$1:A391, products!$D$1:D391, 0)</f>
        <v>0.5</v>
      </c>
      <c r="L344" s="4" cm="1">
        <f t="array" ref="L344">_xlfn.XLOOKUP(D344, products!$A$1:A391, products!$E$1:E391)</f>
        <v>7.77</v>
      </c>
      <c r="M344">
        <f t="shared" si="10"/>
        <v>38.849999999999994</v>
      </c>
      <c r="N344" t="str">
        <f t="shared" si="11"/>
        <v>Liberica</v>
      </c>
      <c r="O344" t="str" cm="1">
        <f t="array" ref="O344">_xlfn.IFS(J344="M", "Medium", J344="L", "Light", J344="D", "Dark")</f>
        <v>Dark</v>
      </c>
      <c r="P344" t="str">
        <f>_xlfn.XLOOKUP(Orders[[#This Row],[Customer ID]], customers!$A$2:$A$1001, customers!$I$2:$I$1001, 0)</f>
        <v>No</v>
      </c>
    </row>
    <row r="345" spans="1:16" x14ac:dyDescent="0.35">
      <c r="A345" s="2" t="s">
        <v>2424</v>
      </c>
      <c r="B345" s="3">
        <v>43692</v>
      </c>
      <c r="C345" s="2" t="s">
        <v>2425</v>
      </c>
      <c r="D345" t="s">
        <v>6172</v>
      </c>
      <c r="E345" s="2">
        <v>6</v>
      </c>
      <c r="F345" s="2" t="str" cm="1">
        <f t="array" ref="F345">_xlfn.XLOOKUP(C345, customers!$A$1:A1344, customers!$B$1:B1344, 0)</f>
        <v>Noam Climance</v>
      </c>
      <c r="G345" s="2" t="str">
        <f>IF(_xlfn.XLOOKUP(C345, customers!A344:A1344, customers!C344:C1344, 0)=0, "", _xlfn.XLOOKUP(C345, customers!A344:A1344, customers!C344:C1344, 0))</f>
        <v>nclimance9j@europa.eu</v>
      </c>
      <c r="H345" s="2" t="str" cm="1">
        <f t="array" ref="H345">_xlfn.XLOOKUP(C345, customers!$A$1:A1344, customers!$G$1:G1344,, 0)</f>
        <v>United States</v>
      </c>
      <c r="I345" t="str" cm="1">
        <f t="array" ref="I345">_xlfn.XLOOKUP(orders!D345, products!$A$1:A392, products!$B$1:B392, 0)</f>
        <v>Rob</v>
      </c>
      <c r="J345" t="str" cm="1">
        <f t="array" ref="J345">_xlfn.XLOOKUP(D345, products!$A$1:A392, products!$C$1:C392, 0)</f>
        <v>D</v>
      </c>
      <c r="K345" s="4" cm="1">
        <f t="array" ref="K345">_xlfn.XLOOKUP(D345, products!$A$1:A392, products!$D$1:D392, 0)</f>
        <v>0.5</v>
      </c>
      <c r="L345" s="4" cm="1">
        <f t="array" ref="L345">_xlfn.XLOOKUP(D345, products!$A$1:A392, products!$E$1:E392)</f>
        <v>5.3699999999999992</v>
      </c>
      <c r="M345">
        <f t="shared" si="10"/>
        <v>32.22</v>
      </c>
      <c r="N345" t="str">
        <f t="shared" si="11"/>
        <v>Robusta</v>
      </c>
      <c r="O345" t="str" cm="1">
        <f t="array" ref="O345">_xlfn.IFS(J345="M", "Medium", J345="L", "Light", J345="D", "Dark")</f>
        <v>Dark</v>
      </c>
      <c r="P345" t="str">
        <f>_xlfn.XLOOKUP(Orders[[#This Row],[Customer ID]], customers!$A$2:$A$1001, customers!$I$2:$I$1001, 0)</f>
        <v>No</v>
      </c>
    </row>
    <row r="346" spans="1:16" x14ac:dyDescent="0.35">
      <c r="A346" s="2" t="s">
        <v>2429</v>
      </c>
      <c r="B346" s="3">
        <v>44529</v>
      </c>
      <c r="C346" s="2" t="s">
        <v>2430</v>
      </c>
      <c r="D346" t="s">
        <v>6138</v>
      </c>
      <c r="E346" s="2">
        <v>2</v>
      </c>
      <c r="F346" s="2" t="str" cm="1">
        <f t="array" ref="F346">_xlfn.XLOOKUP(C346, customers!$A$1:A1345, customers!$B$1:B1345, 0)</f>
        <v>Catarina Donn</v>
      </c>
      <c r="G346" s="2" t="str">
        <f>IF(_xlfn.XLOOKUP(C346, customers!A345:A1345, customers!C345:C1345, 0)=0, "", _xlfn.XLOOKUP(C346, customers!A345:A1345, customers!C345:C1345, 0))</f>
        <v/>
      </c>
      <c r="H346" s="2" t="str" cm="1">
        <f t="array" ref="H346">_xlfn.XLOOKUP(C346, customers!$A$1:A1345, customers!$G$1:G1345,, 0)</f>
        <v>Ireland</v>
      </c>
      <c r="I346" t="str" cm="1">
        <f t="array" ref="I346">_xlfn.XLOOKUP(orders!D346, products!$A$1:A393, products!$B$1:B393, 0)</f>
        <v>Rob</v>
      </c>
      <c r="J346" t="str" cm="1">
        <f t="array" ref="J346">_xlfn.XLOOKUP(D346, products!$A$1:A393, products!$C$1:C393, 0)</f>
        <v>M</v>
      </c>
      <c r="K346" s="4" cm="1">
        <f t="array" ref="K346">_xlfn.XLOOKUP(D346, products!$A$1:A393, products!$D$1:D393, 0)</f>
        <v>1</v>
      </c>
      <c r="L346" s="4" cm="1">
        <f t="array" ref="L346">_xlfn.XLOOKUP(D346, products!$A$1:A393, products!$E$1:E393)</f>
        <v>9.9499999999999993</v>
      </c>
      <c r="M346">
        <f t="shared" si="10"/>
        <v>19.899999999999999</v>
      </c>
      <c r="N346" t="str">
        <f t="shared" si="11"/>
        <v>Robusta</v>
      </c>
      <c r="O346" t="str" cm="1">
        <f t="array" ref="O346">_xlfn.IFS(J346="M", "Medium", J346="L", "Light", J346="D", "Dark")</f>
        <v>Medium</v>
      </c>
      <c r="P346" t="str">
        <f>_xlfn.XLOOKUP(Orders[[#This Row],[Customer ID]], customers!$A$2:$A$1001, customers!$I$2:$I$1001, 0)</f>
        <v>Yes</v>
      </c>
    </row>
    <row r="347" spans="1:16" x14ac:dyDescent="0.35">
      <c r="A347" s="2" t="s">
        <v>2434</v>
      </c>
      <c r="B347" s="3">
        <v>43849</v>
      </c>
      <c r="C347" s="2" t="s">
        <v>2435</v>
      </c>
      <c r="D347" t="s">
        <v>6179</v>
      </c>
      <c r="E347" s="2">
        <v>5</v>
      </c>
      <c r="F347" s="2" t="str" cm="1">
        <f t="array" ref="F347">_xlfn.XLOOKUP(C347, customers!$A$1:A1346, customers!$B$1:B1346, 0)</f>
        <v>Ameline Snazle</v>
      </c>
      <c r="G347" s="2" t="str">
        <f>IF(_xlfn.XLOOKUP(C347, customers!A346:A1346, customers!C346:C1346, 0)=0, "", _xlfn.XLOOKUP(C347, customers!A346:A1346, customers!C346:C1346, 0))</f>
        <v>asnazle9l@oracle.com</v>
      </c>
      <c r="H347" s="2" t="str" cm="1">
        <f t="array" ref="H347">_xlfn.XLOOKUP(C347, customers!$A$1:A1346, customers!$G$1:G1346,, 0)</f>
        <v>United States</v>
      </c>
      <c r="I347" t="str" cm="1">
        <f t="array" ref="I347">_xlfn.XLOOKUP(orders!D347, products!$A$1:A394, products!$B$1:B394, 0)</f>
        <v>Rob</v>
      </c>
      <c r="J347" t="str" cm="1">
        <f t="array" ref="J347">_xlfn.XLOOKUP(D347, products!$A$1:A394, products!$C$1:C394, 0)</f>
        <v>L</v>
      </c>
      <c r="K347" s="4" cm="1">
        <f t="array" ref="K347">_xlfn.XLOOKUP(D347, products!$A$1:A394, products!$D$1:D394, 0)</f>
        <v>1</v>
      </c>
      <c r="L347" s="4" cm="1">
        <f t="array" ref="L347">_xlfn.XLOOKUP(D347, products!$A$1:A394, products!$E$1:E394)</f>
        <v>11.95</v>
      </c>
      <c r="M347">
        <f t="shared" si="10"/>
        <v>59.75</v>
      </c>
      <c r="N347" t="str">
        <f t="shared" si="11"/>
        <v>Robusta</v>
      </c>
      <c r="O347" t="str" cm="1">
        <f t="array" ref="O347">_xlfn.IFS(J347="M", "Medium", J347="L", "Light", J347="D", "Dark")</f>
        <v>Light</v>
      </c>
      <c r="P347" t="str">
        <f>_xlfn.XLOOKUP(Orders[[#This Row],[Customer ID]], customers!$A$2:$A$1001, customers!$I$2:$I$1001, 0)</f>
        <v>No</v>
      </c>
    </row>
    <row r="348" spans="1:16" x14ac:dyDescent="0.35">
      <c r="A348" s="2" t="s">
        <v>2440</v>
      </c>
      <c r="B348" s="3">
        <v>44344</v>
      </c>
      <c r="C348" s="2" t="s">
        <v>2441</v>
      </c>
      <c r="D348" t="s">
        <v>6180</v>
      </c>
      <c r="E348" s="2">
        <v>3</v>
      </c>
      <c r="F348" s="2" t="str" cm="1">
        <f t="array" ref="F348">_xlfn.XLOOKUP(C348, customers!$A$1:A1347, customers!$B$1:B1347, 0)</f>
        <v>Rebeka Worg</v>
      </c>
      <c r="G348" s="2" t="str">
        <f>IF(_xlfn.XLOOKUP(C348, customers!A347:A1347, customers!C347:C1347, 0)=0, "", _xlfn.XLOOKUP(C348, customers!A347:A1347, customers!C347:C1347, 0))</f>
        <v>rworg9m@arstechnica.com</v>
      </c>
      <c r="H348" s="2" t="str" cm="1">
        <f t="array" ref="H348">_xlfn.XLOOKUP(C348, customers!$A$1:A1347, customers!$G$1:G1347,, 0)</f>
        <v>United States</v>
      </c>
      <c r="I348" t="str" cm="1">
        <f t="array" ref="I348">_xlfn.XLOOKUP(orders!D348, products!$A$1:A395, products!$B$1:B395, 0)</f>
        <v>Ara</v>
      </c>
      <c r="J348" t="str" cm="1">
        <f t="array" ref="J348">_xlfn.XLOOKUP(D348, products!$A$1:A395, products!$C$1:C395, 0)</f>
        <v>L</v>
      </c>
      <c r="K348" s="4" cm="1">
        <f t="array" ref="K348">_xlfn.XLOOKUP(D348, products!$A$1:A395, products!$D$1:D395, 0)</f>
        <v>0.5</v>
      </c>
      <c r="L348" s="4" cm="1">
        <f t="array" ref="L348">_xlfn.XLOOKUP(D348, products!$A$1:A395, products!$E$1:E395)</f>
        <v>7.77</v>
      </c>
      <c r="M348">
        <f t="shared" si="10"/>
        <v>23.31</v>
      </c>
      <c r="N348" t="str">
        <f t="shared" si="11"/>
        <v>Arabica</v>
      </c>
      <c r="O348" t="str" cm="1">
        <f t="array" ref="O348">_xlfn.IFS(J348="M", "Medium", J348="L", "Light", J348="D", "Dark")</f>
        <v>Light</v>
      </c>
      <c r="P348" t="str">
        <f>_xlfn.XLOOKUP(Orders[[#This Row],[Customer ID]], customers!$A$2:$A$1001, customers!$I$2:$I$1001, 0)</f>
        <v>Yes</v>
      </c>
    </row>
    <row r="349" spans="1:16" x14ac:dyDescent="0.35">
      <c r="A349" s="2" t="s">
        <v>2446</v>
      </c>
      <c r="B349" s="3">
        <v>44576</v>
      </c>
      <c r="C349" s="2" t="s">
        <v>2447</v>
      </c>
      <c r="D349" t="s">
        <v>6162</v>
      </c>
      <c r="E349" s="2">
        <v>3</v>
      </c>
      <c r="F349" s="2" t="str" cm="1">
        <f t="array" ref="F349">_xlfn.XLOOKUP(C349, customers!$A$1:A1348, customers!$B$1:B1348, 0)</f>
        <v>Lewes Danes</v>
      </c>
      <c r="G349" s="2" t="str">
        <f>IF(_xlfn.XLOOKUP(C349, customers!A348:A1348, customers!C348:C1348, 0)=0, "", _xlfn.XLOOKUP(C349, customers!A348:A1348, customers!C348:C1348, 0))</f>
        <v>ldanes9n@umn.edu</v>
      </c>
      <c r="H349" s="2" t="str" cm="1">
        <f t="array" ref="H349">_xlfn.XLOOKUP(C349, customers!$A$1:A1348, customers!$G$1:G1348,, 0)</f>
        <v>United States</v>
      </c>
      <c r="I349" t="str" cm="1">
        <f t="array" ref="I349">_xlfn.XLOOKUP(orders!D349, products!$A$1:A396, products!$B$1:B396, 0)</f>
        <v>Lib</v>
      </c>
      <c r="J349" t="str" cm="1">
        <f t="array" ref="J349">_xlfn.XLOOKUP(D349, products!$A$1:A396, products!$C$1:C396, 0)</f>
        <v>M</v>
      </c>
      <c r="K349" s="4" cm="1">
        <f t="array" ref="K349">_xlfn.XLOOKUP(D349, products!$A$1:A396, products!$D$1:D396, 0)</f>
        <v>1</v>
      </c>
      <c r="L349" s="4" cm="1">
        <f t="array" ref="L349">_xlfn.XLOOKUP(D349, products!$A$1:A396, products!$E$1:E396)</f>
        <v>14.55</v>
      </c>
      <c r="M349">
        <f t="shared" si="10"/>
        <v>43.650000000000006</v>
      </c>
      <c r="N349" t="str">
        <f t="shared" si="11"/>
        <v>Liberica</v>
      </c>
      <c r="O349" t="str" cm="1">
        <f t="array" ref="O349">_xlfn.IFS(J349="M", "Medium", J349="L", "Light", J349="D", "Dark")</f>
        <v>Medium</v>
      </c>
      <c r="P349" t="str">
        <f>_xlfn.XLOOKUP(Orders[[#This Row],[Customer ID]], customers!$A$2:$A$1001, customers!$I$2:$I$1001, 0)</f>
        <v>No</v>
      </c>
    </row>
    <row r="350" spans="1:16" x14ac:dyDescent="0.35">
      <c r="A350" s="2" t="s">
        <v>2452</v>
      </c>
      <c r="B350" s="3">
        <v>43803</v>
      </c>
      <c r="C350" s="2" t="s">
        <v>2453</v>
      </c>
      <c r="D350" t="s">
        <v>6148</v>
      </c>
      <c r="E350" s="2">
        <v>6</v>
      </c>
      <c r="F350" s="2" t="str" cm="1">
        <f t="array" ref="F350">_xlfn.XLOOKUP(C350, customers!$A$1:A1349, customers!$B$1:B1349, 0)</f>
        <v>Shelli Keynd</v>
      </c>
      <c r="G350" s="2" t="str">
        <f>IF(_xlfn.XLOOKUP(C350, customers!A349:A1349, customers!C349:C1349, 0)=0, "", _xlfn.XLOOKUP(C350, customers!A349:A1349, customers!C349:C1349, 0))</f>
        <v>skeynd9o@narod.ru</v>
      </c>
      <c r="H350" s="2" t="str" cm="1">
        <f t="array" ref="H350">_xlfn.XLOOKUP(C350, customers!$A$1:A1349, customers!$G$1:G1349,, 0)</f>
        <v>United States</v>
      </c>
      <c r="I350" t="str" cm="1">
        <f t="array" ref="I350">_xlfn.XLOOKUP(orders!D350, products!$A$1:A397, products!$B$1:B397, 0)</f>
        <v>Exc</v>
      </c>
      <c r="J350" t="str" cm="1">
        <f t="array" ref="J350">_xlfn.XLOOKUP(D350, products!$A$1:A397, products!$C$1:C397, 0)</f>
        <v>L</v>
      </c>
      <c r="K350" s="4" cm="1">
        <f t="array" ref="K350">_xlfn.XLOOKUP(D350, products!$A$1:A397, products!$D$1:D397, 0)</f>
        <v>2.5</v>
      </c>
      <c r="L350" s="4" cm="1">
        <f t="array" ref="L350">_xlfn.XLOOKUP(D350, products!$A$1:A397, products!$E$1:E397)</f>
        <v>34.154999999999994</v>
      </c>
      <c r="M350">
        <f t="shared" si="10"/>
        <v>204.92999999999995</v>
      </c>
      <c r="N350" t="str">
        <f t="shared" si="11"/>
        <v>Excelsa</v>
      </c>
      <c r="O350" t="str" cm="1">
        <f t="array" ref="O350">_xlfn.IFS(J350="M", "Medium", J350="L", "Light", J350="D", "Dark")</f>
        <v>Light</v>
      </c>
      <c r="P350" t="str">
        <f>_xlfn.XLOOKUP(Orders[[#This Row],[Customer ID]], customers!$A$2:$A$1001, customers!$I$2:$I$1001, 0)</f>
        <v>No</v>
      </c>
    </row>
    <row r="351" spans="1:16" x14ac:dyDescent="0.35">
      <c r="A351" s="2" t="s">
        <v>2458</v>
      </c>
      <c r="B351" s="3">
        <v>44743</v>
      </c>
      <c r="C351" s="2" t="s">
        <v>2459</v>
      </c>
      <c r="D351" t="s">
        <v>6178</v>
      </c>
      <c r="E351" s="2">
        <v>4</v>
      </c>
      <c r="F351" s="2" t="str" cm="1">
        <f t="array" ref="F351">_xlfn.XLOOKUP(C351, customers!$A$1:A1350, customers!$B$1:B1350, 0)</f>
        <v>Dell Daveridge</v>
      </c>
      <c r="G351" s="2" t="str">
        <f>IF(_xlfn.XLOOKUP(C351, customers!A350:A1350, customers!C350:C1350, 0)=0, "", _xlfn.XLOOKUP(C351, customers!A350:A1350, customers!C350:C1350, 0))</f>
        <v>ddaveridge9p@arstechnica.com</v>
      </c>
      <c r="H351" s="2" t="str" cm="1">
        <f t="array" ref="H351">_xlfn.XLOOKUP(C351, customers!$A$1:A1350, customers!$G$1:G1350,, 0)</f>
        <v>United States</v>
      </c>
      <c r="I351" t="str" cm="1">
        <f t="array" ref="I351">_xlfn.XLOOKUP(orders!D351, products!$A$1:A398, products!$B$1:B398, 0)</f>
        <v>Rob</v>
      </c>
      <c r="J351" t="str" cm="1">
        <f t="array" ref="J351">_xlfn.XLOOKUP(D351, products!$A$1:A398, products!$C$1:C398, 0)</f>
        <v>L</v>
      </c>
      <c r="K351" s="4" cm="1">
        <f t="array" ref="K351">_xlfn.XLOOKUP(D351, products!$A$1:A398, products!$D$1:D398, 0)</f>
        <v>0.2</v>
      </c>
      <c r="L351" s="4" cm="1">
        <f t="array" ref="L351">_xlfn.XLOOKUP(D351, products!$A$1:A398, products!$E$1:E398)</f>
        <v>3.5849999999999995</v>
      </c>
      <c r="M351">
        <f t="shared" si="10"/>
        <v>14.339999999999998</v>
      </c>
      <c r="N351" t="str">
        <f t="shared" si="11"/>
        <v>Robusta</v>
      </c>
      <c r="O351" t="str" cm="1">
        <f t="array" ref="O351">_xlfn.IFS(J351="M", "Medium", J351="L", "Light", J351="D", "Dark")</f>
        <v>Light</v>
      </c>
      <c r="P351" t="str">
        <f>_xlfn.XLOOKUP(Orders[[#This Row],[Customer ID]], customers!$A$2:$A$1001, customers!$I$2:$I$1001, 0)</f>
        <v>No</v>
      </c>
    </row>
    <row r="352" spans="1:16" x14ac:dyDescent="0.35">
      <c r="A352" s="2" t="s">
        <v>2464</v>
      </c>
      <c r="B352" s="3">
        <v>43592</v>
      </c>
      <c r="C352" s="2" t="s">
        <v>2465</v>
      </c>
      <c r="D352" t="s">
        <v>6158</v>
      </c>
      <c r="E352" s="2">
        <v>4</v>
      </c>
      <c r="F352" s="2" t="str" cm="1">
        <f t="array" ref="F352">_xlfn.XLOOKUP(C352, customers!$A$1:A1351, customers!$B$1:B1351, 0)</f>
        <v>Joshuah Awdry</v>
      </c>
      <c r="G352" s="2" t="str">
        <f>IF(_xlfn.XLOOKUP(C352, customers!A351:A1351, customers!C351:C1351, 0)=0, "", _xlfn.XLOOKUP(C352, customers!A351:A1351, customers!C351:C1351, 0))</f>
        <v>jawdry9q@utexas.edu</v>
      </c>
      <c r="H352" s="2" t="str" cm="1">
        <f t="array" ref="H352">_xlfn.XLOOKUP(C352, customers!$A$1:A1351, customers!$G$1:G1351,, 0)</f>
        <v>United States</v>
      </c>
      <c r="I352" t="str" cm="1">
        <f t="array" ref="I352">_xlfn.XLOOKUP(orders!D352, products!$A$1:A399, products!$B$1:B399, 0)</f>
        <v>Ara</v>
      </c>
      <c r="J352" t="str" cm="1">
        <f t="array" ref="J352">_xlfn.XLOOKUP(D352, products!$A$1:A399, products!$C$1:C399, 0)</f>
        <v>D</v>
      </c>
      <c r="K352" s="4" cm="1">
        <f t="array" ref="K352">_xlfn.XLOOKUP(D352, products!$A$1:A399, products!$D$1:D399, 0)</f>
        <v>0.5</v>
      </c>
      <c r="L352" s="4" cm="1">
        <f t="array" ref="L352">_xlfn.XLOOKUP(D352, products!$A$1:A399, products!$E$1:E399)</f>
        <v>5.97</v>
      </c>
      <c r="M352">
        <f t="shared" si="10"/>
        <v>23.88</v>
      </c>
      <c r="N352" t="str">
        <f t="shared" si="11"/>
        <v>Arabica</v>
      </c>
      <c r="O352" t="str" cm="1">
        <f t="array" ref="O352">_xlfn.IFS(J352="M", "Medium", J352="L", "Light", J352="D", "Dark")</f>
        <v>Dark</v>
      </c>
      <c r="P352" t="str">
        <f>_xlfn.XLOOKUP(Orders[[#This Row],[Customer ID]], customers!$A$2:$A$1001, customers!$I$2:$I$1001, 0)</f>
        <v>No</v>
      </c>
    </row>
    <row r="353" spans="1:16" x14ac:dyDescent="0.35">
      <c r="A353" s="2" t="s">
        <v>2470</v>
      </c>
      <c r="B353" s="3">
        <v>44066</v>
      </c>
      <c r="C353" s="2" t="s">
        <v>2471</v>
      </c>
      <c r="D353" t="s">
        <v>6155</v>
      </c>
      <c r="E353" s="2">
        <v>2</v>
      </c>
      <c r="F353" s="2" t="str" cm="1">
        <f t="array" ref="F353">_xlfn.XLOOKUP(C353, customers!$A$1:A1352, customers!$B$1:B1352, 0)</f>
        <v>Ethel Ryles</v>
      </c>
      <c r="G353" s="2" t="str">
        <f>IF(_xlfn.XLOOKUP(C353, customers!A352:A1352, customers!C352:C1352, 0)=0, "", _xlfn.XLOOKUP(C353, customers!A352:A1352, customers!C352:C1352, 0))</f>
        <v>eryles9r@fastcompany.com</v>
      </c>
      <c r="H353" s="2" t="str" cm="1">
        <f t="array" ref="H353">_xlfn.XLOOKUP(C353, customers!$A$1:A1352, customers!$G$1:G1352,, 0)</f>
        <v>United States</v>
      </c>
      <c r="I353" t="str" cm="1">
        <f t="array" ref="I353">_xlfn.XLOOKUP(orders!D353, products!$A$1:A400, products!$B$1:B400, 0)</f>
        <v>Ara</v>
      </c>
      <c r="J353" t="str" cm="1">
        <f t="array" ref="J353">_xlfn.XLOOKUP(D353, products!$A$1:A400, products!$C$1:C400, 0)</f>
        <v>M</v>
      </c>
      <c r="K353" s="4" cm="1">
        <f t="array" ref="K353">_xlfn.XLOOKUP(D353, products!$A$1:A400, products!$D$1:D400, 0)</f>
        <v>1</v>
      </c>
      <c r="L353" s="4" cm="1">
        <f t="array" ref="L353">_xlfn.XLOOKUP(D353, products!$A$1:A400, products!$E$1:E400)</f>
        <v>11.25</v>
      </c>
      <c r="M353">
        <f t="shared" si="10"/>
        <v>22.5</v>
      </c>
      <c r="N353" t="str">
        <f t="shared" si="11"/>
        <v>Arabica</v>
      </c>
      <c r="O353" t="str" cm="1">
        <f t="array" ref="O353">_xlfn.IFS(J353="M", "Medium", J353="L", "Light", J353="D", "Dark")</f>
        <v>Medium</v>
      </c>
      <c r="P353" t="str">
        <f>_xlfn.XLOOKUP(Orders[[#This Row],[Customer ID]], customers!$A$2:$A$1001, customers!$I$2:$I$1001, 0)</f>
        <v>No</v>
      </c>
    </row>
    <row r="354" spans="1:16" x14ac:dyDescent="0.35">
      <c r="A354" s="2" t="s">
        <v>2476</v>
      </c>
      <c r="B354" s="3">
        <v>43984</v>
      </c>
      <c r="C354" s="2" t="s">
        <v>2331</v>
      </c>
      <c r="D354" t="s">
        <v>6144</v>
      </c>
      <c r="E354" s="2">
        <v>5</v>
      </c>
      <c r="F354" s="2" t="str" cm="1">
        <f t="array" ref="F354">_xlfn.XLOOKUP(C354, customers!$A$1:A1353, customers!$B$1:B1353, 0)</f>
        <v>Flynn Antony</v>
      </c>
      <c r="G354" s="2" t="str">
        <f>IF(_xlfn.XLOOKUP(C354, customers!A353:A1353, customers!C353:C1353, 0)=0, "", _xlfn.XLOOKUP(C354, customers!A353:A1353, customers!C353:C1353, 0))</f>
        <v/>
      </c>
      <c r="H354" s="2" t="str" cm="1">
        <f t="array" ref="H354">_xlfn.XLOOKUP(C354, customers!$A$1:A1353, customers!$G$1:G1353,, 0)</f>
        <v>United States</v>
      </c>
      <c r="I354" t="str" cm="1">
        <f t="array" ref="I354">_xlfn.XLOOKUP(orders!D354, products!$A$1:A401, products!$B$1:B401, 0)</f>
        <v>Exc</v>
      </c>
      <c r="J354" t="str" cm="1">
        <f t="array" ref="J354">_xlfn.XLOOKUP(D354, products!$A$1:A401, products!$C$1:C401, 0)</f>
        <v>D</v>
      </c>
      <c r="K354" s="4" cm="1">
        <f t="array" ref="K354">_xlfn.XLOOKUP(D354, products!$A$1:A401, products!$D$1:D401, 0)</f>
        <v>0.5</v>
      </c>
      <c r="L354" s="4" cm="1">
        <f t="array" ref="L354">_xlfn.XLOOKUP(D354, products!$A$1:A401, products!$E$1:E401)</f>
        <v>7.29</v>
      </c>
      <c r="M354">
        <f t="shared" si="10"/>
        <v>36.450000000000003</v>
      </c>
      <c r="N354" t="str">
        <f t="shared" si="11"/>
        <v>Excelsa</v>
      </c>
      <c r="O354" t="str" cm="1">
        <f t="array" ref="O354">_xlfn.IFS(J354="M", "Medium", J354="L", "Light", J354="D", "Dark")</f>
        <v>Dark</v>
      </c>
      <c r="P354" t="str">
        <f>_xlfn.XLOOKUP(Orders[[#This Row],[Customer ID]], customers!$A$2:$A$1001, customers!$I$2:$I$1001, 0)</f>
        <v>No</v>
      </c>
    </row>
    <row r="355" spans="1:16" x14ac:dyDescent="0.35">
      <c r="A355" s="2" t="s">
        <v>2482</v>
      </c>
      <c r="B355" s="3">
        <v>43860</v>
      </c>
      <c r="C355" s="2" t="s">
        <v>2483</v>
      </c>
      <c r="D355" t="s">
        <v>6157</v>
      </c>
      <c r="E355" s="2">
        <v>4</v>
      </c>
      <c r="F355" s="2" t="str" cm="1">
        <f t="array" ref="F355">_xlfn.XLOOKUP(C355, customers!$A$1:A1354, customers!$B$1:B1354, 0)</f>
        <v>Maitilde Boxill</v>
      </c>
      <c r="G355" s="2" t="str">
        <f>IF(_xlfn.XLOOKUP(C355, customers!A354:A1354, customers!C354:C1354, 0)=0, "", _xlfn.XLOOKUP(C355, customers!A354:A1354, customers!C354:C1354, 0))</f>
        <v/>
      </c>
      <c r="H355" s="2" t="str" cm="1">
        <f t="array" ref="H355">_xlfn.XLOOKUP(C355, customers!$A$1:A1354, customers!$G$1:G1354,, 0)</f>
        <v>United States</v>
      </c>
      <c r="I355" t="str" cm="1">
        <f t="array" ref="I355">_xlfn.XLOOKUP(orders!D355, products!$A$1:A402, products!$B$1:B402, 0)</f>
        <v>Ara</v>
      </c>
      <c r="J355" t="str" cm="1">
        <f t="array" ref="J355">_xlfn.XLOOKUP(D355, products!$A$1:A402, products!$C$1:C402, 0)</f>
        <v>M</v>
      </c>
      <c r="K355" s="4" cm="1">
        <f t="array" ref="K355">_xlfn.XLOOKUP(D355, products!$A$1:A402, products!$D$1:D402, 0)</f>
        <v>0.5</v>
      </c>
      <c r="L355" s="4" cm="1">
        <f t="array" ref="L355">_xlfn.XLOOKUP(D355, products!$A$1:A402, products!$E$1:E402)</f>
        <v>6.75</v>
      </c>
      <c r="M355">
        <f t="shared" si="10"/>
        <v>27</v>
      </c>
      <c r="N355" t="str">
        <f t="shared" si="11"/>
        <v>Arabica</v>
      </c>
      <c r="O355" t="str" cm="1">
        <f t="array" ref="O355">_xlfn.IFS(J355="M", "Medium", J355="L", "Light", J355="D", "Dark")</f>
        <v>Medium</v>
      </c>
      <c r="P355" t="str">
        <f>_xlfn.XLOOKUP(Orders[[#This Row],[Customer ID]], customers!$A$2:$A$1001, customers!$I$2:$I$1001, 0)</f>
        <v>Yes</v>
      </c>
    </row>
    <row r="356" spans="1:16" x14ac:dyDescent="0.35">
      <c r="A356" s="2" t="s">
        <v>2487</v>
      </c>
      <c r="B356" s="3">
        <v>43876</v>
      </c>
      <c r="C356" s="2" t="s">
        <v>2488</v>
      </c>
      <c r="D356" t="s">
        <v>6175</v>
      </c>
      <c r="E356" s="2">
        <v>6</v>
      </c>
      <c r="F356" s="2" t="str" cm="1">
        <f t="array" ref="F356">_xlfn.XLOOKUP(C356, customers!$A$1:A1355, customers!$B$1:B1355, 0)</f>
        <v>Jodee Caldicott</v>
      </c>
      <c r="G356" s="2" t="str">
        <f>IF(_xlfn.XLOOKUP(C356, customers!A355:A1355, customers!C355:C1355, 0)=0, "", _xlfn.XLOOKUP(C356, customers!A355:A1355, customers!C355:C1355, 0))</f>
        <v>jcaldicott9u@usda.gov</v>
      </c>
      <c r="H356" s="2" t="str" cm="1">
        <f t="array" ref="H356">_xlfn.XLOOKUP(C356, customers!$A$1:A1355, customers!$G$1:G1355,, 0)</f>
        <v>United States</v>
      </c>
      <c r="I356" t="str" cm="1">
        <f t="array" ref="I356">_xlfn.XLOOKUP(orders!D356, products!$A$1:A403, products!$B$1:B403, 0)</f>
        <v>Ara</v>
      </c>
      <c r="J356" t="str" cm="1">
        <f t="array" ref="J356">_xlfn.XLOOKUP(D356, products!$A$1:A403, products!$C$1:C403, 0)</f>
        <v>M</v>
      </c>
      <c r="K356" s="4" cm="1">
        <f t="array" ref="K356">_xlfn.XLOOKUP(D356, products!$A$1:A403, products!$D$1:D403, 0)</f>
        <v>2.5</v>
      </c>
      <c r="L356" s="4" cm="1">
        <f t="array" ref="L356">_xlfn.XLOOKUP(D356, products!$A$1:A403, products!$E$1:E403)</f>
        <v>25.874999999999996</v>
      </c>
      <c r="M356">
        <f t="shared" si="10"/>
        <v>155.24999999999997</v>
      </c>
      <c r="N356" t="str">
        <f t="shared" si="11"/>
        <v>Arabica</v>
      </c>
      <c r="O356" t="str" cm="1">
        <f t="array" ref="O356">_xlfn.IFS(J356="M", "Medium", J356="L", "Light", J356="D", "Dark")</f>
        <v>Medium</v>
      </c>
      <c r="P356" t="str">
        <f>_xlfn.XLOOKUP(Orders[[#This Row],[Customer ID]], customers!$A$2:$A$1001, customers!$I$2:$I$1001, 0)</f>
        <v>No</v>
      </c>
    </row>
    <row r="357" spans="1:16" x14ac:dyDescent="0.35">
      <c r="A357" s="2" t="s">
        <v>2492</v>
      </c>
      <c r="B357" s="3">
        <v>44358</v>
      </c>
      <c r="C357" s="2" t="s">
        <v>2493</v>
      </c>
      <c r="D357" t="s">
        <v>6168</v>
      </c>
      <c r="E357" s="2">
        <v>5</v>
      </c>
      <c r="F357" s="2" t="str" cm="1">
        <f t="array" ref="F357">_xlfn.XLOOKUP(C357, customers!$A$1:A1356, customers!$B$1:B1356, 0)</f>
        <v>Marianna Vedmore</v>
      </c>
      <c r="G357" s="2" t="str">
        <f>IF(_xlfn.XLOOKUP(C357, customers!A356:A1356, customers!C356:C1356, 0)=0, "", _xlfn.XLOOKUP(C357, customers!A356:A1356, customers!C356:C1356, 0))</f>
        <v>mvedmore9v@a8.net</v>
      </c>
      <c r="H357" s="2" t="str" cm="1">
        <f t="array" ref="H357">_xlfn.XLOOKUP(C357, customers!$A$1:A1356, customers!$G$1:G1356,, 0)</f>
        <v>United States</v>
      </c>
      <c r="I357" t="str" cm="1">
        <f t="array" ref="I357">_xlfn.XLOOKUP(orders!D357, products!$A$1:A404, products!$B$1:B404, 0)</f>
        <v>Ara</v>
      </c>
      <c r="J357" t="str" cm="1">
        <f t="array" ref="J357">_xlfn.XLOOKUP(D357, products!$A$1:A404, products!$C$1:C404, 0)</f>
        <v>D</v>
      </c>
      <c r="K357" s="4" cm="1">
        <f t="array" ref="K357">_xlfn.XLOOKUP(D357, products!$A$1:A404, products!$D$1:D404, 0)</f>
        <v>2.5</v>
      </c>
      <c r="L357" s="4" cm="1">
        <f t="array" ref="L357">_xlfn.XLOOKUP(D357, products!$A$1:A404, products!$E$1:E404)</f>
        <v>22.884999999999998</v>
      </c>
      <c r="M357">
        <f t="shared" si="10"/>
        <v>114.42499999999998</v>
      </c>
      <c r="N357" t="str">
        <f t="shared" si="11"/>
        <v>Arabica</v>
      </c>
      <c r="O357" t="str" cm="1">
        <f t="array" ref="O357">_xlfn.IFS(J357="M", "Medium", J357="L", "Light", J357="D", "Dark")</f>
        <v>Dark</v>
      </c>
      <c r="P357" t="str">
        <f>_xlfn.XLOOKUP(Orders[[#This Row],[Customer ID]], customers!$A$2:$A$1001, customers!$I$2:$I$1001, 0)</f>
        <v>Yes</v>
      </c>
    </row>
    <row r="358" spans="1:16" x14ac:dyDescent="0.35">
      <c r="A358" s="2" t="s">
        <v>2498</v>
      </c>
      <c r="B358" s="3">
        <v>44631</v>
      </c>
      <c r="C358" s="2" t="s">
        <v>2499</v>
      </c>
      <c r="D358" t="s">
        <v>6143</v>
      </c>
      <c r="E358" s="2">
        <v>4</v>
      </c>
      <c r="F358" s="2" t="str" cm="1">
        <f t="array" ref="F358">_xlfn.XLOOKUP(C358, customers!$A$1:A1357, customers!$B$1:B1357, 0)</f>
        <v>Willey Romao</v>
      </c>
      <c r="G358" s="2" t="str">
        <f>IF(_xlfn.XLOOKUP(C358, customers!A357:A1357, customers!C357:C1357, 0)=0, "", _xlfn.XLOOKUP(C358, customers!A357:A1357, customers!C357:C1357, 0))</f>
        <v>wromao9w@chronoengine.com</v>
      </c>
      <c r="H358" s="2" t="str" cm="1">
        <f t="array" ref="H358">_xlfn.XLOOKUP(C358, customers!$A$1:A1357, customers!$G$1:G1357,, 0)</f>
        <v>United States</v>
      </c>
      <c r="I358" t="str" cm="1">
        <f t="array" ref="I358">_xlfn.XLOOKUP(orders!D358, products!$A$1:A405, products!$B$1:B405, 0)</f>
        <v>Lib</v>
      </c>
      <c r="J358" t="str" cm="1">
        <f t="array" ref="J358">_xlfn.XLOOKUP(D358, products!$A$1:A405, products!$C$1:C405, 0)</f>
        <v>D</v>
      </c>
      <c r="K358" s="4" cm="1">
        <f t="array" ref="K358">_xlfn.XLOOKUP(D358, products!$A$1:A405, products!$D$1:D405, 0)</f>
        <v>1</v>
      </c>
      <c r="L358" s="4" cm="1">
        <f t="array" ref="L358">_xlfn.XLOOKUP(D358, products!$A$1:A405, products!$E$1:E405)</f>
        <v>12.95</v>
      </c>
      <c r="M358">
        <f t="shared" si="10"/>
        <v>51.8</v>
      </c>
      <c r="N358" t="str">
        <f t="shared" si="11"/>
        <v>Liberica</v>
      </c>
      <c r="O358" t="str" cm="1">
        <f t="array" ref="O358">_xlfn.IFS(J358="M", "Medium", J358="L", "Light", J358="D", "Dark")</f>
        <v>Dark</v>
      </c>
      <c r="P358" t="str">
        <f>_xlfn.XLOOKUP(Orders[[#This Row],[Customer ID]], customers!$A$2:$A$1001, customers!$I$2:$I$1001, 0)</f>
        <v>Yes</v>
      </c>
    </row>
    <row r="359" spans="1:16" x14ac:dyDescent="0.35">
      <c r="A359" s="2" t="s">
        <v>2504</v>
      </c>
      <c r="B359" s="3">
        <v>44448</v>
      </c>
      <c r="C359" s="2" t="s">
        <v>2505</v>
      </c>
      <c r="D359" t="s">
        <v>6175</v>
      </c>
      <c r="E359" s="2">
        <v>6</v>
      </c>
      <c r="F359" s="2" t="str" cm="1">
        <f t="array" ref="F359">_xlfn.XLOOKUP(C359, customers!$A$1:A1358, customers!$B$1:B1358, 0)</f>
        <v>Enriqueta Ixor</v>
      </c>
      <c r="G359" s="2" t="str">
        <f>IF(_xlfn.XLOOKUP(C359, customers!A358:A1358, customers!C358:C1358, 0)=0, "", _xlfn.XLOOKUP(C359, customers!A358:A1358, customers!C358:C1358, 0))</f>
        <v/>
      </c>
      <c r="H359" s="2" t="str" cm="1">
        <f t="array" ref="H359">_xlfn.XLOOKUP(C359, customers!$A$1:A1358, customers!$G$1:G1358,, 0)</f>
        <v>United States</v>
      </c>
      <c r="I359" t="str" cm="1">
        <f t="array" ref="I359">_xlfn.XLOOKUP(orders!D359, products!$A$1:A406, products!$B$1:B406, 0)</f>
        <v>Ara</v>
      </c>
      <c r="J359" t="str" cm="1">
        <f t="array" ref="J359">_xlfn.XLOOKUP(D359, products!$A$1:A406, products!$C$1:C406, 0)</f>
        <v>M</v>
      </c>
      <c r="K359" s="4" cm="1">
        <f t="array" ref="K359">_xlfn.XLOOKUP(D359, products!$A$1:A406, products!$D$1:D406, 0)</f>
        <v>2.5</v>
      </c>
      <c r="L359" s="4" cm="1">
        <f t="array" ref="L359">_xlfn.XLOOKUP(D359, products!$A$1:A406, products!$E$1:E406)</f>
        <v>25.874999999999996</v>
      </c>
      <c r="M359">
        <f t="shared" si="10"/>
        <v>155.24999999999997</v>
      </c>
      <c r="N359" t="str">
        <f t="shared" si="11"/>
        <v>Arabica</v>
      </c>
      <c r="O359" t="str" cm="1">
        <f t="array" ref="O359">_xlfn.IFS(J359="M", "Medium", J359="L", "Light", J359="D", "Dark")</f>
        <v>Medium</v>
      </c>
      <c r="P359" t="str">
        <f>_xlfn.XLOOKUP(Orders[[#This Row],[Customer ID]], customers!$A$2:$A$1001, customers!$I$2:$I$1001, 0)</f>
        <v>No</v>
      </c>
    </row>
    <row r="360" spans="1:16" x14ac:dyDescent="0.35">
      <c r="A360" s="2" t="s">
        <v>2509</v>
      </c>
      <c r="B360" s="3">
        <v>43599</v>
      </c>
      <c r="C360" s="2" t="s">
        <v>2510</v>
      </c>
      <c r="D360" t="s">
        <v>6182</v>
      </c>
      <c r="E360" s="2">
        <v>1</v>
      </c>
      <c r="F360" s="2" t="str" cm="1">
        <f t="array" ref="F360">_xlfn.XLOOKUP(C360, customers!$A$1:A1359, customers!$B$1:B1359, 0)</f>
        <v>Tomasina Cotmore</v>
      </c>
      <c r="G360" s="2" t="str">
        <f>IF(_xlfn.XLOOKUP(C360, customers!A359:A1359, customers!C359:C1359, 0)=0, "", _xlfn.XLOOKUP(C360, customers!A359:A1359, customers!C359:C1359, 0))</f>
        <v>tcotmore9y@amazonaws.com</v>
      </c>
      <c r="H360" s="2" t="str" cm="1">
        <f t="array" ref="H360">_xlfn.XLOOKUP(C360, customers!$A$1:A1359, customers!$G$1:G1359,, 0)</f>
        <v>United States</v>
      </c>
      <c r="I360" t="str" cm="1">
        <f t="array" ref="I360">_xlfn.XLOOKUP(orders!D360, products!$A$1:A407, products!$B$1:B407, 0)</f>
        <v>Ara</v>
      </c>
      <c r="J360" t="str" cm="1">
        <f t="array" ref="J360">_xlfn.XLOOKUP(D360, products!$A$1:A407, products!$C$1:C407, 0)</f>
        <v>L</v>
      </c>
      <c r="K360" s="4" cm="1">
        <f t="array" ref="K360">_xlfn.XLOOKUP(D360, products!$A$1:A407, products!$D$1:D407, 0)</f>
        <v>2.5</v>
      </c>
      <c r="L360" s="4" cm="1">
        <f t="array" ref="L360">_xlfn.XLOOKUP(D360, products!$A$1:A407, products!$E$1:E407)</f>
        <v>29.784999999999997</v>
      </c>
      <c r="M360">
        <f t="shared" si="10"/>
        <v>29.784999999999997</v>
      </c>
      <c r="N360" t="str">
        <f t="shared" si="11"/>
        <v>Arabica</v>
      </c>
      <c r="O360" t="str" cm="1">
        <f t="array" ref="O360">_xlfn.IFS(J360="M", "Medium", J360="L", "Light", J360="D", "Dark")</f>
        <v>Light</v>
      </c>
      <c r="P360" t="str">
        <f>_xlfn.XLOOKUP(Orders[[#This Row],[Customer ID]], customers!$A$2:$A$1001, customers!$I$2:$I$1001, 0)</f>
        <v>No</v>
      </c>
    </row>
    <row r="361" spans="1:16" x14ac:dyDescent="0.35">
      <c r="A361" s="2" t="s">
        <v>2515</v>
      </c>
      <c r="B361" s="3">
        <v>43563</v>
      </c>
      <c r="C361" s="2" t="s">
        <v>2516</v>
      </c>
      <c r="D361" t="s">
        <v>6178</v>
      </c>
      <c r="E361" s="2">
        <v>6</v>
      </c>
      <c r="F361" s="2" t="str" cm="1">
        <f t="array" ref="F361">_xlfn.XLOOKUP(C361, customers!$A$1:A1360, customers!$B$1:B1360, 0)</f>
        <v>Yuma Skipsey</v>
      </c>
      <c r="G361" s="2" t="str">
        <f>IF(_xlfn.XLOOKUP(C361, customers!A360:A1360, customers!C360:C1360, 0)=0, "", _xlfn.XLOOKUP(C361, customers!A360:A1360, customers!C360:C1360, 0))</f>
        <v>yskipsey9z@spotify.com</v>
      </c>
      <c r="H361" s="2" t="str" cm="1">
        <f t="array" ref="H361">_xlfn.XLOOKUP(C361, customers!$A$1:A1360, customers!$G$1:G1360,, 0)</f>
        <v>United Kingdom</v>
      </c>
      <c r="I361" t="str" cm="1">
        <f t="array" ref="I361">_xlfn.XLOOKUP(orders!D361, products!$A$1:A408, products!$B$1:B408, 0)</f>
        <v>Rob</v>
      </c>
      <c r="J361" t="str" cm="1">
        <f t="array" ref="J361">_xlfn.XLOOKUP(D361, products!$A$1:A408, products!$C$1:C408, 0)</f>
        <v>L</v>
      </c>
      <c r="K361" s="4" cm="1">
        <f t="array" ref="K361">_xlfn.XLOOKUP(D361, products!$A$1:A408, products!$D$1:D408, 0)</f>
        <v>0.2</v>
      </c>
      <c r="L361" s="4" cm="1">
        <f t="array" ref="L361">_xlfn.XLOOKUP(D361, products!$A$1:A408, products!$E$1:E408)</f>
        <v>3.5849999999999995</v>
      </c>
      <c r="M361">
        <f t="shared" si="10"/>
        <v>21.509999999999998</v>
      </c>
      <c r="N361" t="str">
        <f t="shared" si="11"/>
        <v>Robusta</v>
      </c>
      <c r="O361" t="str" cm="1">
        <f t="array" ref="O361">_xlfn.IFS(J361="M", "Medium", J361="L", "Light", J361="D", "Dark")</f>
        <v>Light</v>
      </c>
      <c r="P361" t="str">
        <f>_xlfn.XLOOKUP(Orders[[#This Row],[Customer ID]], customers!$A$2:$A$1001, customers!$I$2:$I$1001, 0)</f>
        <v>No</v>
      </c>
    </row>
    <row r="362" spans="1:16" x14ac:dyDescent="0.35">
      <c r="A362" s="2" t="s">
        <v>2521</v>
      </c>
      <c r="B362" s="3">
        <v>44058</v>
      </c>
      <c r="C362" s="2" t="s">
        <v>2522</v>
      </c>
      <c r="D362" t="s">
        <v>6149</v>
      </c>
      <c r="E362" s="2">
        <v>2</v>
      </c>
      <c r="F362" s="2" t="str" cm="1">
        <f t="array" ref="F362">_xlfn.XLOOKUP(C362, customers!$A$1:A1361, customers!$B$1:B1361, 0)</f>
        <v>Nicko Corps</v>
      </c>
      <c r="G362" s="2" t="str">
        <f>IF(_xlfn.XLOOKUP(C362, customers!A361:A1361, customers!C361:C1361, 0)=0, "", _xlfn.XLOOKUP(C362, customers!A361:A1361, customers!C361:C1361, 0))</f>
        <v>ncorpsa0@gmpg.org</v>
      </c>
      <c r="H362" s="2" t="str" cm="1">
        <f t="array" ref="H362">_xlfn.XLOOKUP(C362, customers!$A$1:A1361, customers!$G$1:G1361,, 0)</f>
        <v>United States</v>
      </c>
      <c r="I362" t="str" cm="1">
        <f t="array" ref="I362">_xlfn.XLOOKUP(orders!D362, products!$A$1:A409, products!$B$1:B409, 0)</f>
        <v>Rob</v>
      </c>
      <c r="J362" t="str" cm="1">
        <f t="array" ref="J362">_xlfn.XLOOKUP(D362, products!$A$1:A409, products!$C$1:C409, 0)</f>
        <v>D</v>
      </c>
      <c r="K362" s="4" cm="1">
        <f t="array" ref="K362">_xlfn.XLOOKUP(D362, products!$A$1:A409, products!$D$1:D409, 0)</f>
        <v>2.5</v>
      </c>
      <c r="L362" s="4" cm="1">
        <f t="array" ref="L362">_xlfn.XLOOKUP(D362, products!$A$1:A409, products!$E$1:E409)</f>
        <v>20.584999999999997</v>
      </c>
      <c r="M362">
        <f t="shared" si="10"/>
        <v>41.169999999999995</v>
      </c>
      <c r="N362" t="str">
        <f t="shared" si="11"/>
        <v>Robusta</v>
      </c>
      <c r="O362" t="str" cm="1">
        <f t="array" ref="O362">_xlfn.IFS(J362="M", "Medium", J362="L", "Light", J362="D", "Dark")</f>
        <v>Dark</v>
      </c>
      <c r="P362" t="str">
        <f>_xlfn.XLOOKUP(Orders[[#This Row],[Customer ID]], customers!$A$2:$A$1001, customers!$I$2:$I$1001, 0)</f>
        <v>No</v>
      </c>
    </row>
    <row r="363" spans="1:16" x14ac:dyDescent="0.35">
      <c r="A363" s="2" t="s">
        <v>2521</v>
      </c>
      <c r="B363" s="3">
        <v>44058</v>
      </c>
      <c r="C363" s="2" t="s">
        <v>2522</v>
      </c>
      <c r="D363" t="s">
        <v>6146</v>
      </c>
      <c r="E363" s="2">
        <v>1</v>
      </c>
      <c r="F363" s="2" t="str" cm="1">
        <f t="array" ref="F363">_xlfn.XLOOKUP(C363, customers!$A$1:A1362, customers!$B$1:B1362, 0)</f>
        <v>Nicko Corps</v>
      </c>
      <c r="G363" s="2" t="str">
        <f>IF(_xlfn.XLOOKUP(C363, customers!A362:A1362, customers!C362:C1362, 0)=0, "", _xlfn.XLOOKUP(C363, customers!A362:A1362, customers!C362:C1362, 0))</f>
        <v>ncorpsa0@gmpg.org</v>
      </c>
      <c r="H363" s="2" t="str" cm="1">
        <f t="array" ref="H363">_xlfn.XLOOKUP(C363, customers!$A$1:A1362, customers!$G$1:G1362,, 0)</f>
        <v>United States</v>
      </c>
      <c r="I363" t="str" cm="1">
        <f t="array" ref="I363">_xlfn.XLOOKUP(orders!D363, products!$A$1:A410, products!$B$1:B410, 0)</f>
        <v>Rob</v>
      </c>
      <c r="J363" t="str" cm="1">
        <f t="array" ref="J363">_xlfn.XLOOKUP(D363, products!$A$1:A410, products!$C$1:C410, 0)</f>
        <v>M</v>
      </c>
      <c r="K363" s="4" cm="1">
        <f t="array" ref="K363">_xlfn.XLOOKUP(D363, products!$A$1:A410, products!$D$1:D410, 0)</f>
        <v>0.5</v>
      </c>
      <c r="L363" s="4" cm="1">
        <f t="array" ref="L363">_xlfn.XLOOKUP(D363, products!$A$1:A410, products!$E$1:E410)</f>
        <v>5.97</v>
      </c>
      <c r="M363">
        <f t="shared" si="10"/>
        <v>5.97</v>
      </c>
      <c r="N363" t="str">
        <f t="shared" si="11"/>
        <v>Robusta</v>
      </c>
      <c r="O363" t="str" cm="1">
        <f t="array" ref="O363">_xlfn.IFS(J363="M", "Medium", J363="L", "Light", J363="D", "Dark")</f>
        <v>Medium</v>
      </c>
      <c r="P363" t="str">
        <f>_xlfn.XLOOKUP(Orders[[#This Row],[Customer ID]], customers!$A$2:$A$1001, customers!$I$2:$I$1001, 0)</f>
        <v>No</v>
      </c>
    </row>
    <row r="364" spans="1:16" x14ac:dyDescent="0.35">
      <c r="A364" s="2" t="s">
        <v>2532</v>
      </c>
      <c r="B364" s="3">
        <v>44686</v>
      </c>
      <c r="C364" s="2" t="s">
        <v>2533</v>
      </c>
      <c r="D364" t="s">
        <v>6171</v>
      </c>
      <c r="E364" s="2">
        <v>5</v>
      </c>
      <c r="F364" s="2" t="str" cm="1">
        <f t="array" ref="F364">_xlfn.XLOOKUP(C364, customers!$A$1:A1363, customers!$B$1:B1363, 0)</f>
        <v>Feliks Babber</v>
      </c>
      <c r="G364" s="2" t="str">
        <f>IF(_xlfn.XLOOKUP(C364, customers!A363:A1363, customers!C363:C1363, 0)=0, "", _xlfn.XLOOKUP(C364, customers!A363:A1363, customers!C363:C1363, 0))</f>
        <v>fbabbera2@stanford.edu</v>
      </c>
      <c r="H364" s="2" t="str" cm="1">
        <f t="array" ref="H364">_xlfn.XLOOKUP(C364, customers!$A$1:A1363, customers!$G$1:G1363,, 0)</f>
        <v>United States</v>
      </c>
      <c r="I364" t="str" cm="1">
        <f t="array" ref="I364">_xlfn.XLOOKUP(orders!D364, products!$A$1:A411, products!$B$1:B411, 0)</f>
        <v>Exc</v>
      </c>
      <c r="J364" t="str" cm="1">
        <f t="array" ref="J364">_xlfn.XLOOKUP(D364, products!$A$1:A411, products!$C$1:C411, 0)</f>
        <v>L</v>
      </c>
      <c r="K364" s="4" cm="1">
        <f t="array" ref="K364">_xlfn.XLOOKUP(D364, products!$A$1:A411, products!$D$1:D411, 0)</f>
        <v>1</v>
      </c>
      <c r="L364" s="4" cm="1">
        <f t="array" ref="L364">_xlfn.XLOOKUP(D364, products!$A$1:A411, products!$E$1:E411)</f>
        <v>14.85</v>
      </c>
      <c r="M364">
        <f t="shared" si="10"/>
        <v>74.25</v>
      </c>
      <c r="N364" t="str">
        <f t="shared" si="11"/>
        <v>Excelsa</v>
      </c>
      <c r="O364" t="str" cm="1">
        <f t="array" ref="O364">_xlfn.IFS(J364="M", "Medium", J364="L", "Light", J364="D", "Dark")</f>
        <v>Light</v>
      </c>
      <c r="P364" t="str">
        <f>_xlfn.XLOOKUP(Orders[[#This Row],[Customer ID]], customers!$A$2:$A$1001, customers!$I$2:$I$1001, 0)</f>
        <v>Yes</v>
      </c>
    </row>
    <row r="365" spans="1:16" x14ac:dyDescent="0.35">
      <c r="A365" s="2" t="s">
        <v>2538</v>
      </c>
      <c r="B365" s="3">
        <v>44282</v>
      </c>
      <c r="C365" s="2" t="s">
        <v>2539</v>
      </c>
      <c r="D365" t="s">
        <v>6162</v>
      </c>
      <c r="E365" s="2">
        <v>6</v>
      </c>
      <c r="F365" s="2" t="str" cm="1">
        <f t="array" ref="F365">_xlfn.XLOOKUP(C365, customers!$A$1:A1364, customers!$B$1:B1364, 0)</f>
        <v>Kaja Loxton</v>
      </c>
      <c r="G365" s="2" t="str">
        <f>IF(_xlfn.XLOOKUP(C365, customers!A364:A1364, customers!C364:C1364, 0)=0, "", _xlfn.XLOOKUP(C365, customers!A364:A1364, customers!C364:C1364, 0))</f>
        <v>kloxtona3@opensource.org</v>
      </c>
      <c r="H365" s="2" t="str" cm="1">
        <f t="array" ref="H365">_xlfn.XLOOKUP(C365, customers!$A$1:A1364, customers!$G$1:G1364,, 0)</f>
        <v>United States</v>
      </c>
      <c r="I365" t="str" cm="1">
        <f t="array" ref="I365">_xlfn.XLOOKUP(orders!D365, products!$A$1:A412, products!$B$1:B412, 0)</f>
        <v>Lib</v>
      </c>
      <c r="J365" t="str" cm="1">
        <f t="array" ref="J365">_xlfn.XLOOKUP(D365, products!$A$1:A412, products!$C$1:C412, 0)</f>
        <v>M</v>
      </c>
      <c r="K365" s="4" cm="1">
        <f t="array" ref="K365">_xlfn.XLOOKUP(D365, products!$A$1:A412, products!$D$1:D412, 0)</f>
        <v>1</v>
      </c>
      <c r="L365" s="4" cm="1">
        <f t="array" ref="L365">_xlfn.XLOOKUP(D365, products!$A$1:A412, products!$E$1:E412)</f>
        <v>14.55</v>
      </c>
      <c r="M365">
        <f t="shared" si="10"/>
        <v>87.300000000000011</v>
      </c>
      <c r="N365" t="str">
        <f t="shared" si="11"/>
        <v>Liberica</v>
      </c>
      <c r="O365" t="str" cm="1">
        <f t="array" ref="O365">_xlfn.IFS(J365="M", "Medium", J365="L", "Light", J365="D", "Dark")</f>
        <v>Medium</v>
      </c>
      <c r="P365" t="str">
        <f>_xlfn.XLOOKUP(Orders[[#This Row],[Customer ID]], customers!$A$2:$A$1001, customers!$I$2:$I$1001, 0)</f>
        <v>No</v>
      </c>
    </row>
    <row r="366" spans="1:16" x14ac:dyDescent="0.35">
      <c r="A366" s="2" t="s">
        <v>2543</v>
      </c>
      <c r="B366" s="3">
        <v>43582</v>
      </c>
      <c r="C366" s="2" t="s">
        <v>2544</v>
      </c>
      <c r="D366" t="s">
        <v>6183</v>
      </c>
      <c r="E366" s="2">
        <v>6</v>
      </c>
      <c r="F366" s="2" t="str" cm="1">
        <f t="array" ref="F366">_xlfn.XLOOKUP(C366, customers!$A$1:A1365, customers!$B$1:B1365, 0)</f>
        <v>Parker Tofful</v>
      </c>
      <c r="G366" s="2" t="str">
        <f>IF(_xlfn.XLOOKUP(C366, customers!A365:A1365, customers!C365:C1365, 0)=0, "", _xlfn.XLOOKUP(C366, customers!A365:A1365, customers!C365:C1365, 0))</f>
        <v>ptoffula4@posterous.com</v>
      </c>
      <c r="H366" s="2" t="str" cm="1">
        <f t="array" ref="H366">_xlfn.XLOOKUP(C366, customers!$A$1:A1365, customers!$G$1:G1365,, 0)</f>
        <v>United States</v>
      </c>
      <c r="I366" t="str" cm="1">
        <f t="array" ref="I366">_xlfn.XLOOKUP(orders!D366, products!$A$1:A413, products!$B$1:B413, 0)</f>
        <v>Exc</v>
      </c>
      <c r="J366" t="str" cm="1">
        <f t="array" ref="J366">_xlfn.XLOOKUP(D366, products!$A$1:A413, products!$C$1:C413, 0)</f>
        <v>D</v>
      </c>
      <c r="K366" s="4" cm="1">
        <f t="array" ref="K366">_xlfn.XLOOKUP(D366, products!$A$1:A413, products!$D$1:D413, 0)</f>
        <v>1</v>
      </c>
      <c r="L366" s="4" cm="1">
        <f t="array" ref="L366">_xlfn.XLOOKUP(D366, products!$A$1:A413, products!$E$1:E413)</f>
        <v>12.15</v>
      </c>
      <c r="M366">
        <f t="shared" si="10"/>
        <v>72.900000000000006</v>
      </c>
      <c r="N366" t="str">
        <f t="shared" si="11"/>
        <v>Excelsa</v>
      </c>
      <c r="O366" t="str" cm="1">
        <f t="array" ref="O366">_xlfn.IFS(J366="M", "Medium", J366="L", "Light", J366="D", "Dark")</f>
        <v>Dark</v>
      </c>
      <c r="P366" t="str">
        <f>_xlfn.XLOOKUP(Orders[[#This Row],[Customer ID]], customers!$A$2:$A$1001, customers!$I$2:$I$1001, 0)</f>
        <v>Yes</v>
      </c>
    </row>
    <row r="367" spans="1:16" x14ac:dyDescent="0.35">
      <c r="A367" s="2" t="s">
        <v>2549</v>
      </c>
      <c r="B367" s="3">
        <v>44464</v>
      </c>
      <c r="C367" s="2" t="s">
        <v>2550</v>
      </c>
      <c r="D367" t="s">
        <v>6169</v>
      </c>
      <c r="E367" s="2">
        <v>1</v>
      </c>
      <c r="F367" s="2" t="str" cm="1">
        <f t="array" ref="F367">_xlfn.XLOOKUP(C367, customers!$A$1:A1366, customers!$B$1:B1366, 0)</f>
        <v>Casi Gwinnett</v>
      </c>
      <c r="G367" s="2" t="str">
        <f>IF(_xlfn.XLOOKUP(C367, customers!A366:A1366, customers!C366:C1366, 0)=0, "", _xlfn.XLOOKUP(C367, customers!A366:A1366, customers!C366:C1366, 0))</f>
        <v>cgwinnetta5@behance.net</v>
      </c>
      <c r="H367" s="2" t="str" cm="1">
        <f t="array" ref="H367">_xlfn.XLOOKUP(C367, customers!$A$1:A1366, customers!$G$1:G1366,, 0)</f>
        <v>United States</v>
      </c>
      <c r="I367" t="str" cm="1">
        <f t="array" ref="I367">_xlfn.XLOOKUP(orders!D367, products!$A$1:A414, products!$B$1:B414, 0)</f>
        <v>Lib</v>
      </c>
      <c r="J367" t="str" cm="1">
        <f t="array" ref="J367">_xlfn.XLOOKUP(D367, products!$A$1:A414, products!$C$1:C414, 0)</f>
        <v>D</v>
      </c>
      <c r="K367" s="4" cm="1">
        <f t="array" ref="K367">_xlfn.XLOOKUP(D367, products!$A$1:A414, products!$D$1:D414, 0)</f>
        <v>0.5</v>
      </c>
      <c r="L367" s="4" cm="1">
        <f t="array" ref="L367">_xlfn.XLOOKUP(D367, products!$A$1:A414, products!$E$1:E414)</f>
        <v>7.77</v>
      </c>
      <c r="M367">
        <f t="shared" si="10"/>
        <v>7.77</v>
      </c>
      <c r="N367" t="str">
        <f t="shared" si="11"/>
        <v>Liberica</v>
      </c>
      <c r="O367" t="str" cm="1">
        <f t="array" ref="O367">_xlfn.IFS(J367="M", "Medium", J367="L", "Light", J367="D", "Dark")</f>
        <v>Dark</v>
      </c>
      <c r="P367" t="str">
        <f>_xlfn.XLOOKUP(Orders[[#This Row],[Customer ID]], customers!$A$2:$A$1001, customers!$I$2:$I$1001, 0)</f>
        <v>No</v>
      </c>
    </row>
    <row r="368" spans="1:16" x14ac:dyDescent="0.35">
      <c r="A368" s="2" t="s">
        <v>2554</v>
      </c>
      <c r="B368" s="3">
        <v>43874</v>
      </c>
      <c r="C368" s="2" t="s">
        <v>2555</v>
      </c>
      <c r="D368" t="s">
        <v>6144</v>
      </c>
      <c r="E368" s="2">
        <v>6</v>
      </c>
      <c r="F368" s="2" t="str" cm="1">
        <f t="array" ref="F368">_xlfn.XLOOKUP(C368, customers!$A$1:A1367, customers!$B$1:B1367, 0)</f>
        <v>Saree Ellesworth</v>
      </c>
      <c r="G368" s="2" t="str">
        <f>IF(_xlfn.XLOOKUP(C368, customers!A367:A1367, customers!C367:C1367, 0)=0, "", _xlfn.XLOOKUP(C368, customers!A367:A1367, customers!C367:C1367, 0))</f>
        <v/>
      </c>
      <c r="H368" s="2" t="str" cm="1">
        <f t="array" ref="H368">_xlfn.XLOOKUP(C368, customers!$A$1:A1367, customers!$G$1:G1367,, 0)</f>
        <v>United States</v>
      </c>
      <c r="I368" t="str" cm="1">
        <f t="array" ref="I368">_xlfn.XLOOKUP(orders!D368, products!$A$1:A415, products!$B$1:B415, 0)</f>
        <v>Exc</v>
      </c>
      <c r="J368" t="str" cm="1">
        <f t="array" ref="J368">_xlfn.XLOOKUP(D368, products!$A$1:A415, products!$C$1:C415, 0)</f>
        <v>D</v>
      </c>
      <c r="K368" s="4" cm="1">
        <f t="array" ref="K368">_xlfn.XLOOKUP(D368, products!$A$1:A415, products!$D$1:D415, 0)</f>
        <v>0.5</v>
      </c>
      <c r="L368" s="4" cm="1">
        <f t="array" ref="L368">_xlfn.XLOOKUP(D368, products!$A$1:A415, products!$E$1:E415)</f>
        <v>7.29</v>
      </c>
      <c r="M368">
        <f t="shared" si="10"/>
        <v>43.74</v>
      </c>
      <c r="N368" t="str">
        <f t="shared" si="11"/>
        <v>Excelsa</v>
      </c>
      <c r="O368" t="str" cm="1">
        <f t="array" ref="O368">_xlfn.IFS(J368="M", "Medium", J368="L", "Light", J368="D", "Dark")</f>
        <v>Dark</v>
      </c>
      <c r="P368" t="str">
        <f>_xlfn.XLOOKUP(Orders[[#This Row],[Customer ID]], customers!$A$2:$A$1001, customers!$I$2:$I$1001, 0)</f>
        <v>No</v>
      </c>
    </row>
    <row r="369" spans="1:16" x14ac:dyDescent="0.35">
      <c r="A369" s="2" t="s">
        <v>2559</v>
      </c>
      <c r="B369" s="3">
        <v>44393</v>
      </c>
      <c r="C369" s="2" t="s">
        <v>2560</v>
      </c>
      <c r="D369" t="s">
        <v>6159</v>
      </c>
      <c r="E369" s="2">
        <v>2</v>
      </c>
      <c r="F369" s="2" t="str" cm="1">
        <f t="array" ref="F369">_xlfn.XLOOKUP(C369, customers!$A$1:A1368, customers!$B$1:B1368, 0)</f>
        <v>Silvio Iorizzi</v>
      </c>
      <c r="G369" s="2" t="str">
        <f>IF(_xlfn.XLOOKUP(C369, customers!A368:A1368, customers!C368:C1368, 0)=0, "", _xlfn.XLOOKUP(C369, customers!A368:A1368, customers!C368:C1368, 0))</f>
        <v/>
      </c>
      <c r="H369" s="2" t="str" cm="1">
        <f t="array" ref="H369">_xlfn.XLOOKUP(C369, customers!$A$1:A1368, customers!$G$1:G1368,, 0)</f>
        <v>United States</v>
      </c>
      <c r="I369" t="str" cm="1">
        <f t="array" ref="I369">_xlfn.XLOOKUP(orders!D369, products!$A$1:A416, products!$B$1:B416, 0)</f>
        <v>Lib</v>
      </c>
      <c r="J369" t="str" cm="1">
        <f t="array" ref="J369">_xlfn.XLOOKUP(D369, products!$A$1:A416, products!$C$1:C416, 0)</f>
        <v>M</v>
      </c>
      <c r="K369" s="4" cm="1">
        <f t="array" ref="K369">_xlfn.XLOOKUP(D369, products!$A$1:A416, products!$D$1:D416, 0)</f>
        <v>0.2</v>
      </c>
      <c r="L369" s="4" cm="1">
        <f t="array" ref="L369">_xlfn.XLOOKUP(D369, products!$A$1:A416, products!$E$1:E416)</f>
        <v>4.3650000000000002</v>
      </c>
      <c r="M369">
        <f t="shared" si="10"/>
        <v>8.73</v>
      </c>
      <c r="N369" t="str">
        <f t="shared" si="11"/>
        <v>Liberica</v>
      </c>
      <c r="O369" t="str" cm="1">
        <f t="array" ref="O369">_xlfn.IFS(J369="M", "Medium", J369="L", "Light", J369="D", "Dark")</f>
        <v>Medium</v>
      </c>
      <c r="P369" t="str">
        <f>_xlfn.XLOOKUP(Orders[[#This Row],[Customer ID]], customers!$A$2:$A$1001, customers!$I$2:$I$1001, 0)</f>
        <v>Yes</v>
      </c>
    </row>
    <row r="370" spans="1:16" x14ac:dyDescent="0.35">
      <c r="A370" s="2" t="s">
        <v>2563</v>
      </c>
      <c r="B370" s="3">
        <v>44692</v>
      </c>
      <c r="C370" s="2" t="s">
        <v>2564</v>
      </c>
      <c r="D370" t="s">
        <v>6166</v>
      </c>
      <c r="E370" s="2">
        <v>2</v>
      </c>
      <c r="F370" s="2" t="str" cm="1">
        <f t="array" ref="F370">_xlfn.XLOOKUP(C370, customers!$A$1:A1369, customers!$B$1:B1369, 0)</f>
        <v>Leesa Flaonier</v>
      </c>
      <c r="G370" s="2" t="str">
        <f>IF(_xlfn.XLOOKUP(C370, customers!A369:A1369, customers!C369:C1369, 0)=0, "", _xlfn.XLOOKUP(C370, customers!A369:A1369, customers!C369:C1369, 0))</f>
        <v>lflaoniera8@wordpress.org</v>
      </c>
      <c r="H370" s="2" t="str" cm="1">
        <f t="array" ref="H370">_xlfn.XLOOKUP(C370, customers!$A$1:A1369, customers!$G$1:G1369,, 0)</f>
        <v>United States</v>
      </c>
      <c r="I370" t="str" cm="1">
        <f t="array" ref="I370">_xlfn.XLOOKUP(orders!D370, products!$A$1:A417, products!$B$1:B417, 0)</f>
        <v>Exc</v>
      </c>
      <c r="J370" t="str" cm="1">
        <f t="array" ref="J370">_xlfn.XLOOKUP(D370, products!$A$1:A417, products!$C$1:C417, 0)</f>
        <v>M</v>
      </c>
      <c r="K370" s="4" cm="1">
        <f t="array" ref="K370">_xlfn.XLOOKUP(D370, products!$A$1:A417, products!$D$1:D417, 0)</f>
        <v>2.5</v>
      </c>
      <c r="L370" s="4" cm="1">
        <f t="array" ref="L370">_xlfn.XLOOKUP(D370, products!$A$1:A417, products!$E$1:E417)</f>
        <v>31.624999999999996</v>
      </c>
      <c r="M370">
        <f t="shared" si="10"/>
        <v>63.249999999999993</v>
      </c>
      <c r="N370" t="str">
        <f t="shared" si="11"/>
        <v>Excelsa</v>
      </c>
      <c r="O370" t="str" cm="1">
        <f t="array" ref="O370">_xlfn.IFS(J370="M", "Medium", J370="L", "Light", J370="D", "Dark")</f>
        <v>Medium</v>
      </c>
      <c r="P370" t="str">
        <f>_xlfn.XLOOKUP(Orders[[#This Row],[Customer ID]], customers!$A$2:$A$1001, customers!$I$2:$I$1001, 0)</f>
        <v>No</v>
      </c>
    </row>
    <row r="371" spans="1:16" x14ac:dyDescent="0.35">
      <c r="A371" s="2" t="s">
        <v>2569</v>
      </c>
      <c r="B371" s="3">
        <v>43500</v>
      </c>
      <c r="C371" s="2" t="s">
        <v>2570</v>
      </c>
      <c r="D371" t="s">
        <v>6176</v>
      </c>
      <c r="E371" s="2">
        <v>1</v>
      </c>
      <c r="F371" s="2" t="str" cm="1">
        <f t="array" ref="F371">_xlfn.XLOOKUP(C371, customers!$A$1:A1370, customers!$B$1:B1370, 0)</f>
        <v>Abba Pummell</v>
      </c>
      <c r="G371" s="2" t="str">
        <f>IF(_xlfn.XLOOKUP(C371, customers!A370:A1370, customers!C370:C1370, 0)=0, "", _xlfn.XLOOKUP(C371, customers!A370:A1370, customers!C370:C1370, 0))</f>
        <v/>
      </c>
      <c r="H371" s="2" t="str" cm="1">
        <f t="array" ref="H371">_xlfn.XLOOKUP(C371, customers!$A$1:A1370, customers!$G$1:G1370,, 0)</f>
        <v>United States</v>
      </c>
      <c r="I371" t="str" cm="1">
        <f t="array" ref="I371">_xlfn.XLOOKUP(orders!D371, products!$A$1:A418, products!$B$1:B418, 0)</f>
        <v>Exc</v>
      </c>
      <c r="J371" t="str" cm="1">
        <f t="array" ref="J371">_xlfn.XLOOKUP(D371, products!$A$1:A418, products!$C$1:C418, 0)</f>
        <v>L</v>
      </c>
      <c r="K371" s="4" cm="1">
        <f t="array" ref="K371">_xlfn.XLOOKUP(D371, products!$A$1:A418, products!$D$1:D418, 0)</f>
        <v>0.5</v>
      </c>
      <c r="L371" s="4" cm="1">
        <f t="array" ref="L371">_xlfn.XLOOKUP(D371, products!$A$1:A418, products!$E$1:E418)</f>
        <v>8.91</v>
      </c>
      <c r="M371">
        <f t="shared" si="10"/>
        <v>8.91</v>
      </c>
      <c r="N371" t="str">
        <f t="shared" si="11"/>
        <v>Excelsa</v>
      </c>
      <c r="O371" t="str" cm="1">
        <f t="array" ref="O371">_xlfn.IFS(J371="M", "Medium", J371="L", "Light", J371="D", "Dark")</f>
        <v>Light</v>
      </c>
      <c r="P371" t="str">
        <f>_xlfn.XLOOKUP(Orders[[#This Row],[Customer ID]], customers!$A$2:$A$1001, customers!$I$2:$I$1001, 0)</f>
        <v>Yes</v>
      </c>
    </row>
    <row r="372" spans="1:16" x14ac:dyDescent="0.35">
      <c r="A372" s="2" t="s">
        <v>2573</v>
      </c>
      <c r="B372" s="3">
        <v>43501</v>
      </c>
      <c r="C372" s="2" t="s">
        <v>2574</v>
      </c>
      <c r="D372" t="s">
        <v>6183</v>
      </c>
      <c r="E372" s="2">
        <v>2</v>
      </c>
      <c r="F372" s="2" t="str" cm="1">
        <f t="array" ref="F372">_xlfn.XLOOKUP(C372, customers!$A$1:A1371, customers!$B$1:B1371, 0)</f>
        <v>Corinna Catcheside</v>
      </c>
      <c r="G372" s="2" t="str">
        <f>IF(_xlfn.XLOOKUP(C372, customers!A371:A1371, customers!C371:C1371, 0)=0, "", _xlfn.XLOOKUP(C372, customers!A371:A1371, customers!C371:C1371, 0))</f>
        <v>ccatchesideaa@macromedia.com</v>
      </c>
      <c r="H372" s="2" t="str" cm="1">
        <f t="array" ref="H372">_xlfn.XLOOKUP(C372, customers!$A$1:A1371, customers!$G$1:G1371,, 0)</f>
        <v>United States</v>
      </c>
      <c r="I372" t="str" cm="1">
        <f t="array" ref="I372">_xlfn.XLOOKUP(orders!D372, products!$A$1:A419, products!$B$1:B419, 0)</f>
        <v>Exc</v>
      </c>
      <c r="J372" t="str" cm="1">
        <f t="array" ref="J372">_xlfn.XLOOKUP(D372, products!$A$1:A419, products!$C$1:C419, 0)</f>
        <v>D</v>
      </c>
      <c r="K372" s="4" cm="1">
        <f t="array" ref="K372">_xlfn.XLOOKUP(D372, products!$A$1:A419, products!$D$1:D419, 0)</f>
        <v>1</v>
      </c>
      <c r="L372" s="4" cm="1">
        <f t="array" ref="L372">_xlfn.XLOOKUP(D372, products!$A$1:A419, products!$E$1:E419)</f>
        <v>12.15</v>
      </c>
      <c r="M372">
        <f t="shared" si="10"/>
        <v>24.3</v>
      </c>
      <c r="N372" t="str">
        <f t="shared" si="11"/>
        <v>Excelsa</v>
      </c>
      <c r="O372" t="str" cm="1">
        <f t="array" ref="O372">_xlfn.IFS(J372="M", "Medium", J372="L", "Light", J372="D", "Dark")</f>
        <v>Dark</v>
      </c>
      <c r="P372" t="str">
        <f>_xlfn.XLOOKUP(Orders[[#This Row],[Customer ID]], customers!$A$2:$A$1001, customers!$I$2:$I$1001, 0)</f>
        <v>Yes</v>
      </c>
    </row>
    <row r="373" spans="1:16" x14ac:dyDescent="0.35">
      <c r="A373" s="2" t="s">
        <v>2579</v>
      </c>
      <c r="B373" s="3">
        <v>44705</v>
      </c>
      <c r="C373" s="2" t="s">
        <v>2580</v>
      </c>
      <c r="D373" t="s">
        <v>6180</v>
      </c>
      <c r="E373" s="2">
        <v>6</v>
      </c>
      <c r="F373" s="2" t="str" cm="1">
        <f t="array" ref="F373">_xlfn.XLOOKUP(C373, customers!$A$1:A1372, customers!$B$1:B1372, 0)</f>
        <v>Cortney Gibbonson</v>
      </c>
      <c r="G373" s="2" t="str">
        <f>IF(_xlfn.XLOOKUP(C373, customers!A372:A1372, customers!C372:C1372, 0)=0, "", _xlfn.XLOOKUP(C373, customers!A372:A1372, customers!C372:C1372, 0))</f>
        <v>cgibbonsonab@accuweather.com</v>
      </c>
      <c r="H373" s="2" t="str" cm="1">
        <f t="array" ref="H373">_xlfn.XLOOKUP(C373, customers!$A$1:A1372, customers!$G$1:G1372,, 0)</f>
        <v>United States</v>
      </c>
      <c r="I373" t="str" cm="1">
        <f t="array" ref="I373">_xlfn.XLOOKUP(orders!D373, products!$A$1:A420, products!$B$1:B420, 0)</f>
        <v>Ara</v>
      </c>
      <c r="J373" t="str" cm="1">
        <f t="array" ref="J373">_xlfn.XLOOKUP(D373, products!$A$1:A420, products!$C$1:C420, 0)</f>
        <v>L</v>
      </c>
      <c r="K373" s="4" cm="1">
        <f t="array" ref="K373">_xlfn.XLOOKUP(D373, products!$A$1:A420, products!$D$1:D420, 0)</f>
        <v>0.5</v>
      </c>
      <c r="L373" s="4" cm="1">
        <f t="array" ref="L373">_xlfn.XLOOKUP(D373, products!$A$1:A420, products!$E$1:E420)</f>
        <v>7.77</v>
      </c>
      <c r="M373">
        <f t="shared" si="10"/>
        <v>46.62</v>
      </c>
      <c r="N373" t="str">
        <f t="shared" si="11"/>
        <v>Arabica</v>
      </c>
      <c r="O373" t="str" cm="1">
        <f t="array" ref="O373">_xlfn.IFS(J373="M", "Medium", J373="L", "Light", J373="D", "Dark")</f>
        <v>Light</v>
      </c>
      <c r="P373" t="str">
        <f>_xlfn.XLOOKUP(Orders[[#This Row],[Customer ID]], customers!$A$2:$A$1001, customers!$I$2:$I$1001, 0)</f>
        <v>Yes</v>
      </c>
    </row>
    <row r="374" spans="1:16" x14ac:dyDescent="0.35">
      <c r="A374" s="2" t="s">
        <v>2585</v>
      </c>
      <c r="B374" s="3">
        <v>44108</v>
      </c>
      <c r="C374" s="2" t="s">
        <v>2586</v>
      </c>
      <c r="D374" t="s">
        <v>6173</v>
      </c>
      <c r="E374" s="2">
        <v>6</v>
      </c>
      <c r="F374" s="2" t="str" cm="1">
        <f t="array" ref="F374">_xlfn.XLOOKUP(C374, customers!$A$1:A1373, customers!$B$1:B1373, 0)</f>
        <v>Terri Farra</v>
      </c>
      <c r="G374" s="2" t="str">
        <f>IF(_xlfn.XLOOKUP(C374, customers!A373:A1373, customers!C373:C1373, 0)=0, "", _xlfn.XLOOKUP(C374, customers!A373:A1373, customers!C373:C1373, 0))</f>
        <v>tfarraac@behance.net</v>
      </c>
      <c r="H374" s="2" t="str" cm="1">
        <f t="array" ref="H374">_xlfn.XLOOKUP(C374, customers!$A$1:A1373, customers!$G$1:G1373,, 0)</f>
        <v>United States</v>
      </c>
      <c r="I374" t="str" cm="1">
        <f t="array" ref="I374">_xlfn.XLOOKUP(orders!D374, products!$A$1:A421, products!$B$1:B421, 0)</f>
        <v>Rob</v>
      </c>
      <c r="J374" t="str" cm="1">
        <f t="array" ref="J374">_xlfn.XLOOKUP(D374, products!$A$1:A421, products!$C$1:C421, 0)</f>
        <v>L</v>
      </c>
      <c r="K374" s="4" cm="1">
        <f t="array" ref="K374">_xlfn.XLOOKUP(D374, products!$A$1:A421, products!$D$1:D421, 0)</f>
        <v>0.5</v>
      </c>
      <c r="L374" s="4" cm="1">
        <f t="array" ref="L374">_xlfn.XLOOKUP(D374, products!$A$1:A421, products!$E$1:E421)</f>
        <v>7.169999999999999</v>
      </c>
      <c r="M374">
        <f t="shared" si="10"/>
        <v>43.019999999999996</v>
      </c>
      <c r="N374" t="str">
        <f t="shared" si="11"/>
        <v>Robusta</v>
      </c>
      <c r="O374" t="str" cm="1">
        <f t="array" ref="O374">_xlfn.IFS(J374="M", "Medium", J374="L", "Light", J374="D", "Dark")</f>
        <v>Light</v>
      </c>
      <c r="P374" t="str">
        <f>_xlfn.XLOOKUP(Orders[[#This Row],[Customer ID]], customers!$A$2:$A$1001, customers!$I$2:$I$1001, 0)</f>
        <v>No</v>
      </c>
    </row>
    <row r="375" spans="1:16" x14ac:dyDescent="0.35">
      <c r="A375" s="2" t="s">
        <v>2591</v>
      </c>
      <c r="B375" s="3">
        <v>44742</v>
      </c>
      <c r="C375" s="2" t="s">
        <v>2592</v>
      </c>
      <c r="D375" t="s">
        <v>6158</v>
      </c>
      <c r="E375" s="2">
        <v>3</v>
      </c>
      <c r="F375" s="2" t="str" cm="1">
        <f t="array" ref="F375">_xlfn.XLOOKUP(C375, customers!$A$1:A1374, customers!$B$1:B1374, 0)</f>
        <v>Corney Curme</v>
      </c>
      <c r="G375" s="2" t="str">
        <f>IF(_xlfn.XLOOKUP(C375, customers!A374:A1374, customers!C374:C1374, 0)=0, "", _xlfn.XLOOKUP(C375, customers!A374:A1374, customers!C374:C1374, 0))</f>
        <v/>
      </c>
      <c r="H375" s="2" t="str" cm="1">
        <f t="array" ref="H375">_xlfn.XLOOKUP(C375, customers!$A$1:A1374, customers!$G$1:G1374,, 0)</f>
        <v>Ireland</v>
      </c>
      <c r="I375" t="str" cm="1">
        <f t="array" ref="I375">_xlfn.XLOOKUP(orders!D375, products!$A$1:A422, products!$B$1:B422, 0)</f>
        <v>Ara</v>
      </c>
      <c r="J375" t="str" cm="1">
        <f t="array" ref="J375">_xlfn.XLOOKUP(D375, products!$A$1:A422, products!$C$1:C422, 0)</f>
        <v>D</v>
      </c>
      <c r="K375" s="4" cm="1">
        <f t="array" ref="K375">_xlfn.XLOOKUP(D375, products!$A$1:A422, products!$D$1:D422, 0)</f>
        <v>0.5</v>
      </c>
      <c r="L375" s="4" cm="1">
        <f t="array" ref="L375">_xlfn.XLOOKUP(D375, products!$A$1:A422, products!$E$1:E422)</f>
        <v>5.97</v>
      </c>
      <c r="M375">
        <f t="shared" si="10"/>
        <v>17.91</v>
      </c>
      <c r="N375" t="str">
        <f t="shared" si="11"/>
        <v>Arabica</v>
      </c>
      <c r="O375" t="str" cm="1">
        <f t="array" ref="O375">_xlfn.IFS(J375="M", "Medium", J375="L", "Light", J375="D", "Dark")</f>
        <v>Dark</v>
      </c>
      <c r="P375" t="str">
        <f>_xlfn.XLOOKUP(Orders[[#This Row],[Customer ID]], customers!$A$2:$A$1001, customers!$I$2:$I$1001, 0)</f>
        <v>Yes</v>
      </c>
    </row>
    <row r="376" spans="1:16" x14ac:dyDescent="0.35">
      <c r="A376" s="2" t="s">
        <v>2597</v>
      </c>
      <c r="B376" s="3">
        <v>44125</v>
      </c>
      <c r="C376" s="2" t="s">
        <v>2598</v>
      </c>
      <c r="D376" t="s">
        <v>6161</v>
      </c>
      <c r="E376" s="2">
        <v>4</v>
      </c>
      <c r="F376" s="2" t="str" cm="1">
        <f t="array" ref="F376">_xlfn.XLOOKUP(C376, customers!$A$1:A1375, customers!$B$1:B1375, 0)</f>
        <v>Gothart Bamfield</v>
      </c>
      <c r="G376" s="2" t="str">
        <f>IF(_xlfn.XLOOKUP(C376, customers!A375:A1375, customers!C375:C1375, 0)=0, "", _xlfn.XLOOKUP(C376, customers!A375:A1375, customers!C375:C1375, 0))</f>
        <v>gbamfieldae@yellowpages.com</v>
      </c>
      <c r="H376" s="2" t="str" cm="1">
        <f t="array" ref="H376">_xlfn.XLOOKUP(C376, customers!$A$1:A1375, customers!$G$1:G1375,, 0)</f>
        <v>United States</v>
      </c>
      <c r="I376" t="str" cm="1">
        <f t="array" ref="I376">_xlfn.XLOOKUP(orders!D376, products!$A$1:A423, products!$B$1:B423, 0)</f>
        <v>Lib</v>
      </c>
      <c r="J376" t="str" cm="1">
        <f t="array" ref="J376">_xlfn.XLOOKUP(D376, products!$A$1:A423, products!$C$1:C423, 0)</f>
        <v>L</v>
      </c>
      <c r="K376" s="4" cm="1">
        <f t="array" ref="K376">_xlfn.XLOOKUP(D376, products!$A$1:A423, products!$D$1:D423, 0)</f>
        <v>0.5</v>
      </c>
      <c r="L376" s="4" cm="1">
        <f t="array" ref="L376">_xlfn.XLOOKUP(D376, products!$A$1:A423, products!$E$1:E423)</f>
        <v>9.51</v>
      </c>
      <c r="M376">
        <f t="shared" si="10"/>
        <v>38.04</v>
      </c>
      <c r="N376" t="str">
        <f t="shared" si="11"/>
        <v>Liberica</v>
      </c>
      <c r="O376" t="str" cm="1">
        <f t="array" ref="O376">_xlfn.IFS(J376="M", "Medium", J376="L", "Light", J376="D", "Dark")</f>
        <v>Light</v>
      </c>
      <c r="P376" t="str">
        <f>_xlfn.XLOOKUP(Orders[[#This Row],[Customer ID]], customers!$A$2:$A$1001, customers!$I$2:$I$1001, 0)</f>
        <v>Yes</v>
      </c>
    </row>
    <row r="377" spans="1:16" x14ac:dyDescent="0.35">
      <c r="A377" s="2" t="s">
        <v>2603</v>
      </c>
      <c r="B377" s="3">
        <v>44120</v>
      </c>
      <c r="C377" s="2" t="s">
        <v>2604</v>
      </c>
      <c r="D377" t="s">
        <v>6152</v>
      </c>
      <c r="E377" s="2">
        <v>2</v>
      </c>
      <c r="F377" s="2" t="str" cm="1">
        <f t="array" ref="F377">_xlfn.XLOOKUP(C377, customers!$A$1:A1376, customers!$B$1:B1376, 0)</f>
        <v>Waylin Hollingdale</v>
      </c>
      <c r="G377" s="2" t="str">
        <f>IF(_xlfn.XLOOKUP(C377, customers!A376:A1376, customers!C376:C1376, 0)=0, "", _xlfn.XLOOKUP(C377, customers!A376:A1376, customers!C376:C1376, 0))</f>
        <v>whollingdaleaf@about.me</v>
      </c>
      <c r="H377" s="2" t="str" cm="1">
        <f t="array" ref="H377">_xlfn.XLOOKUP(C377, customers!$A$1:A1376, customers!$G$1:G1376,, 0)</f>
        <v>United States</v>
      </c>
      <c r="I377" t="str" cm="1">
        <f t="array" ref="I377">_xlfn.XLOOKUP(orders!D377, products!$A$1:A424, products!$B$1:B424, 0)</f>
        <v>Ara</v>
      </c>
      <c r="J377" t="str" cm="1">
        <f t="array" ref="J377">_xlfn.XLOOKUP(D377, products!$A$1:A424, products!$C$1:C424, 0)</f>
        <v>M</v>
      </c>
      <c r="K377" s="4" cm="1">
        <f t="array" ref="K377">_xlfn.XLOOKUP(D377, products!$A$1:A424, products!$D$1:D424, 0)</f>
        <v>0.2</v>
      </c>
      <c r="L377" s="4" cm="1">
        <f t="array" ref="L377">_xlfn.XLOOKUP(D377, products!$A$1:A424, products!$E$1:E424)</f>
        <v>3.375</v>
      </c>
      <c r="M377">
        <f t="shared" si="10"/>
        <v>6.75</v>
      </c>
      <c r="N377" t="str">
        <f t="shared" si="11"/>
        <v>Arabica</v>
      </c>
      <c r="O377" t="str" cm="1">
        <f t="array" ref="O377">_xlfn.IFS(J377="M", "Medium", J377="L", "Light", J377="D", "Dark")</f>
        <v>Medium</v>
      </c>
      <c r="P377" t="str">
        <f>_xlfn.XLOOKUP(Orders[[#This Row],[Customer ID]], customers!$A$2:$A$1001, customers!$I$2:$I$1001, 0)</f>
        <v>Yes</v>
      </c>
    </row>
    <row r="378" spans="1:16" x14ac:dyDescent="0.35">
      <c r="A378" s="2" t="s">
        <v>2609</v>
      </c>
      <c r="B378" s="3">
        <v>44097</v>
      </c>
      <c r="C378" s="2" t="s">
        <v>2610</v>
      </c>
      <c r="D378" t="s">
        <v>6146</v>
      </c>
      <c r="E378" s="2">
        <v>1</v>
      </c>
      <c r="F378" s="2" t="str" cm="1">
        <f t="array" ref="F378">_xlfn.XLOOKUP(C378, customers!$A$1:A1377, customers!$B$1:B1377, 0)</f>
        <v>Judd De Leek</v>
      </c>
      <c r="G378" s="2" t="str">
        <f>IF(_xlfn.XLOOKUP(C378, customers!A377:A1377, customers!C377:C1377, 0)=0, "", _xlfn.XLOOKUP(C378, customers!A377:A1377, customers!C377:C1377, 0))</f>
        <v>jdeag@xrea.com</v>
      </c>
      <c r="H378" s="2" t="str" cm="1">
        <f t="array" ref="H378">_xlfn.XLOOKUP(C378, customers!$A$1:A1377, customers!$G$1:G1377,, 0)</f>
        <v>United States</v>
      </c>
      <c r="I378" t="str" cm="1">
        <f t="array" ref="I378">_xlfn.XLOOKUP(orders!D378, products!$A$1:A425, products!$B$1:B425, 0)</f>
        <v>Rob</v>
      </c>
      <c r="J378" t="str" cm="1">
        <f t="array" ref="J378">_xlfn.XLOOKUP(D378, products!$A$1:A425, products!$C$1:C425, 0)</f>
        <v>M</v>
      </c>
      <c r="K378" s="4" cm="1">
        <f t="array" ref="K378">_xlfn.XLOOKUP(D378, products!$A$1:A425, products!$D$1:D425, 0)</f>
        <v>0.5</v>
      </c>
      <c r="L378" s="4" cm="1">
        <f t="array" ref="L378">_xlfn.XLOOKUP(D378, products!$A$1:A425, products!$E$1:E425)</f>
        <v>5.97</v>
      </c>
      <c r="M378">
        <f t="shared" si="10"/>
        <v>5.97</v>
      </c>
      <c r="N378" t="str">
        <f t="shared" si="11"/>
        <v>Robusta</v>
      </c>
      <c r="O378" t="str" cm="1">
        <f t="array" ref="O378">_xlfn.IFS(J378="M", "Medium", J378="L", "Light", J378="D", "Dark")</f>
        <v>Medium</v>
      </c>
      <c r="P378" t="str">
        <f>_xlfn.XLOOKUP(Orders[[#This Row],[Customer ID]], customers!$A$2:$A$1001, customers!$I$2:$I$1001, 0)</f>
        <v>Yes</v>
      </c>
    </row>
    <row r="379" spans="1:16" x14ac:dyDescent="0.35">
      <c r="A379" s="2" t="s">
        <v>2615</v>
      </c>
      <c r="B379" s="3">
        <v>43532</v>
      </c>
      <c r="C379" s="2" t="s">
        <v>2616</v>
      </c>
      <c r="D379" t="s">
        <v>6163</v>
      </c>
      <c r="E379" s="2">
        <v>3</v>
      </c>
      <c r="F379" s="2" t="str" cm="1">
        <f t="array" ref="F379">_xlfn.XLOOKUP(C379, customers!$A$1:A1378, customers!$B$1:B1378, 0)</f>
        <v>Vanya Skullet</v>
      </c>
      <c r="G379" s="2" t="str">
        <f>IF(_xlfn.XLOOKUP(C379, customers!A378:A1378, customers!C378:C1378, 0)=0, "", _xlfn.XLOOKUP(C379, customers!A378:A1378, customers!C378:C1378, 0))</f>
        <v>vskulletah@tinyurl.com</v>
      </c>
      <c r="H379" s="2" t="str" cm="1">
        <f t="array" ref="H379">_xlfn.XLOOKUP(C379, customers!$A$1:A1378, customers!$G$1:G1378,, 0)</f>
        <v>Ireland</v>
      </c>
      <c r="I379" t="str" cm="1">
        <f t="array" ref="I379">_xlfn.XLOOKUP(orders!D379, products!$A$1:A426, products!$B$1:B426, 0)</f>
        <v>Rob</v>
      </c>
      <c r="J379" t="str" cm="1">
        <f t="array" ref="J379">_xlfn.XLOOKUP(D379, products!$A$1:A426, products!$C$1:C426, 0)</f>
        <v>D</v>
      </c>
      <c r="K379" s="4" cm="1">
        <f t="array" ref="K379">_xlfn.XLOOKUP(D379, products!$A$1:A426, products!$D$1:D426, 0)</f>
        <v>0.2</v>
      </c>
      <c r="L379" s="4" cm="1">
        <f t="array" ref="L379">_xlfn.XLOOKUP(D379, products!$A$1:A426, products!$E$1:E426)</f>
        <v>2.6849999999999996</v>
      </c>
      <c r="M379">
        <f t="shared" si="10"/>
        <v>8.0549999999999997</v>
      </c>
      <c r="N379" t="str">
        <f t="shared" si="11"/>
        <v>Robusta</v>
      </c>
      <c r="O379" t="str" cm="1">
        <f t="array" ref="O379">_xlfn.IFS(J379="M", "Medium", J379="L", "Light", J379="D", "Dark")</f>
        <v>Dark</v>
      </c>
      <c r="P379" t="str">
        <f>_xlfn.XLOOKUP(Orders[[#This Row],[Customer ID]], customers!$A$2:$A$1001, customers!$I$2:$I$1001, 0)</f>
        <v>No</v>
      </c>
    </row>
    <row r="380" spans="1:16" x14ac:dyDescent="0.35">
      <c r="A380" s="2" t="s">
        <v>2621</v>
      </c>
      <c r="B380" s="3">
        <v>44377</v>
      </c>
      <c r="C380" s="2" t="s">
        <v>2622</v>
      </c>
      <c r="D380" t="s">
        <v>6180</v>
      </c>
      <c r="E380" s="2">
        <v>3</v>
      </c>
      <c r="F380" s="2" t="str" cm="1">
        <f t="array" ref="F380">_xlfn.XLOOKUP(C380, customers!$A$1:A1379, customers!$B$1:B1379, 0)</f>
        <v>Jany Rudeforth</v>
      </c>
      <c r="G380" s="2" t="str">
        <f>IF(_xlfn.XLOOKUP(C380, customers!A379:A1379, customers!C379:C1379, 0)=0, "", _xlfn.XLOOKUP(C380, customers!A379:A1379, customers!C379:C1379, 0))</f>
        <v>jrudeforthai@wunderground.com</v>
      </c>
      <c r="H380" s="2" t="str" cm="1">
        <f t="array" ref="H380">_xlfn.XLOOKUP(C380, customers!$A$1:A1379, customers!$G$1:G1379,, 0)</f>
        <v>Ireland</v>
      </c>
      <c r="I380" t="str" cm="1">
        <f t="array" ref="I380">_xlfn.XLOOKUP(orders!D380, products!$A$1:A427, products!$B$1:B427, 0)</f>
        <v>Ara</v>
      </c>
      <c r="J380" t="str" cm="1">
        <f t="array" ref="J380">_xlfn.XLOOKUP(D380, products!$A$1:A427, products!$C$1:C427, 0)</f>
        <v>L</v>
      </c>
      <c r="K380" s="4" cm="1">
        <f t="array" ref="K380">_xlfn.XLOOKUP(D380, products!$A$1:A427, products!$D$1:D427, 0)</f>
        <v>0.5</v>
      </c>
      <c r="L380" s="4" cm="1">
        <f t="array" ref="L380">_xlfn.XLOOKUP(D380, products!$A$1:A427, products!$E$1:E427)</f>
        <v>7.77</v>
      </c>
      <c r="M380">
        <f t="shared" si="10"/>
        <v>23.31</v>
      </c>
      <c r="N380" t="str">
        <f t="shared" si="11"/>
        <v>Arabica</v>
      </c>
      <c r="O380" t="str" cm="1">
        <f t="array" ref="O380">_xlfn.IFS(J380="M", "Medium", J380="L", "Light", J380="D", "Dark")</f>
        <v>Light</v>
      </c>
      <c r="P380" t="str">
        <f>_xlfn.XLOOKUP(Orders[[#This Row],[Customer ID]], customers!$A$2:$A$1001, customers!$I$2:$I$1001, 0)</f>
        <v>Yes</v>
      </c>
    </row>
    <row r="381" spans="1:16" x14ac:dyDescent="0.35">
      <c r="A381" s="2" t="s">
        <v>2627</v>
      </c>
      <c r="B381" s="3">
        <v>43690</v>
      </c>
      <c r="C381" s="2" t="s">
        <v>2628</v>
      </c>
      <c r="D381" t="s">
        <v>6173</v>
      </c>
      <c r="E381" s="2">
        <v>6</v>
      </c>
      <c r="F381" s="2" t="str" cm="1">
        <f t="array" ref="F381">_xlfn.XLOOKUP(C381, customers!$A$1:A1380, customers!$B$1:B1380, 0)</f>
        <v>Ashbey Tomaszewski</v>
      </c>
      <c r="G381" s="2" t="str">
        <f>IF(_xlfn.XLOOKUP(C381, customers!A380:A1380, customers!C380:C1380, 0)=0, "", _xlfn.XLOOKUP(C381, customers!A380:A1380, customers!C380:C1380, 0))</f>
        <v>atomaszewskiaj@answers.com</v>
      </c>
      <c r="H381" s="2" t="str" cm="1">
        <f t="array" ref="H381">_xlfn.XLOOKUP(C381, customers!$A$1:A1380, customers!$G$1:G1380,, 0)</f>
        <v>United Kingdom</v>
      </c>
      <c r="I381" t="str" cm="1">
        <f t="array" ref="I381">_xlfn.XLOOKUP(orders!D381, products!$A$1:A428, products!$B$1:B428, 0)</f>
        <v>Rob</v>
      </c>
      <c r="J381" t="str" cm="1">
        <f t="array" ref="J381">_xlfn.XLOOKUP(D381, products!$A$1:A428, products!$C$1:C428, 0)</f>
        <v>L</v>
      </c>
      <c r="K381" s="4" cm="1">
        <f t="array" ref="K381">_xlfn.XLOOKUP(D381, products!$A$1:A428, products!$D$1:D428, 0)</f>
        <v>0.5</v>
      </c>
      <c r="L381" s="4" cm="1">
        <f t="array" ref="L381">_xlfn.XLOOKUP(D381, products!$A$1:A428, products!$E$1:E428)</f>
        <v>7.169999999999999</v>
      </c>
      <c r="M381">
        <f t="shared" si="10"/>
        <v>43.019999999999996</v>
      </c>
      <c r="N381" t="str">
        <f t="shared" si="11"/>
        <v>Robusta</v>
      </c>
      <c r="O381" t="str" cm="1">
        <f t="array" ref="O381">_xlfn.IFS(J381="M", "Medium", J381="L", "Light", J381="D", "Dark")</f>
        <v>Light</v>
      </c>
      <c r="P381" t="str">
        <f>_xlfn.XLOOKUP(Orders[[#This Row],[Customer ID]], customers!$A$2:$A$1001, customers!$I$2:$I$1001, 0)</f>
        <v>Yes</v>
      </c>
    </row>
    <row r="382" spans="1:16" x14ac:dyDescent="0.35">
      <c r="A382" s="2" t="s">
        <v>2632</v>
      </c>
      <c r="B382" s="3">
        <v>44249</v>
      </c>
      <c r="C382" s="2" t="s">
        <v>2331</v>
      </c>
      <c r="D382" t="s">
        <v>6169</v>
      </c>
      <c r="E382" s="2">
        <v>3</v>
      </c>
      <c r="F382" s="2" t="str" cm="1">
        <f t="array" ref="F382">_xlfn.XLOOKUP(C382, customers!$A$1:A1381, customers!$B$1:B1381, 0)</f>
        <v>Flynn Antony</v>
      </c>
      <c r="G382" s="2" t="str">
        <f>IF(_xlfn.XLOOKUP(C382, customers!A381:A1381, customers!C381:C1381, 0)=0, "", _xlfn.XLOOKUP(C382, customers!A381:A1381, customers!C381:C1381, 0))</f>
        <v/>
      </c>
      <c r="H382" s="2" t="str" cm="1">
        <f t="array" ref="H382">_xlfn.XLOOKUP(C382, customers!$A$1:A1381, customers!$G$1:G1381,, 0)</f>
        <v>United States</v>
      </c>
      <c r="I382" t="str" cm="1">
        <f t="array" ref="I382">_xlfn.XLOOKUP(orders!D382, products!$A$1:A429, products!$B$1:B429, 0)</f>
        <v>Lib</v>
      </c>
      <c r="J382" t="str" cm="1">
        <f t="array" ref="J382">_xlfn.XLOOKUP(D382, products!$A$1:A429, products!$C$1:C429, 0)</f>
        <v>D</v>
      </c>
      <c r="K382" s="4" cm="1">
        <f t="array" ref="K382">_xlfn.XLOOKUP(D382, products!$A$1:A429, products!$D$1:D429, 0)</f>
        <v>0.5</v>
      </c>
      <c r="L382" s="4" cm="1">
        <f t="array" ref="L382">_xlfn.XLOOKUP(D382, products!$A$1:A429, products!$E$1:E429)</f>
        <v>7.77</v>
      </c>
      <c r="M382">
        <f t="shared" si="10"/>
        <v>23.31</v>
      </c>
      <c r="N382" t="str">
        <f t="shared" si="11"/>
        <v>Liberica</v>
      </c>
      <c r="O382" t="str" cm="1">
        <f t="array" ref="O382">_xlfn.IFS(J382="M", "Medium", J382="L", "Light", J382="D", "Dark")</f>
        <v>Dark</v>
      </c>
      <c r="P382" t="str">
        <f>_xlfn.XLOOKUP(Orders[[#This Row],[Customer ID]], customers!$A$2:$A$1001, customers!$I$2:$I$1001, 0)</f>
        <v>No</v>
      </c>
    </row>
    <row r="383" spans="1:16" x14ac:dyDescent="0.35">
      <c r="A383" s="2" t="s">
        <v>2638</v>
      </c>
      <c r="B383" s="3">
        <v>44646</v>
      </c>
      <c r="C383" s="2" t="s">
        <v>2639</v>
      </c>
      <c r="D383" t="s">
        <v>6154</v>
      </c>
      <c r="E383" s="2">
        <v>5</v>
      </c>
      <c r="F383" s="2" t="str" cm="1">
        <f t="array" ref="F383">_xlfn.XLOOKUP(C383, customers!$A$1:A1382, customers!$B$1:B1382, 0)</f>
        <v>Pren Bess</v>
      </c>
      <c r="G383" s="2" t="str">
        <f>IF(_xlfn.XLOOKUP(C383, customers!A382:A1382, customers!C382:C1382, 0)=0, "", _xlfn.XLOOKUP(C383, customers!A382:A1382, customers!C382:C1382, 0))</f>
        <v>pbessal@qq.com</v>
      </c>
      <c r="H383" s="2" t="str" cm="1">
        <f t="array" ref="H383">_xlfn.XLOOKUP(C383, customers!$A$1:A1382, customers!$G$1:G1382,, 0)</f>
        <v>United States</v>
      </c>
      <c r="I383" t="str" cm="1">
        <f t="array" ref="I383">_xlfn.XLOOKUP(orders!D383, products!$A$1:A430, products!$B$1:B430, 0)</f>
        <v>Ara</v>
      </c>
      <c r="J383" t="str" cm="1">
        <f t="array" ref="J383">_xlfn.XLOOKUP(D383, products!$A$1:A430, products!$C$1:C430, 0)</f>
        <v>D</v>
      </c>
      <c r="K383" s="4" cm="1">
        <f t="array" ref="K383">_xlfn.XLOOKUP(D383, products!$A$1:A430, products!$D$1:D430, 0)</f>
        <v>0.2</v>
      </c>
      <c r="L383" s="4" cm="1">
        <f t="array" ref="L383">_xlfn.XLOOKUP(D383, products!$A$1:A430, products!$E$1:E430)</f>
        <v>2.9849999999999999</v>
      </c>
      <c r="M383">
        <f t="shared" si="10"/>
        <v>14.924999999999999</v>
      </c>
      <c r="N383" t="str">
        <f t="shared" si="11"/>
        <v>Arabica</v>
      </c>
      <c r="O383" t="str" cm="1">
        <f t="array" ref="O383">_xlfn.IFS(J383="M", "Medium", J383="L", "Light", J383="D", "Dark")</f>
        <v>Dark</v>
      </c>
      <c r="P383" t="str">
        <f>_xlfn.XLOOKUP(Orders[[#This Row],[Customer ID]], customers!$A$2:$A$1001, customers!$I$2:$I$1001, 0)</f>
        <v>Yes</v>
      </c>
    </row>
    <row r="384" spans="1:16" x14ac:dyDescent="0.35">
      <c r="A384" s="2" t="s">
        <v>2644</v>
      </c>
      <c r="B384" s="3">
        <v>43840</v>
      </c>
      <c r="C384" s="2" t="s">
        <v>2645</v>
      </c>
      <c r="D384" t="s">
        <v>6144</v>
      </c>
      <c r="E384" s="2">
        <v>3</v>
      </c>
      <c r="F384" s="2" t="str" cm="1">
        <f t="array" ref="F384">_xlfn.XLOOKUP(C384, customers!$A$1:A1383, customers!$B$1:B1383, 0)</f>
        <v>Elka Windress</v>
      </c>
      <c r="G384" s="2" t="str">
        <f>IF(_xlfn.XLOOKUP(C384, customers!A383:A1383, customers!C383:C1383, 0)=0, "", _xlfn.XLOOKUP(C384, customers!A383:A1383, customers!C383:C1383, 0))</f>
        <v>ewindressam@marketwatch.com</v>
      </c>
      <c r="H384" s="2" t="str" cm="1">
        <f t="array" ref="H384">_xlfn.XLOOKUP(C384, customers!$A$1:A1383, customers!$G$1:G1383,, 0)</f>
        <v>United States</v>
      </c>
      <c r="I384" t="str" cm="1">
        <f t="array" ref="I384">_xlfn.XLOOKUP(orders!D384, products!$A$1:A431, products!$B$1:B431, 0)</f>
        <v>Exc</v>
      </c>
      <c r="J384" t="str" cm="1">
        <f t="array" ref="J384">_xlfn.XLOOKUP(D384, products!$A$1:A431, products!$C$1:C431, 0)</f>
        <v>D</v>
      </c>
      <c r="K384" s="4" cm="1">
        <f t="array" ref="K384">_xlfn.XLOOKUP(D384, products!$A$1:A431, products!$D$1:D431, 0)</f>
        <v>0.5</v>
      </c>
      <c r="L384" s="4" cm="1">
        <f t="array" ref="L384">_xlfn.XLOOKUP(D384, products!$A$1:A431, products!$E$1:E431)</f>
        <v>7.29</v>
      </c>
      <c r="M384">
        <f t="shared" si="10"/>
        <v>21.87</v>
      </c>
      <c r="N384" t="str">
        <f t="shared" si="11"/>
        <v>Excelsa</v>
      </c>
      <c r="O384" t="str" cm="1">
        <f t="array" ref="O384">_xlfn.IFS(J384="M", "Medium", J384="L", "Light", J384="D", "Dark")</f>
        <v>Dark</v>
      </c>
      <c r="P384" t="str">
        <f>_xlfn.XLOOKUP(Orders[[#This Row],[Customer ID]], customers!$A$2:$A$1001, customers!$I$2:$I$1001, 0)</f>
        <v>No</v>
      </c>
    </row>
    <row r="385" spans="1:16" x14ac:dyDescent="0.35">
      <c r="A385" s="2" t="s">
        <v>2650</v>
      </c>
      <c r="B385" s="3">
        <v>43586</v>
      </c>
      <c r="C385" s="2" t="s">
        <v>2651</v>
      </c>
      <c r="D385" t="s">
        <v>6176</v>
      </c>
      <c r="E385" s="2">
        <v>6</v>
      </c>
      <c r="F385" s="2" t="str" cm="1">
        <f t="array" ref="F385">_xlfn.XLOOKUP(C385, customers!$A$1:A1384, customers!$B$1:B1384, 0)</f>
        <v>Marty Kidstoun</v>
      </c>
      <c r="G385" s="2" t="str">
        <f>IF(_xlfn.XLOOKUP(C385, customers!A384:A1384, customers!C384:C1384, 0)=0, "", _xlfn.XLOOKUP(C385, customers!A384:A1384, customers!C384:C1384, 0))</f>
        <v/>
      </c>
      <c r="H385" s="2" t="str" cm="1">
        <f t="array" ref="H385">_xlfn.XLOOKUP(C385, customers!$A$1:A1384, customers!$G$1:G1384,, 0)</f>
        <v>United States</v>
      </c>
      <c r="I385" t="str" cm="1">
        <f t="array" ref="I385">_xlfn.XLOOKUP(orders!D385, products!$A$1:A432, products!$B$1:B432, 0)</f>
        <v>Exc</v>
      </c>
      <c r="J385" t="str" cm="1">
        <f t="array" ref="J385">_xlfn.XLOOKUP(D385, products!$A$1:A432, products!$C$1:C432, 0)</f>
        <v>L</v>
      </c>
      <c r="K385" s="4" cm="1">
        <f t="array" ref="K385">_xlfn.XLOOKUP(D385, products!$A$1:A432, products!$D$1:D432, 0)</f>
        <v>0.5</v>
      </c>
      <c r="L385" s="4" cm="1">
        <f t="array" ref="L385">_xlfn.XLOOKUP(D385, products!$A$1:A432, products!$E$1:E432)</f>
        <v>8.91</v>
      </c>
      <c r="M385">
        <f t="shared" si="10"/>
        <v>53.46</v>
      </c>
      <c r="N385" t="str">
        <f t="shared" si="11"/>
        <v>Excelsa</v>
      </c>
      <c r="O385" t="str" cm="1">
        <f t="array" ref="O385">_xlfn.IFS(J385="M", "Medium", J385="L", "Light", J385="D", "Dark")</f>
        <v>Light</v>
      </c>
      <c r="P385" t="str">
        <f>_xlfn.XLOOKUP(Orders[[#This Row],[Customer ID]], customers!$A$2:$A$1001, customers!$I$2:$I$1001, 0)</f>
        <v>Yes</v>
      </c>
    </row>
    <row r="386" spans="1:16" x14ac:dyDescent="0.35">
      <c r="A386" s="2" t="s">
        <v>2655</v>
      </c>
      <c r="B386" s="3">
        <v>43870</v>
      </c>
      <c r="C386" s="2" t="s">
        <v>2656</v>
      </c>
      <c r="D386" t="s">
        <v>6182</v>
      </c>
      <c r="E386" s="2">
        <v>4</v>
      </c>
      <c r="F386" s="2" t="str" cm="1">
        <f t="array" ref="F386">_xlfn.XLOOKUP(C386, customers!$A$1:A1385, customers!$B$1:B1385, 0)</f>
        <v>Nickey Dimbleby</v>
      </c>
      <c r="G386" s="2" t="str">
        <f>IF(_xlfn.XLOOKUP(C386, customers!A385:A1385, customers!C385:C1385, 0)=0, "", _xlfn.XLOOKUP(C386, customers!A385:A1385, customers!C385:C1385, 0))</f>
        <v/>
      </c>
      <c r="H386" s="2" t="str" cm="1">
        <f t="array" ref="H386">_xlfn.XLOOKUP(C386, customers!$A$1:A1385, customers!$G$1:G1385,, 0)</f>
        <v>United States</v>
      </c>
      <c r="I386" t="str" cm="1">
        <f t="array" ref="I386">_xlfn.XLOOKUP(orders!D386, products!$A$1:A433, products!$B$1:B433, 0)</f>
        <v>Ara</v>
      </c>
      <c r="J386" t="str" cm="1">
        <f t="array" ref="J386">_xlfn.XLOOKUP(D386, products!$A$1:A433, products!$C$1:C433, 0)</f>
        <v>L</v>
      </c>
      <c r="K386" s="4" cm="1">
        <f t="array" ref="K386">_xlfn.XLOOKUP(D386, products!$A$1:A433, products!$D$1:D433, 0)</f>
        <v>2.5</v>
      </c>
      <c r="L386" s="4" cm="1">
        <f t="array" ref="L386">_xlfn.XLOOKUP(D386, products!$A$1:A433, products!$E$1:E433)</f>
        <v>29.784999999999997</v>
      </c>
      <c r="M386">
        <f t="shared" si="10"/>
        <v>119.13999999999999</v>
      </c>
      <c r="N386" t="str">
        <f t="shared" si="11"/>
        <v>Arabica</v>
      </c>
      <c r="O386" t="str" cm="1">
        <f t="array" ref="O386">_xlfn.IFS(J386="M", "Medium", J386="L", "Light", J386="D", "Dark")</f>
        <v>Light</v>
      </c>
      <c r="P386" t="str">
        <f>_xlfn.XLOOKUP(Orders[[#This Row],[Customer ID]], customers!$A$2:$A$1001, customers!$I$2:$I$1001, 0)</f>
        <v>No</v>
      </c>
    </row>
    <row r="387" spans="1:16" x14ac:dyDescent="0.35">
      <c r="A387" s="2" t="s">
        <v>2660</v>
      </c>
      <c r="B387" s="3">
        <v>44559</v>
      </c>
      <c r="C387" s="2" t="s">
        <v>2661</v>
      </c>
      <c r="D387" t="s">
        <v>6160</v>
      </c>
      <c r="E387" s="2">
        <v>5</v>
      </c>
      <c r="F387" s="2" t="str" cm="1">
        <f t="array" ref="F387">_xlfn.XLOOKUP(C387, customers!$A$1:A1386, customers!$B$1:B1386, 0)</f>
        <v>Virgil Baumadier</v>
      </c>
      <c r="G387" s="2" t="str">
        <f>IF(_xlfn.XLOOKUP(C387, customers!A386:A1386, customers!C386:C1386, 0)=0, "", _xlfn.XLOOKUP(C387, customers!A386:A1386, customers!C386:C1386, 0))</f>
        <v>vbaumadierap@google.cn</v>
      </c>
      <c r="H387" s="2" t="str" cm="1">
        <f t="array" ref="H387">_xlfn.XLOOKUP(C387, customers!$A$1:A1386, customers!$G$1:G1386,, 0)</f>
        <v>United States</v>
      </c>
      <c r="I387" t="str" cm="1">
        <f t="array" ref="I387">_xlfn.XLOOKUP(orders!D387, products!$A$1:A434, products!$B$1:B434, 0)</f>
        <v>Lib</v>
      </c>
      <c r="J387" t="str" cm="1">
        <f t="array" ref="J387">_xlfn.XLOOKUP(D387, products!$A$1:A434, products!$C$1:C434, 0)</f>
        <v>M</v>
      </c>
      <c r="K387" s="4" cm="1">
        <f t="array" ref="K387">_xlfn.XLOOKUP(D387, products!$A$1:A434, products!$D$1:D434, 0)</f>
        <v>0.5</v>
      </c>
      <c r="L387" s="4" cm="1">
        <f t="array" ref="L387">_xlfn.XLOOKUP(D387, products!$A$1:A434, products!$E$1:E434)</f>
        <v>8.73</v>
      </c>
      <c r="M387">
        <f t="shared" ref="M387:M450" si="12">L387*E387</f>
        <v>43.650000000000006</v>
      </c>
      <c r="N387" t="str">
        <f t="shared" ref="N387:N450" si="13">IF(I387="Rob", "Robusta", IF(I387="Exc", "Excelsa", IF(I387="Ara", "Arabica", IF(I387="Lib", "Liberica", ""))))</f>
        <v>Liberica</v>
      </c>
      <c r="O387" t="str" cm="1">
        <f t="array" ref="O387">_xlfn.IFS(J387="M", "Medium", J387="L", "Light", J387="D", "Dark")</f>
        <v>Medium</v>
      </c>
      <c r="P387" t="str">
        <f>_xlfn.XLOOKUP(Orders[[#This Row],[Customer ID]], customers!$A$2:$A$1001, customers!$I$2:$I$1001, 0)</f>
        <v>Yes</v>
      </c>
    </row>
    <row r="388" spans="1:16" x14ac:dyDescent="0.35">
      <c r="A388" s="2" t="s">
        <v>2666</v>
      </c>
      <c r="B388" s="3">
        <v>44083</v>
      </c>
      <c r="C388" s="2" t="s">
        <v>2667</v>
      </c>
      <c r="D388" t="s">
        <v>6154</v>
      </c>
      <c r="E388" s="2">
        <v>6</v>
      </c>
      <c r="F388" s="2" t="str" cm="1">
        <f t="array" ref="F388">_xlfn.XLOOKUP(C388, customers!$A$1:A1387, customers!$B$1:B1387, 0)</f>
        <v>Lenore Messenbird</v>
      </c>
      <c r="G388" s="2" t="str">
        <f>IF(_xlfn.XLOOKUP(C388, customers!A387:A1387, customers!C387:C1387, 0)=0, "", _xlfn.XLOOKUP(C388, customers!A387:A1387, customers!C387:C1387, 0))</f>
        <v/>
      </c>
      <c r="H388" s="2" t="str" cm="1">
        <f t="array" ref="H388">_xlfn.XLOOKUP(C388, customers!$A$1:A1387, customers!$G$1:G1387,, 0)</f>
        <v>United States</v>
      </c>
      <c r="I388" t="str" cm="1">
        <f t="array" ref="I388">_xlfn.XLOOKUP(orders!D388, products!$A$1:A435, products!$B$1:B435, 0)</f>
        <v>Ara</v>
      </c>
      <c r="J388" t="str" cm="1">
        <f t="array" ref="J388">_xlfn.XLOOKUP(D388, products!$A$1:A435, products!$C$1:C435, 0)</f>
        <v>D</v>
      </c>
      <c r="K388" s="4" cm="1">
        <f t="array" ref="K388">_xlfn.XLOOKUP(D388, products!$A$1:A435, products!$D$1:D435, 0)</f>
        <v>0.2</v>
      </c>
      <c r="L388" s="4" cm="1">
        <f t="array" ref="L388">_xlfn.XLOOKUP(D388, products!$A$1:A435, products!$E$1:E435)</f>
        <v>2.9849999999999999</v>
      </c>
      <c r="M388">
        <f t="shared" si="12"/>
        <v>17.91</v>
      </c>
      <c r="N388" t="str">
        <f t="shared" si="13"/>
        <v>Arabica</v>
      </c>
      <c r="O388" t="str" cm="1">
        <f t="array" ref="O388">_xlfn.IFS(J388="M", "Medium", J388="L", "Light", J388="D", "Dark")</f>
        <v>Dark</v>
      </c>
      <c r="P388" t="str">
        <f>_xlfn.XLOOKUP(Orders[[#This Row],[Customer ID]], customers!$A$2:$A$1001, customers!$I$2:$I$1001, 0)</f>
        <v>Yes</v>
      </c>
    </row>
    <row r="389" spans="1:16" x14ac:dyDescent="0.35">
      <c r="A389" s="2" t="s">
        <v>2671</v>
      </c>
      <c r="B389" s="3">
        <v>44455</v>
      </c>
      <c r="C389" s="2" t="s">
        <v>2672</v>
      </c>
      <c r="D389" t="s">
        <v>6171</v>
      </c>
      <c r="E389" s="2">
        <v>5</v>
      </c>
      <c r="F389" s="2" t="str" cm="1">
        <f t="array" ref="F389">_xlfn.XLOOKUP(C389, customers!$A$1:A1388, customers!$B$1:B1388, 0)</f>
        <v>Shirleen Welds</v>
      </c>
      <c r="G389" s="2" t="str">
        <f>IF(_xlfn.XLOOKUP(C389, customers!A388:A1388, customers!C388:C1388, 0)=0, "", _xlfn.XLOOKUP(C389, customers!A388:A1388, customers!C388:C1388, 0))</f>
        <v>sweldsar@wired.com</v>
      </c>
      <c r="H389" s="2" t="str" cm="1">
        <f t="array" ref="H389">_xlfn.XLOOKUP(C389, customers!$A$1:A1388, customers!$G$1:G1388,, 0)</f>
        <v>United States</v>
      </c>
      <c r="I389" t="str" cm="1">
        <f t="array" ref="I389">_xlfn.XLOOKUP(orders!D389, products!$A$1:A436, products!$B$1:B436, 0)</f>
        <v>Exc</v>
      </c>
      <c r="J389" t="str" cm="1">
        <f t="array" ref="J389">_xlfn.XLOOKUP(D389, products!$A$1:A436, products!$C$1:C436, 0)</f>
        <v>L</v>
      </c>
      <c r="K389" s="4" cm="1">
        <f t="array" ref="K389">_xlfn.XLOOKUP(D389, products!$A$1:A436, products!$D$1:D436, 0)</f>
        <v>1</v>
      </c>
      <c r="L389" s="4" cm="1">
        <f t="array" ref="L389">_xlfn.XLOOKUP(D389, products!$A$1:A436, products!$E$1:E436)</f>
        <v>14.85</v>
      </c>
      <c r="M389">
        <f t="shared" si="12"/>
        <v>74.25</v>
      </c>
      <c r="N389" t="str">
        <f t="shared" si="13"/>
        <v>Excelsa</v>
      </c>
      <c r="O389" t="str" cm="1">
        <f t="array" ref="O389">_xlfn.IFS(J389="M", "Medium", J389="L", "Light", J389="D", "Dark")</f>
        <v>Light</v>
      </c>
      <c r="P389" t="str">
        <f>_xlfn.XLOOKUP(Orders[[#This Row],[Customer ID]], customers!$A$2:$A$1001, customers!$I$2:$I$1001, 0)</f>
        <v>Yes</v>
      </c>
    </row>
    <row r="390" spans="1:16" x14ac:dyDescent="0.35">
      <c r="A390" s="2" t="s">
        <v>2677</v>
      </c>
      <c r="B390" s="3">
        <v>44130</v>
      </c>
      <c r="C390" s="2" t="s">
        <v>2678</v>
      </c>
      <c r="D390" t="s">
        <v>6150</v>
      </c>
      <c r="E390" s="2">
        <v>3</v>
      </c>
      <c r="F390" s="2" t="str" cm="1">
        <f t="array" ref="F390">_xlfn.XLOOKUP(C390, customers!$A$1:A1389, customers!$B$1:B1389, 0)</f>
        <v>Maisie Sarvar</v>
      </c>
      <c r="G390" s="2" t="str">
        <f>IF(_xlfn.XLOOKUP(C390, customers!A389:A1389, customers!C389:C1389, 0)=0, "", _xlfn.XLOOKUP(C390, customers!A389:A1389, customers!C389:C1389, 0))</f>
        <v>msarvaras@artisteer.com</v>
      </c>
      <c r="H390" s="2" t="str" cm="1">
        <f t="array" ref="H390">_xlfn.XLOOKUP(C390, customers!$A$1:A1389, customers!$G$1:G1389,, 0)</f>
        <v>United States</v>
      </c>
      <c r="I390" t="str" cm="1">
        <f t="array" ref="I390">_xlfn.XLOOKUP(orders!D390, products!$A$1:A437, products!$B$1:B437, 0)</f>
        <v>Lib</v>
      </c>
      <c r="J390" t="str" cm="1">
        <f t="array" ref="J390">_xlfn.XLOOKUP(D390, products!$A$1:A437, products!$C$1:C437, 0)</f>
        <v>D</v>
      </c>
      <c r="K390" s="4" cm="1">
        <f t="array" ref="K390">_xlfn.XLOOKUP(D390, products!$A$1:A437, products!$D$1:D437, 0)</f>
        <v>0.2</v>
      </c>
      <c r="L390" s="4" cm="1">
        <f t="array" ref="L390">_xlfn.XLOOKUP(D390, products!$A$1:A437, products!$E$1:E437)</f>
        <v>3.8849999999999998</v>
      </c>
      <c r="M390">
        <f t="shared" si="12"/>
        <v>11.654999999999999</v>
      </c>
      <c r="N390" t="str">
        <f t="shared" si="13"/>
        <v>Liberica</v>
      </c>
      <c r="O390" t="str" cm="1">
        <f t="array" ref="O390">_xlfn.IFS(J390="M", "Medium", J390="L", "Light", J390="D", "Dark")</f>
        <v>Dark</v>
      </c>
      <c r="P390" t="str">
        <f>_xlfn.XLOOKUP(Orders[[#This Row],[Customer ID]], customers!$A$2:$A$1001, customers!$I$2:$I$1001, 0)</f>
        <v>Yes</v>
      </c>
    </row>
    <row r="391" spans="1:16" x14ac:dyDescent="0.35">
      <c r="A391" s="2" t="s">
        <v>2683</v>
      </c>
      <c r="B391" s="3">
        <v>43536</v>
      </c>
      <c r="C391" s="2" t="s">
        <v>2684</v>
      </c>
      <c r="D391" t="s">
        <v>6169</v>
      </c>
      <c r="E391" s="2">
        <v>3</v>
      </c>
      <c r="F391" s="2" t="str" cm="1">
        <f t="array" ref="F391">_xlfn.XLOOKUP(C391, customers!$A$1:A1390, customers!$B$1:B1390, 0)</f>
        <v>Andrej Havick</v>
      </c>
      <c r="G391" s="2" t="str">
        <f>IF(_xlfn.XLOOKUP(C391, customers!A390:A1390, customers!C390:C1390, 0)=0, "", _xlfn.XLOOKUP(C391, customers!A390:A1390, customers!C390:C1390, 0))</f>
        <v>ahavickat@nsw.gov.au</v>
      </c>
      <c r="H391" s="2" t="str" cm="1">
        <f t="array" ref="H391">_xlfn.XLOOKUP(C391, customers!$A$1:A1390, customers!$G$1:G1390,, 0)</f>
        <v>United States</v>
      </c>
      <c r="I391" t="str" cm="1">
        <f t="array" ref="I391">_xlfn.XLOOKUP(orders!D391, products!$A$1:A438, products!$B$1:B438, 0)</f>
        <v>Lib</v>
      </c>
      <c r="J391" t="str" cm="1">
        <f t="array" ref="J391">_xlfn.XLOOKUP(D391, products!$A$1:A438, products!$C$1:C438, 0)</f>
        <v>D</v>
      </c>
      <c r="K391" s="4" cm="1">
        <f t="array" ref="K391">_xlfn.XLOOKUP(D391, products!$A$1:A438, products!$D$1:D438, 0)</f>
        <v>0.5</v>
      </c>
      <c r="L391" s="4" cm="1">
        <f t="array" ref="L391">_xlfn.XLOOKUP(D391, products!$A$1:A438, products!$E$1:E438)</f>
        <v>7.77</v>
      </c>
      <c r="M391">
        <f t="shared" si="12"/>
        <v>23.31</v>
      </c>
      <c r="N391" t="str">
        <f t="shared" si="13"/>
        <v>Liberica</v>
      </c>
      <c r="O391" t="str" cm="1">
        <f t="array" ref="O391">_xlfn.IFS(J391="M", "Medium", J391="L", "Light", J391="D", "Dark")</f>
        <v>Dark</v>
      </c>
      <c r="P391" t="str">
        <f>_xlfn.XLOOKUP(Orders[[#This Row],[Customer ID]], customers!$A$2:$A$1001, customers!$I$2:$I$1001, 0)</f>
        <v>Yes</v>
      </c>
    </row>
    <row r="392" spans="1:16" x14ac:dyDescent="0.35">
      <c r="A392" s="2" t="s">
        <v>2689</v>
      </c>
      <c r="B392" s="3">
        <v>44245</v>
      </c>
      <c r="C392" s="2" t="s">
        <v>2690</v>
      </c>
      <c r="D392" t="s">
        <v>6144</v>
      </c>
      <c r="E392" s="2">
        <v>2</v>
      </c>
      <c r="F392" s="2" t="str" cm="1">
        <f t="array" ref="F392">_xlfn.XLOOKUP(C392, customers!$A$1:A1391, customers!$B$1:B1391, 0)</f>
        <v>Sloan Diviny</v>
      </c>
      <c r="G392" s="2" t="str">
        <f>IF(_xlfn.XLOOKUP(C392, customers!A391:A1391, customers!C391:C1391, 0)=0, "", _xlfn.XLOOKUP(C392, customers!A391:A1391, customers!C391:C1391, 0))</f>
        <v>sdivinyau@ask.com</v>
      </c>
      <c r="H392" s="2" t="str" cm="1">
        <f t="array" ref="H392">_xlfn.XLOOKUP(C392, customers!$A$1:A1391, customers!$G$1:G1391,, 0)</f>
        <v>United States</v>
      </c>
      <c r="I392" t="str" cm="1">
        <f t="array" ref="I392">_xlfn.XLOOKUP(orders!D392, products!$A$1:A439, products!$B$1:B439, 0)</f>
        <v>Exc</v>
      </c>
      <c r="J392" t="str" cm="1">
        <f t="array" ref="J392">_xlfn.XLOOKUP(D392, products!$A$1:A439, products!$C$1:C439, 0)</f>
        <v>D</v>
      </c>
      <c r="K392" s="4" cm="1">
        <f t="array" ref="K392">_xlfn.XLOOKUP(D392, products!$A$1:A439, products!$D$1:D439, 0)</f>
        <v>0.5</v>
      </c>
      <c r="L392" s="4" cm="1">
        <f t="array" ref="L392">_xlfn.XLOOKUP(D392, products!$A$1:A439, products!$E$1:E439)</f>
        <v>7.29</v>
      </c>
      <c r="M392">
        <f t="shared" si="12"/>
        <v>14.58</v>
      </c>
      <c r="N392" t="str">
        <f t="shared" si="13"/>
        <v>Excelsa</v>
      </c>
      <c r="O392" t="str" cm="1">
        <f t="array" ref="O392">_xlfn.IFS(J392="M", "Medium", J392="L", "Light", J392="D", "Dark")</f>
        <v>Dark</v>
      </c>
      <c r="P392" t="str">
        <f>_xlfn.XLOOKUP(Orders[[#This Row],[Customer ID]], customers!$A$2:$A$1001, customers!$I$2:$I$1001, 0)</f>
        <v>Yes</v>
      </c>
    </row>
    <row r="393" spans="1:16" x14ac:dyDescent="0.35">
      <c r="A393" s="2" t="s">
        <v>2694</v>
      </c>
      <c r="B393" s="3">
        <v>44133</v>
      </c>
      <c r="C393" s="2" t="s">
        <v>2695</v>
      </c>
      <c r="D393" t="s">
        <v>6157</v>
      </c>
      <c r="E393" s="2">
        <v>2</v>
      </c>
      <c r="F393" s="2" t="str" cm="1">
        <f t="array" ref="F393">_xlfn.XLOOKUP(C393, customers!$A$1:A1392, customers!$B$1:B1392, 0)</f>
        <v>Itch Norquoy</v>
      </c>
      <c r="G393" s="2" t="str">
        <f>IF(_xlfn.XLOOKUP(C393, customers!A392:A1392, customers!C392:C1392, 0)=0, "", _xlfn.XLOOKUP(C393, customers!A392:A1392, customers!C392:C1392, 0))</f>
        <v>inorquoyav@businessweek.com</v>
      </c>
      <c r="H393" s="2" t="str" cm="1">
        <f t="array" ref="H393">_xlfn.XLOOKUP(C393, customers!$A$1:A1392, customers!$G$1:G1392,, 0)</f>
        <v>United States</v>
      </c>
      <c r="I393" t="str" cm="1">
        <f t="array" ref="I393">_xlfn.XLOOKUP(orders!D393, products!$A$1:A440, products!$B$1:B440, 0)</f>
        <v>Ara</v>
      </c>
      <c r="J393" t="str" cm="1">
        <f t="array" ref="J393">_xlfn.XLOOKUP(D393, products!$A$1:A440, products!$C$1:C440, 0)</f>
        <v>M</v>
      </c>
      <c r="K393" s="4" cm="1">
        <f t="array" ref="K393">_xlfn.XLOOKUP(D393, products!$A$1:A440, products!$D$1:D440, 0)</f>
        <v>0.5</v>
      </c>
      <c r="L393" s="4" cm="1">
        <f t="array" ref="L393">_xlfn.XLOOKUP(D393, products!$A$1:A440, products!$E$1:E440)</f>
        <v>6.75</v>
      </c>
      <c r="M393">
        <f t="shared" si="12"/>
        <v>13.5</v>
      </c>
      <c r="N393" t="str">
        <f t="shared" si="13"/>
        <v>Arabica</v>
      </c>
      <c r="O393" t="str" cm="1">
        <f t="array" ref="O393">_xlfn.IFS(J393="M", "Medium", J393="L", "Light", J393="D", "Dark")</f>
        <v>Medium</v>
      </c>
      <c r="P393" t="str">
        <f>_xlfn.XLOOKUP(Orders[[#This Row],[Customer ID]], customers!$A$2:$A$1001, customers!$I$2:$I$1001, 0)</f>
        <v>No</v>
      </c>
    </row>
    <row r="394" spans="1:16" x14ac:dyDescent="0.35">
      <c r="A394" s="2" t="s">
        <v>2699</v>
      </c>
      <c r="B394" s="3">
        <v>44445</v>
      </c>
      <c r="C394" s="2" t="s">
        <v>2700</v>
      </c>
      <c r="D394" t="s">
        <v>6171</v>
      </c>
      <c r="E394" s="2">
        <v>6</v>
      </c>
      <c r="F394" s="2" t="str" cm="1">
        <f t="array" ref="F394">_xlfn.XLOOKUP(C394, customers!$A$1:A1393, customers!$B$1:B1393, 0)</f>
        <v>Anson Iddison</v>
      </c>
      <c r="G394" s="2" t="str">
        <f>IF(_xlfn.XLOOKUP(C394, customers!A393:A1393, customers!C393:C1393, 0)=0, "", _xlfn.XLOOKUP(C394, customers!A393:A1393, customers!C393:C1393, 0))</f>
        <v>aiddisonaw@usa.gov</v>
      </c>
      <c r="H394" s="2" t="str" cm="1">
        <f t="array" ref="H394">_xlfn.XLOOKUP(C394, customers!$A$1:A1393, customers!$G$1:G1393,, 0)</f>
        <v>United States</v>
      </c>
      <c r="I394" t="str" cm="1">
        <f t="array" ref="I394">_xlfn.XLOOKUP(orders!D394, products!$A$1:A441, products!$B$1:B441, 0)</f>
        <v>Exc</v>
      </c>
      <c r="J394" t="str" cm="1">
        <f t="array" ref="J394">_xlfn.XLOOKUP(D394, products!$A$1:A441, products!$C$1:C441, 0)</f>
        <v>L</v>
      </c>
      <c r="K394" s="4" cm="1">
        <f t="array" ref="K394">_xlfn.XLOOKUP(D394, products!$A$1:A441, products!$D$1:D441, 0)</f>
        <v>1</v>
      </c>
      <c r="L394" s="4" cm="1">
        <f t="array" ref="L394">_xlfn.XLOOKUP(D394, products!$A$1:A441, products!$E$1:E441)</f>
        <v>14.85</v>
      </c>
      <c r="M394">
        <f t="shared" si="12"/>
        <v>89.1</v>
      </c>
      <c r="N394" t="str">
        <f t="shared" si="13"/>
        <v>Excelsa</v>
      </c>
      <c r="O394" t="str" cm="1">
        <f t="array" ref="O394">_xlfn.IFS(J394="M", "Medium", J394="L", "Light", J394="D", "Dark")</f>
        <v>Light</v>
      </c>
      <c r="P394" t="str">
        <f>_xlfn.XLOOKUP(Orders[[#This Row],[Customer ID]], customers!$A$2:$A$1001, customers!$I$2:$I$1001, 0)</f>
        <v>No</v>
      </c>
    </row>
    <row r="395" spans="1:16" x14ac:dyDescent="0.35">
      <c r="A395" s="2" t="s">
        <v>2699</v>
      </c>
      <c r="B395" s="3">
        <v>44445</v>
      </c>
      <c r="C395" s="2" t="s">
        <v>2700</v>
      </c>
      <c r="D395" t="s">
        <v>6167</v>
      </c>
      <c r="E395" s="2">
        <v>1</v>
      </c>
      <c r="F395" s="2" t="str" cm="1">
        <f t="array" ref="F395">_xlfn.XLOOKUP(C395, customers!$A$1:A1394, customers!$B$1:B1394, 0)</f>
        <v>Anson Iddison</v>
      </c>
      <c r="G395" s="2" t="str">
        <f>IF(_xlfn.XLOOKUP(C395, customers!A394:A1394, customers!C394:C1394, 0)=0, "", _xlfn.XLOOKUP(C395, customers!A394:A1394, customers!C394:C1394, 0))</f>
        <v>aiddisonaw@usa.gov</v>
      </c>
      <c r="H395" s="2" t="str" cm="1">
        <f t="array" ref="H395">_xlfn.XLOOKUP(C395, customers!$A$1:A1394, customers!$G$1:G1394,, 0)</f>
        <v>United States</v>
      </c>
      <c r="I395" t="str" cm="1">
        <f t="array" ref="I395">_xlfn.XLOOKUP(orders!D395, products!$A$1:A442, products!$B$1:B442, 0)</f>
        <v>Ara</v>
      </c>
      <c r="J395" t="str" cm="1">
        <f t="array" ref="J395">_xlfn.XLOOKUP(D395, products!$A$1:A442, products!$C$1:C442, 0)</f>
        <v>L</v>
      </c>
      <c r="K395" s="4" cm="1">
        <f t="array" ref="K395">_xlfn.XLOOKUP(D395, products!$A$1:A442, products!$D$1:D442, 0)</f>
        <v>0.2</v>
      </c>
      <c r="L395" s="4" cm="1">
        <f t="array" ref="L395">_xlfn.XLOOKUP(D395, products!$A$1:A442, products!$E$1:E442)</f>
        <v>3.8849999999999998</v>
      </c>
      <c r="M395">
        <f t="shared" si="12"/>
        <v>3.8849999999999998</v>
      </c>
      <c r="N395" t="str">
        <f t="shared" si="13"/>
        <v>Arabica</v>
      </c>
      <c r="O395" t="str" cm="1">
        <f t="array" ref="O395">_xlfn.IFS(J395="M", "Medium", J395="L", "Light", J395="D", "Dark")</f>
        <v>Light</v>
      </c>
      <c r="P395" t="str">
        <f>_xlfn.XLOOKUP(Orders[[#This Row],[Customer ID]], customers!$A$2:$A$1001, customers!$I$2:$I$1001, 0)</f>
        <v>No</v>
      </c>
    </row>
    <row r="396" spans="1:16" x14ac:dyDescent="0.35">
      <c r="A396" s="2" t="s">
        <v>2710</v>
      </c>
      <c r="B396" s="3">
        <v>44083</v>
      </c>
      <c r="C396" s="2" t="s">
        <v>2711</v>
      </c>
      <c r="D396" t="s">
        <v>6142</v>
      </c>
      <c r="E396" s="2">
        <v>4</v>
      </c>
      <c r="F396" s="2" t="str" cm="1">
        <f t="array" ref="F396">_xlfn.XLOOKUP(C396, customers!$A$1:A1395, customers!$B$1:B1395, 0)</f>
        <v>Randal Longfield</v>
      </c>
      <c r="G396" s="2" t="str">
        <f>IF(_xlfn.XLOOKUP(C396, customers!A395:A1395, customers!C395:C1395, 0)=0, "", _xlfn.XLOOKUP(C396, customers!A395:A1395, customers!C395:C1395, 0))</f>
        <v>rlongfielday@bluehost.com</v>
      </c>
      <c r="H396" s="2" t="str" cm="1">
        <f t="array" ref="H396">_xlfn.XLOOKUP(C396, customers!$A$1:A1395, customers!$G$1:G1395,, 0)</f>
        <v>United States</v>
      </c>
      <c r="I396" t="str" cm="1">
        <f t="array" ref="I396">_xlfn.XLOOKUP(orders!D396, products!$A$1:A443, products!$B$1:B443, 0)</f>
        <v>Rob</v>
      </c>
      <c r="J396" t="str" cm="1">
        <f t="array" ref="J396">_xlfn.XLOOKUP(D396, products!$A$1:A443, products!$C$1:C443, 0)</f>
        <v>L</v>
      </c>
      <c r="K396" s="4" cm="1">
        <f t="array" ref="K396">_xlfn.XLOOKUP(D396, products!$A$1:A443, products!$D$1:D443, 0)</f>
        <v>2.5</v>
      </c>
      <c r="L396" s="4" cm="1">
        <f t="array" ref="L396">_xlfn.XLOOKUP(D396, products!$A$1:A443, products!$E$1:E443)</f>
        <v>27.484999999999996</v>
      </c>
      <c r="M396">
        <f t="shared" si="12"/>
        <v>109.93999999999998</v>
      </c>
      <c r="N396" t="str">
        <f t="shared" si="13"/>
        <v>Robusta</v>
      </c>
      <c r="O396" t="str" cm="1">
        <f t="array" ref="O396">_xlfn.IFS(J396="M", "Medium", J396="L", "Light", J396="D", "Dark")</f>
        <v>Light</v>
      </c>
      <c r="P396" t="str">
        <f>_xlfn.XLOOKUP(Orders[[#This Row],[Customer ID]], customers!$A$2:$A$1001, customers!$I$2:$I$1001, 0)</f>
        <v>No</v>
      </c>
    </row>
    <row r="397" spans="1:16" x14ac:dyDescent="0.35">
      <c r="A397" s="2" t="s">
        <v>2716</v>
      </c>
      <c r="B397" s="3">
        <v>44465</v>
      </c>
      <c r="C397" s="2" t="s">
        <v>2717</v>
      </c>
      <c r="D397" t="s">
        <v>6169</v>
      </c>
      <c r="E397" s="2">
        <v>6</v>
      </c>
      <c r="F397" s="2" t="str" cm="1">
        <f t="array" ref="F397">_xlfn.XLOOKUP(C397, customers!$A$1:A1396, customers!$B$1:B1396, 0)</f>
        <v>Gregorius Kislingbury</v>
      </c>
      <c r="G397" s="2" t="str">
        <f>IF(_xlfn.XLOOKUP(C397, customers!A396:A1396, customers!C396:C1396, 0)=0, "", _xlfn.XLOOKUP(C397, customers!A396:A1396, customers!C396:C1396, 0))</f>
        <v>gkislingburyaz@samsung.com</v>
      </c>
      <c r="H397" s="2" t="str" cm="1">
        <f t="array" ref="H397">_xlfn.XLOOKUP(C397, customers!$A$1:A1396, customers!$G$1:G1396,, 0)</f>
        <v>United States</v>
      </c>
      <c r="I397" t="str" cm="1">
        <f t="array" ref="I397">_xlfn.XLOOKUP(orders!D397, products!$A$1:A444, products!$B$1:B444, 0)</f>
        <v>Lib</v>
      </c>
      <c r="J397" t="str" cm="1">
        <f t="array" ref="J397">_xlfn.XLOOKUP(D397, products!$A$1:A444, products!$C$1:C444, 0)</f>
        <v>D</v>
      </c>
      <c r="K397" s="4" cm="1">
        <f t="array" ref="K397">_xlfn.XLOOKUP(D397, products!$A$1:A444, products!$D$1:D444, 0)</f>
        <v>0.5</v>
      </c>
      <c r="L397" s="4" cm="1">
        <f t="array" ref="L397">_xlfn.XLOOKUP(D397, products!$A$1:A444, products!$E$1:E444)</f>
        <v>7.77</v>
      </c>
      <c r="M397">
        <f t="shared" si="12"/>
        <v>46.62</v>
      </c>
      <c r="N397" t="str">
        <f t="shared" si="13"/>
        <v>Liberica</v>
      </c>
      <c r="O397" t="str" cm="1">
        <f t="array" ref="O397">_xlfn.IFS(J397="M", "Medium", J397="L", "Light", J397="D", "Dark")</f>
        <v>Dark</v>
      </c>
      <c r="P397" t="str">
        <f>_xlfn.XLOOKUP(Orders[[#This Row],[Customer ID]], customers!$A$2:$A$1001, customers!$I$2:$I$1001, 0)</f>
        <v>Yes</v>
      </c>
    </row>
    <row r="398" spans="1:16" x14ac:dyDescent="0.35">
      <c r="A398" s="2" t="s">
        <v>2721</v>
      </c>
      <c r="B398" s="3">
        <v>44140</v>
      </c>
      <c r="C398" s="2" t="s">
        <v>2722</v>
      </c>
      <c r="D398" t="s">
        <v>6180</v>
      </c>
      <c r="E398" s="2">
        <v>5</v>
      </c>
      <c r="F398" s="2" t="str" cm="1">
        <f t="array" ref="F398">_xlfn.XLOOKUP(C398, customers!$A$1:A1397, customers!$B$1:B1397, 0)</f>
        <v>Xenos Gibbons</v>
      </c>
      <c r="G398" s="2" t="str">
        <f>IF(_xlfn.XLOOKUP(C398, customers!A397:A1397, customers!C397:C1397, 0)=0, "", _xlfn.XLOOKUP(C398, customers!A397:A1397, customers!C397:C1397, 0))</f>
        <v>xgibbonsb0@artisteer.com</v>
      </c>
      <c r="H398" s="2" t="str" cm="1">
        <f t="array" ref="H398">_xlfn.XLOOKUP(C398, customers!$A$1:A1397, customers!$G$1:G1397,, 0)</f>
        <v>United States</v>
      </c>
      <c r="I398" t="str" cm="1">
        <f t="array" ref="I398">_xlfn.XLOOKUP(orders!D398, products!$A$1:A445, products!$B$1:B445, 0)</f>
        <v>Ara</v>
      </c>
      <c r="J398" t="str" cm="1">
        <f t="array" ref="J398">_xlfn.XLOOKUP(D398, products!$A$1:A445, products!$C$1:C445, 0)</f>
        <v>L</v>
      </c>
      <c r="K398" s="4" cm="1">
        <f t="array" ref="K398">_xlfn.XLOOKUP(D398, products!$A$1:A445, products!$D$1:D445, 0)</f>
        <v>0.5</v>
      </c>
      <c r="L398" s="4" cm="1">
        <f t="array" ref="L398">_xlfn.XLOOKUP(D398, products!$A$1:A445, products!$E$1:E445)</f>
        <v>7.77</v>
      </c>
      <c r="M398">
        <f t="shared" si="12"/>
        <v>38.849999999999994</v>
      </c>
      <c r="N398" t="str">
        <f t="shared" si="13"/>
        <v>Arabica</v>
      </c>
      <c r="O398" t="str" cm="1">
        <f t="array" ref="O398">_xlfn.IFS(J398="M", "Medium", J398="L", "Light", J398="D", "Dark")</f>
        <v>Light</v>
      </c>
      <c r="P398" t="str">
        <f>_xlfn.XLOOKUP(Orders[[#This Row],[Customer ID]], customers!$A$2:$A$1001, customers!$I$2:$I$1001, 0)</f>
        <v>No</v>
      </c>
    </row>
    <row r="399" spans="1:16" x14ac:dyDescent="0.35">
      <c r="A399" s="2" t="s">
        <v>2727</v>
      </c>
      <c r="B399" s="3">
        <v>43720</v>
      </c>
      <c r="C399" s="2" t="s">
        <v>2728</v>
      </c>
      <c r="D399" t="s">
        <v>6169</v>
      </c>
      <c r="E399" s="2">
        <v>4</v>
      </c>
      <c r="F399" s="2" t="str" cm="1">
        <f t="array" ref="F399">_xlfn.XLOOKUP(C399, customers!$A$1:A1398, customers!$B$1:B1398, 0)</f>
        <v>Fleur Parres</v>
      </c>
      <c r="G399" s="2" t="str">
        <f>IF(_xlfn.XLOOKUP(C399, customers!A398:A1398, customers!C398:C1398, 0)=0, "", _xlfn.XLOOKUP(C399, customers!A398:A1398, customers!C398:C1398, 0))</f>
        <v>fparresb1@imageshack.us</v>
      </c>
      <c r="H399" s="2" t="str" cm="1">
        <f t="array" ref="H399">_xlfn.XLOOKUP(C399, customers!$A$1:A1398, customers!$G$1:G1398,, 0)</f>
        <v>United States</v>
      </c>
      <c r="I399" t="str" cm="1">
        <f t="array" ref="I399">_xlfn.XLOOKUP(orders!D399, products!$A$1:A446, products!$B$1:B446, 0)</f>
        <v>Lib</v>
      </c>
      <c r="J399" t="str" cm="1">
        <f t="array" ref="J399">_xlfn.XLOOKUP(D399, products!$A$1:A446, products!$C$1:C446, 0)</f>
        <v>D</v>
      </c>
      <c r="K399" s="4" cm="1">
        <f t="array" ref="K399">_xlfn.XLOOKUP(D399, products!$A$1:A446, products!$D$1:D446, 0)</f>
        <v>0.5</v>
      </c>
      <c r="L399" s="4" cm="1">
        <f t="array" ref="L399">_xlfn.XLOOKUP(D399, products!$A$1:A446, products!$E$1:E446)</f>
        <v>7.77</v>
      </c>
      <c r="M399">
        <f t="shared" si="12"/>
        <v>31.08</v>
      </c>
      <c r="N399" t="str">
        <f t="shared" si="13"/>
        <v>Liberica</v>
      </c>
      <c r="O399" t="str" cm="1">
        <f t="array" ref="O399">_xlfn.IFS(J399="M", "Medium", J399="L", "Light", J399="D", "Dark")</f>
        <v>Dark</v>
      </c>
      <c r="P399" t="str">
        <f>_xlfn.XLOOKUP(Orders[[#This Row],[Customer ID]], customers!$A$2:$A$1001, customers!$I$2:$I$1001, 0)</f>
        <v>Yes</v>
      </c>
    </row>
    <row r="400" spans="1:16" x14ac:dyDescent="0.35">
      <c r="A400" s="2" t="s">
        <v>2733</v>
      </c>
      <c r="B400" s="3">
        <v>43677</v>
      </c>
      <c r="C400" s="2" t="s">
        <v>2734</v>
      </c>
      <c r="D400" t="s">
        <v>6154</v>
      </c>
      <c r="E400" s="2">
        <v>6</v>
      </c>
      <c r="F400" s="2" t="str" cm="1">
        <f t="array" ref="F400">_xlfn.XLOOKUP(C400, customers!$A$1:A1399, customers!$B$1:B1399, 0)</f>
        <v>Gran Sibray</v>
      </c>
      <c r="G400" s="2" t="str">
        <f>IF(_xlfn.XLOOKUP(C400, customers!A399:A1399, customers!C399:C1399, 0)=0, "", _xlfn.XLOOKUP(C400, customers!A399:A1399, customers!C399:C1399, 0))</f>
        <v>gsibrayb2@wsj.com</v>
      </c>
      <c r="H400" s="2" t="str" cm="1">
        <f t="array" ref="H400">_xlfn.XLOOKUP(C400, customers!$A$1:A1399, customers!$G$1:G1399,, 0)</f>
        <v>United States</v>
      </c>
      <c r="I400" t="str" cm="1">
        <f t="array" ref="I400">_xlfn.XLOOKUP(orders!D400, products!$A$1:A447, products!$B$1:B447, 0)</f>
        <v>Ara</v>
      </c>
      <c r="J400" t="str" cm="1">
        <f t="array" ref="J400">_xlfn.XLOOKUP(D400, products!$A$1:A447, products!$C$1:C447, 0)</f>
        <v>D</v>
      </c>
      <c r="K400" s="4" cm="1">
        <f t="array" ref="K400">_xlfn.XLOOKUP(D400, products!$A$1:A447, products!$D$1:D447, 0)</f>
        <v>0.2</v>
      </c>
      <c r="L400" s="4" cm="1">
        <f t="array" ref="L400">_xlfn.XLOOKUP(D400, products!$A$1:A447, products!$E$1:E447)</f>
        <v>2.9849999999999999</v>
      </c>
      <c r="M400">
        <f t="shared" si="12"/>
        <v>17.91</v>
      </c>
      <c r="N400" t="str">
        <f t="shared" si="13"/>
        <v>Arabica</v>
      </c>
      <c r="O400" t="str" cm="1">
        <f t="array" ref="O400">_xlfn.IFS(J400="M", "Medium", J400="L", "Light", J400="D", "Dark")</f>
        <v>Dark</v>
      </c>
      <c r="P400" t="str">
        <f>_xlfn.XLOOKUP(Orders[[#This Row],[Customer ID]], customers!$A$2:$A$1001, customers!$I$2:$I$1001, 0)</f>
        <v>Yes</v>
      </c>
    </row>
    <row r="401" spans="1:16" x14ac:dyDescent="0.35">
      <c r="A401" s="2" t="s">
        <v>2739</v>
      </c>
      <c r="B401" s="3">
        <v>43539</v>
      </c>
      <c r="C401" s="2" t="s">
        <v>2740</v>
      </c>
      <c r="D401" t="s">
        <v>6185</v>
      </c>
      <c r="E401" s="2">
        <v>6</v>
      </c>
      <c r="F401" s="2" t="str" cm="1">
        <f t="array" ref="F401">_xlfn.XLOOKUP(C401, customers!$A$1:A1400, customers!$B$1:B1400, 0)</f>
        <v>Ingelbert Hotchkin</v>
      </c>
      <c r="G401" s="2" t="str">
        <f>IF(_xlfn.XLOOKUP(C401, customers!A400:A1400, customers!C400:C1400, 0)=0, "", _xlfn.XLOOKUP(C401, customers!A400:A1400, customers!C400:C1400, 0))</f>
        <v>ihotchkinb3@mit.edu</v>
      </c>
      <c r="H401" s="2" t="str" cm="1">
        <f t="array" ref="H401">_xlfn.XLOOKUP(C401, customers!$A$1:A1400, customers!$G$1:G1400,, 0)</f>
        <v>United Kingdom</v>
      </c>
      <c r="I401" t="str" cm="1">
        <f t="array" ref="I401">_xlfn.XLOOKUP(orders!D401, products!$A$1:A448, products!$B$1:B448, 0)</f>
        <v>Exc</v>
      </c>
      <c r="J401" t="str" cm="1">
        <f t="array" ref="J401">_xlfn.XLOOKUP(D401, products!$A$1:A448, products!$C$1:C448, 0)</f>
        <v>D</v>
      </c>
      <c r="K401" s="4" cm="1">
        <f t="array" ref="K401">_xlfn.XLOOKUP(D401, products!$A$1:A448, products!$D$1:D448, 0)</f>
        <v>2.5</v>
      </c>
      <c r="L401" s="4" cm="1">
        <f t="array" ref="L401">_xlfn.XLOOKUP(D401, products!$A$1:A448, products!$E$1:E448)</f>
        <v>27.945</v>
      </c>
      <c r="M401">
        <f t="shared" si="12"/>
        <v>167.67000000000002</v>
      </c>
      <c r="N401" t="str">
        <f t="shared" si="13"/>
        <v>Excelsa</v>
      </c>
      <c r="O401" t="str" cm="1">
        <f t="array" ref="O401">_xlfn.IFS(J401="M", "Medium", J401="L", "Light", J401="D", "Dark")</f>
        <v>Dark</v>
      </c>
      <c r="P401" t="str">
        <f>_xlfn.XLOOKUP(Orders[[#This Row],[Customer ID]], customers!$A$2:$A$1001, customers!$I$2:$I$1001, 0)</f>
        <v>No</v>
      </c>
    </row>
    <row r="402" spans="1:16" x14ac:dyDescent="0.35">
      <c r="A402" s="2" t="s">
        <v>2745</v>
      </c>
      <c r="B402" s="3">
        <v>44332</v>
      </c>
      <c r="C402" s="2" t="s">
        <v>2746</v>
      </c>
      <c r="D402" t="s">
        <v>6170</v>
      </c>
      <c r="E402" s="2">
        <v>4</v>
      </c>
      <c r="F402" s="2" t="str" cm="1">
        <f t="array" ref="F402">_xlfn.XLOOKUP(C402, customers!$A$1:A1401, customers!$B$1:B1401, 0)</f>
        <v>Neely Broadberrie</v>
      </c>
      <c r="G402" s="2" t="str">
        <f>IF(_xlfn.XLOOKUP(C402, customers!A401:A1401, customers!C401:C1401, 0)=0, "", _xlfn.XLOOKUP(C402, customers!A401:A1401, customers!C401:C1401, 0))</f>
        <v>nbroadberrieb4@gnu.org</v>
      </c>
      <c r="H402" s="2" t="str" cm="1">
        <f t="array" ref="H402">_xlfn.XLOOKUP(C402, customers!$A$1:A1401, customers!$G$1:G1401,, 0)</f>
        <v>United States</v>
      </c>
      <c r="I402" t="str" cm="1">
        <f t="array" ref="I402">_xlfn.XLOOKUP(orders!D402, products!$A$1:A449, products!$B$1:B449, 0)</f>
        <v>Lib</v>
      </c>
      <c r="J402" t="str" cm="1">
        <f t="array" ref="J402">_xlfn.XLOOKUP(D402, products!$A$1:A449, products!$C$1:C449, 0)</f>
        <v>L</v>
      </c>
      <c r="K402" s="4" cm="1">
        <f t="array" ref="K402">_xlfn.XLOOKUP(D402, products!$A$1:A449, products!$D$1:D449, 0)</f>
        <v>1</v>
      </c>
      <c r="L402" s="4" cm="1">
        <f t="array" ref="L402">_xlfn.XLOOKUP(D402, products!$A$1:A449, products!$E$1:E449)</f>
        <v>15.85</v>
      </c>
      <c r="M402">
        <f t="shared" si="12"/>
        <v>63.4</v>
      </c>
      <c r="N402" t="str">
        <f t="shared" si="13"/>
        <v>Liberica</v>
      </c>
      <c r="O402" t="str" cm="1">
        <f t="array" ref="O402">_xlfn.IFS(J402="M", "Medium", J402="L", "Light", J402="D", "Dark")</f>
        <v>Light</v>
      </c>
      <c r="P402" t="str">
        <f>_xlfn.XLOOKUP(Orders[[#This Row],[Customer ID]], customers!$A$2:$A$1001, customers!$I$2:$I$1001, 0)</f>
        <v>No</v>
      </c>
    </row>
    <row r="403" spans="1:16" x14ac:dyDescent="0.35">
      <c r="A403" s="2" t="s">
        <v>2751</v>
      </c>
      <c r="B403" s="3">
        <v>43591</v>
      </c>
      <c r="C403" s="2" t="s">
        <v>2752</v>
      </c>
      <c r="D403" t="s">
        <v>6159</v>
      </c>
      <c r="E403" s="2">
        <v>2</v>
      </c>
      <c r="F403" s="2" t="str" cm="1">
        <f t="array" ref="F403">_xlfn.XLOOKUP(C403, customers!$A$1:A1402, customers!$B$1:B1402, 0)</f>
        <v>Rutger Pithcock</v>
      </c>
      <c r="G403" s="2" t="str">
        <f>IF(_xlfn.XLOOKUP(C403, customers!A402:A1402, customers!C402:C1402, 0)=0, "", _xlfn.XLOOKUP(C403, customers!A402:A1402, customers!C402:C1402, 0))</f>
        <v>rpithcockb5@yellowbook.com</v>
      </c>
      <c r="H403" s="2" t="str" cm="1">
        <f t="array" ref="H403">_xlfn.XLOOKUP(C403, customers!$A$1:A1402, customers!$G$1:G1402,, 0)</f>
        <v>United States</v>
      </c>
      <c r="I403" t="str" cm="1">
        <f t="array" ref="I403">_xlfn.XLOOKUP(orders!D403, products!$A$1:A450, products!$B$1:B450, 0)</f>
        <v>Lib</v>
      </c>
      <c r="J403" t="str" cm="1">
        <f t="array" ref="J403">_xlfn.XLOOKUP(D403, products!$A$1:A450, products!$C$1:C450, 0)</f>
        <v>M</v>
      </c>
      <c r="K403" s="4" cm="1">
        <f t="array" ref="K403">_xlfn.XLOOKUP(D403, products!$A$1:A450, products!$D$1:D450, 0)</f>
        <v>0.2</v>
      </c>
      <c r="L403" s="4" cm="1">
        <f t="array" ref="L403">_xlfn.XLOOKUP(D403, products!$A$1:A450, products!$E$1:E450)</f>
        <v>4.3650000000000002</v>
      </c>
      <c r="M403">
        <f t="shared" si="12"/>
        <v>8.73</v>
      </c>
      <c r="N403" t="str">
        <f t="shared" si="13"/>
        <v>Liberica</v>
      </c>
      <c r="O403" t="str" cm="1">
        <f t="array" ref="O403">_xlfn.IFS(J403="M", "Medium", J403="L", "Light", J403="D", "Dark")</f>
        <v>Medium</v>
      </c>
      <c r="P403" t="str">
        <f>_xlfn.XLOOKUP(Orders[[#This Row],[Customer ID]], customers!$A$2:$A$1001, customers!$I$2:$I$1001, 0)</f>
        <v>Yes</v>
      </c>
    </row>
    <row r="404" spans="1:16" x14ac:dyDescent="0.35">
      <c r="A404" s="2" t="s">
        <v>2757</v>
      </c>
      <c r="B404" s="3">
        <v>43502</v>
      </c>
      <c r="C404" s="2" t="s">
        <v>2758</v>
      </c>
      <c r="D404" t="s">
        <v>6177</v>
      </c>
      <c r="E404" s="2">
        <v>3</v>
      </c>
      <c r="F404" s="2" t="str" cm="1">
        <f t="array" ref="F404">_xlfn.XLOOKUP(C404, customers!$A$1:A1403, customers!$B$1:B1403, 0)</f>
        <v>Gale Croysdale</v>
      </c>
      <c r="G404" s="2" t="str">
        <f>IF(_xlfn.XLOOKUP(C404, customers!A403:A1403, customers!C403:C1403, 0)=0, "", _xlfn.XLOOKUP(C404, customers!A403:A1403, customers!C403:C1403, 0))</f>
        <v>gcroysdaleb6@nih.gov</v>
      </c>
      <c r="H404" s="2" t="str" cm="1">
        <f t="array" ref="H404">_xlfn.XLOOKUP(C404, customers!$A$1:A1403, customers!$G$1:G1403,, 0)</f>
        <v>United States</v>
      </c>
      <c r="I404" t="str" cm="1">
        <f t="array" ref="I404">_xlfn.XLOOKUP(orders!D404, products!$A$1:A451, products!$B$1:B451, 0)</f>
        <v>Rob</v>
      </c>
      <c r="J404" t="str" cm="1">
        <f t="array" ref="J404">_xlfn.XLOOKUP(D404, products!$A$1:A451, products!$C$1:C451, 0)</f>
        <v>D</v>
      </c>
      <c r="K404" s="4" cm="1">
        <f t="array" ref="K404">_xlfn.XLOOKUP(D404, products!$A$1:A451, products!$D$1:D451, 0)</f>
        <v>1</v>
      </c>
      <c r="L404" s="4" cm="1">
        <f t="array" ref="L404">_xlfn.XLOOKUP(D404, products!$A$1:A451, products!$E$1:E451)</f>
        <v>8.9499999999999993</v>
      </c>
      <c r="M404">
        <f t="shared" si="12"/>
        <v>26.849999999999998</v>
      </c>
      <c r="N404" t="str">
        <f t="shared" si="13"/>
        <v>Robusta</v>
      </c>
      <c r="O404" t="str" cm="1">
        <f t="array" ref="O404">_xlfn.IFS(J404="M", "Medium", J404="L", "Light", J404="D", "Dark")</f>
        <v>Dark</v>
      </c>
      <c r="P404" t="str">
        <f>_xlfn.XLOOKUP(Orders[[#This Row],[Customer ID]], customers!$A$2:$A$1001, customers!$I$2:$I$1001, 0)</f>
        <v>Yes</v>
      </c>
    </row>
    <row r="405" spans="1:16" x14ac:dyDescent="0.35">
      <c r="A405" s="2" t="s">
        <v>2763</v>
      </c>
      <c r="B405" s="3">
        <v>44295</v>
      </c>
      <c r="C405" s="2" t="s">
        <v>2764</v>
      </c>
      <c r="D405" t="s">
        <v>6145</v>
      </c>
      <c r="E405" s="2">
        <v>2</v>
      </c>
      <c r="F405" s="2" t="str" cm="1">
        <f t="array" ref="F405">_xlfn.XLOOKUP(C405, customers!$A$1:A1404, customers!$B$1:B1404, 0)</f>
        <v>Benedetto Gozzett</v>
      </c>
      <c r="G405" s="2" t="str">
        <f>IF(_xlfn.XLOOKUP(C405, customers!A404:A1404, customers!C404:C1404, 0)=0, "", _xlfn.XLOOKUP(C405, customers!A404:A1404, customers!C404:C1404, 0))</f>
        <v>bgozzettb7@github.com</v>
      </c>
      <c r="H405" s="2" t="str" cm="1">
        <f t="array" ref="H405">_xlfn.XLOOKUP(C405, customers!$A$1:A1404, customers!$G$1:G1404,, 0)</f>
        <v>United States</v>
      </c>
      <c r="I405" t="str" cm="1">
        <f t="array" ref="I405">_xlfn.XLOOKUP(orders!D405, products!$A$1:A452, products!$B$1:B452, 0)</f>
        <v>Lib</v>
      </c>
      <c r="J405" t="str" cm="1">
        <f t="array" ref="J405">_xlfn.XLOOKUP(D405, products!$A$1:A452, products!$C$1:C452, 0)</f>
        <v>L</v>
      </c>
      <c r="K405" s="4" cm="1">
        <f t="array" ref="K405">_xlfn.XLOOKUP(D405, products!$A$1:A452, products!$D$1:D452, 0)</f>
        <v>0.2</v>
      </c>
      <c r="L405" s="4" cm="1">
        <f t="array" ref="L405">_xlfn.XLOOKUP(D405, products!$A$1:A452, products!$E$1:E452)</f>
        <v>4.7549999999999999</v>
      </c>
      <c r="M405">
        <f t="shared" si="12"/>
        <v>9.51</v>
      </c>
      <c r="N405" t="str">
        <f t="shared" si="13"/>
        <v>Liberica</v>
      </c>
      <c r="O405" t="str" cm="1">
        <f t="array" ref="O405">_xlfn.IFS(J405="M", "Medium", J405="L", "Light", J405="D", "Dark")</f>
        <v>Light</v>
      </c>
      <c r="P405" t="str">
        <f>_xlfn.XLOOKUP(Orders[[#This Row],[Customer ID]], customers!$A$2:$A$1001, customers!$I$2:$I$1001, 0)</f>
        <v>No</v>
      </c>
    </row>
    <row r="406" spans="1:16" x14ac:dyDescent="0.35">
      <c r="A406" s="2" t="s">
        <v>2769</v>
      </c>
      <c r="B406" s="3">
        <v>43971</v>
      </c>
      <c r="C406" s="2" t="s">
        <v>2770</v>
      </c>
      <c r="D406" t="s">
        <v>6147</v>
      </c>
      <c r="E406" s="2">
        <v>4</v>
      </c>
      <c r="F406" s="2" t="str" cm="1">
        <f t="array" ref="F406">_xlfn.XLOOKUP(C406, customers!$A$1:A1405, customers!$B$1:B1405, 0)</f>
        <v>Tania Craggs</v>
      </c>
      <c r="G406" s="2" t="str">
        <f>IF(_xlfn.XLOOKUP(C406, customers!A405:A1405, customers!C405:C1405, 0)=0, "", _xlfn.XLOOKUP(C406, customers!A405:A1405, customers!C405:C1405, 0))</f>
        <v>tcraggsb8@house.gov</v>
      </c>
      <c r="H406" s="2" t="str" cm="1">
        <f t="array" ref="H406">_xlfn.XLOOKUP(C406, customers!$A$1:A1405, customers!$G$1:G1405,, 0)</f>
        <v>Ireland</v>
      </c>
      <c r="I406" t="str" cm="1">
        <f t="array" ref="I406">_xlfn.XLOOKUP(orders!D406, products!$A$1:A453, products!$B$1:B453, 0)</f>
        <v>Ara</v>
      </c>
      <c r="J406" t="str" cm="1">
        <f t="array" ref="J406">_xlfn.XLOOKUP(D406, products!$A$1:A453, products!$C$1:C453, 0)</f>
        <v>D</v>
      </c>
      <c r="K406" s="4" cm="1">
        <f t="array" ref="K406">_xlfn.XLOOKUP(D406, products!$A$1:A453, products!$D$1:D453, 0)</f>
        <v>1</v>
      </c>
      <c r="L406" s="4" cm="1">
        <f t="array" ref="L406">_xlfn.XLOOKUP(D406, products!$A$1:A453, products!$E$1:E453)</f>
        <v>9.9499999999999993</v>
      </c>
      <c r="M406">
        <f t="shared" si="12"/>
        <v>39.799999999999997</v>
      </c>
      <c r="N406" t="str">
        <f t="shared" si="13"/>
        <v>Arabica</v>
      </c>
      <c r="O406" t="str" cm="1">
        <f t="array" ref="O406">_xlfn.IFS(J406="M", "Medium", J406="L", "Light", J406="D", "Dark")</f>
        <v>Dark</v>
      </c>
      <c r="P406" t="str">
        <f>_xlfn.XLOOKUP(Orders[[#This Row],[Customer ID]], customers!$A$2:$A$1001, customers!$I$2:$I$1001, 0)</f>
        <v>No</v>
      </c>
    </row>
    <row r="407" spans="1:16" x14ac:dyDescent="0.35">
      <c r="A407" s="2" t="s">
        <v>2775</v>
      </c>
      <c r="B407" s="3">
        <v>44167</v>
      </c>
      <c r="C407" s="2" t="s">
        <v>2776</v>
      </c>
      <c r="D407" t="s">
        <v>6139</v>
      </c>
      <c r="E407" s="2">
        <v>3</v>
      </c>
      <c r="F407" s="2" t="str" cm="1">
        <f t="array" ref="F407">_xlfn.XLOOKUP(C407, customers!$A$1:A1406, customers!$B$1:B1406, 0)</f>
        <v>Leonie Cullrford</v>
      </c>
      <c r="G407" s="2" t="str">
        <f>IF(_xlfn.XLOOKUP(C407, customers!A406:A1406, customers!C406:C1406, 0)=0, "", _xlfn.XLOOKUP(C407, customers!A406:A1406, customers!C406:C1406, 0))</f>
        <v>lcullrfordb9@xing.com</v>
      </c>
      <c r="H407" s="2" t="str" cm="1">
        <f t="array" ref="H407">_xlfn.XLOOKUP(C407, customers!$A$1:A1406, customers!$G$1:G1406,, 0)</f>
        <v>United States</v>
      </c>
      <c r="I407" t="str" cm="1">
        <f t="array" ref="I407">_xlfn.XLOOKUP(orders!D407, products!$A$1:A454, products!$B$1:B454, 0)</f>
        <v>Exc</v>
      </c>
      <c r="J407" t="str" cm="1">
        <f t="array" ref="J407">_xlfn.XLOOKUP(D407, products!$A$1:A454, products!$C$1:C454, 0)</f>
        <v>M</v>
      </c>
      <c r="K407" s="4" cm="1">
        <f t="array" ref="K407">_xlfn.XLOOKUP(D407, products!$A$1:A454, products!$D$1:D454, 0)</f>
        <v>0.5</v>
      </c>
      <c r="L407" s="4" cm="1">
        <f t="array" ref="L407">_xlfn.XLOOKUP(D407, products!$A$1:A454, products!$E$1:E454)</f>
        <v>8.25</v>
      </c>
      <c r="M407">
        <f t="shared" si="12"/>
        <v>24.75</v>
      </c>
      <c r="N407" t="str">
        <f t="shared" si="13"/>
        <v>Excelsa</v>
      </c>
      <c r="O407" t="str" cm="1">
        <f t="array" ref="O407">_xlfn.IFS(J407="M", "Medium", J407="L", "Light", J407="D", "Dark")</f>
        <v>Medium</v>
      </c>
      <c r="P407" t="str">
        <f>_xlfn.XLOOKUP(Orders[[#This Row],[Customer ID]], customers!$A$2:$A$1001, customers!$I$2:$I$1001, 0)</f>
        <v>Yes</v>
      </c>
    </row>
    <row r="408" spans="1:16" x14ac:dyDescent="0.35">
      <c r="A408" s="2" t="s">
        <v>2781</v>
      </c>
      <c r="B408" s="3">
        <v>44416</v>
      </c>
      <c r="C408" s="2" t="s">
        <v>2782</v>
      </c>
      <c r="D408" t="s">
        <v>6141</v>
      </c>
      <c r="E408" s="2">
        <v>5</v>
      </c>
      <c r="F408" s="2" t="str" cm="1">
        <f t="array" ref="F408">_xlfn.XLOOKUP(C408, customers!$A$1:A1407, customers!$B$1:B1407, 0)</f>
        <v>Auguste Rizon</v>
      </c>
      <c r="G408" s="2" t="str">
        <f>IF(_xlfn.XLOOKUP(C408, customers!A407:A1407, customers!C407:C1407, 0)=0, "", _xlfn.XLOOKUP(C408, customers!A407:A1407, customers!C407:C1407, 0))</f>
        <v>arizonba@xing.com</v>
      </c>
      <c r="H408" s="2" t="str" cm="1">
        <f t="array" ref="H408">_xlfn.XLOOKUP(C408, customers!$A$1:A1407, customers!$G$1:G1407,, 0)</f>
        <v>United States</v>
      </c>
      <c r="I408" t="str" cm="1">
        <f t="array" ref="I408">_xlfn.XLOOKUP(orders!D408, products!$A$1:A455, products!$B$1:B455, 0)</f>
        <v>Exc</v>
      </c>
      <c r="J408" t="str" cm="1">
        <f t="array" ref="J408">_xlfn.XLOOKUP(D408, products!$A$1:A455, products!$C$1:C455, 0)</f>
        <v>M</v>
      </c>
      <c r="K408" s="4" cm="1">
        <f t="array" ref="K408">_xlfn.XLOOKUP(D408, products!$A$1:A455, products!$D$1:D455, 0)</f>
        <v>1</v>
      </c>
      <c r="L408" s="4" cm="1">
        <f t="array" ref="L408">_xlfn.XLOOKUP(D408, products!$A$1:A455, products!$E$1:E455)</f>
        <v>13.75</v>
      </c>
      <c r="M408">
        <f t="shared" si="12"/>
        <v>68.75</v>
      </c>
      <c r="N408" t="str">
        <f t="shared" si="13"/>
        <v>Excelsa</v>
      </c>
      <c r="O408" t="str" cm="1">
        <f t="array" ref="O408">_xlfn.IFS(J408="M", "Medium", J408="L", "Light", J408="D", "Dark")</f>
        <v>Medium</v>
      </c>
      <c r="P408" t="str">
        <f>_xlfn.XLOOKUP(Orders[[#This Row],[Customer ID]], customers!$A$2:$A$1001, customers!$I$2:$I$1001, 0)</f>
        <v>Yes</v>
      </c>
    </row>
    <row r="409" spans="1:16" x14ac:dyDescent="0.35">
      <c r="A409" s="2" t="s">
        <v>2787</v>
      </c>
      <c r="B409" s="3">
        <v>44595</v>
      </c>
      <c r="C409" s="2" t="s">
        <v>2788</v>
      </c>
      <c r="D409" t="s">
        <v>6139</v>
      </c>
      <c r="E409" s="2">
        <v>6</v>
      </c>
      <c r="F409" s="2" t="str" cm="1">
        <f t="array" ref="F409">_xlfn.XLOOKUP(C409, customers!$A$1:A1408, customers!$B$1:B1408, 0)</f>
        <v>Lorin Guerrazzi</v>
      </c>
      <c r="G409" s="2" t="str">
        <f>IF(_xlfn.XLOOKUP(C409, customers!A408:A1408, customers!C408:C1408, 0)=0, "", _xlfn.XLOOKUP(C409, customers!A408:A1408, customers!C408:C1408, 0))</f>
        <v/>
      </c>
      <c r="H409" s="2" t="str" cm="1">
        <f t="array" ref="H409">_xlfn.XLOOKUP(C409, customers!$A$1:A1408, customers!$G$1:G1408,, 0)</f>
        <v>Ireland</v>
      </c>
      <c r="I409" t="str" cm="1">
        <f t="array" ref="I409">_xlfn.XLOOKUP(orders!D409, products!$A$1:A456, products!$B$1:B456, 0)</f>
        <v>Exc</v>
      </c>
      <c r="J409" t="str" cm="1">
        <f t="array" ref="J409">_xlfn.XLOOKUP(D409, products!$A$1:A456, products!$C$1:C456, 0)</f>
        <v>M</v>
      </c>
      <c r="K409" s="4" cm="1">
        <f t="array" ref="K409">_xlfn.XLOOKUP(D409, products!$A$1:A456, products!$D$1:D456, 0)</f>
        <v>0.5</v>
      </c>
      <c r="L409" s="4" cm="1">
        <f t="array" ref="L409">_xlfn.XLOOKUP(D409, products!$A$1:A456, products!$E$1:E456)</f>
        <v>8.25</v>
      </c>
      <c r="M409">
        <f t="shared" si="12"/>
        <v>49.5</v>
      </c>
      <c r="N409" t="str">
        <f t="shared" si="13"/>
        <v>Excelsa</v>
      </c>
      <c r="O409" t="str" cm="1">
        <f t="array" ref="O409">_xlfn.IFS(J409="M", "Medium", J409="L", "Light", J409="D", "Dark")</f>
        <v>Medium</v>
      </c>
      <c r="P409" t="str">
        <f>_xlfn.XLOOKUP(Orders[[#This Row],[Customer ID]], customers!$A$2:$A$1001, customers!$I$2:$I$1001, 0)</f>
        <v>No</v>
      </c>
    </row>
    <row r="410" spans="1:16" x14ac:dyDescent="0.35">
      <c r="A410" s="2" t="s">
        <v>2792</v>
      </c>
      <c r="B410" s="3">
        <v>44659</v>
      </c>
      <c r="C410" s="2" t="s">
        <v>2793</v>
      </c>
      <c r="D410" t="s">
        <v>6175</v>
      </c>
      <c r="E410" s="2">
        <v>2</v>
      </c>
      <c r="F410" s="2" t="str" cm="1">
        <f t="array" ref="F410">_xlfn.XLOOKUP(C410, customers!$A$1:A1409, customers!$B$1:B1409, 0)</f>
        <v>Felice Miell</v>
      </c>
      <c r="G410" s="2" t="str">
        <f>IF(_xlfn.XLOOKUP(C410, customers!A409:A1409, customers!C409:C1409, 0)=0, "", _xlfn.XLOOKUP(C410, customers!A409:A1409, customers!C409:C1409, 0))</f>
        <v>fmiellbc@spiegel.de</v>
      </c>
      <c r="H410" s="2" t="str" cm="1">
        <f t="array" ref="H410">_xlfn.XLOOKUP(C410, customers!$A$1:A1409, customers!$G$1:G1409,, 0)</f>
        <v>United States</v>
      </c>
      <c r="I410" t="str" cm="1">
        <f t="array" ref="I410">_xlfn.XLOOKUP(orders!D410, products!$A$1:A457, products!$B$1:B457, 0)</f>
        <v>Ara</v>
      </c>
      <c r="J410" t="str" cm="1">
        <f t="array" ref="J410">_xlfn.XLOOKUP(D410, products!$A$1:A457, products!$C$1:C457, 0)</f>
        <v>M</v>
      </c>
      <c r="K410" s="4" cm="1">
        <f t="array" ref="K410">_xlfn.XLOOKUP(D410, products!$A$1:A457, products!$D$1:D457, 0)</f>
        <v>2.5</v>
      </c>
      <c r="L410" s="4" cm="1">
        <f t="array" ref="L410">_xlfn.XLOOKUP(D410, products!$A$1:A457, products!$E$1:E457)</f>
        <v>25.874999999999996</v>
      </c>
      <c r="M410">
        <f t="shared" si="12"/>
        <v>51.749999999999993</v>
      </c>
      <c r="N410" t="str">
        <f t="shared" si="13"/>
        <v>Arabica</v>
      </c>
      <c r="O410" t="str" cm="1">
        <f t="array" ref="O410">_xlfn.IFS(J410="M", "Medium", J410="L", "Light", J410="D", "Dark")</f>
        <v>Medium</v>
      </c>
      <c r="P410" t="str">
        <f>_xlfn.XLOOKUP(Orders[[#This Row],[Customer ID]], customers!$A$2:$A$1001, customers!$I$2:$I$1001, 0)</f>
        <v>Yes</v>
      </c>
    </row>
    <row r="411" spans="1:16" x14ac:dyDescent="0.35">
      <c r="A411" s="2" t="s">
        <v>2798</v>
      </c>
      <c r="B411" s="3">
        <v>44203</v>
      </c>
      <c r="C411" s="2" t="s">
        <v>2799</v>
      </c>
      <c r="D411" t="s">
        <v>6170</v>
      </c>
      <c r="E411" s="2">
        <v>3</v>
      </c>
      <c r="F411" s="2" t="str" cm="1">
        <f t="array" ref="F411">_xlfn.XLOOKUP(C411, customers!$A$1:A1410, customers!$B$1:B1410, 0)</f>
        <v>Hamish Skeech</v>
      </c>
      <c r="G411" s="2" t="str">
        <f>IF(_xlfn.XLOOKUP(C411, customers!A410:A1410, customers!C410:C1410, 0)=0, "", _xlfn.XLOOKUP(C411, customers!A410:A1410, customers!C410:C1410, 0))</f>
        <v/>
      </c>
      <c r="H411" s="2" t="str" cm="1">
        <f t="array" ref="H411">_xlfn.XLOOKUP(C411, customers!$A$1:A1410, customers!$G$1:G1410,, 0)</f>
        <v>Ireland</v>
      </c>
      <c r="I411" t="str" cm="1">
        <f t="array" ref="I411">_xlfn.XLOOKUP(orders!D411, products!$A$1:A458, products!$B$1:B458, 0)</f>
        <v>Lib</v>
      </c>
      <c r="J411" t="str" cm="1">
        <f t="array" ref="J411">_xlfn.XLOOKUP(D411, products!$A$1:A458, products!$C$1:C458, 0)</f>
        <v>L</v>
      </c>
      <c r="K411" s="4" cm="1">
        <f t="array" ref="K411">_xlfn.XLOOKUP(D411, products!$A$1:A458, products!$D$1:D458, 0)</f>
        <v>1</v>
      </c>
      <c r="L411" s="4" cm="1">
        <f t="array" ref="L411">_xlfn.XLOOKUP(D411, products!$A$1:A458, products!$E$1:E458)</f>
        <v>15.85</v>
      </c>
      <c r="M411">
        <f t="shared" si="12"/>
        <v>47.55</v>
      </c>
      <c r="N411" t="str">
        <f t="shared" si="13"/>
        <v>Liberica</v>
      </c>
      <c r="O411" t="str" cm="1">
        <f t="array" ref="O411">_xlfn.IFS(J411="M", "Medium", J411="L", "Light", J411="D", "Dark")</f>
        <v>Light</v>
      </c>
      <c r="P411" t="str">
        <f>_xlfn.XLOOKUP(Orders[[#This Row],[Customer ID]], customers!$A$2:$A$1001, customers!$I$2:$I$1001, 0)</f>
        <v>Yes</v>
      </c>
    </row>
    <row r="412" spans="1:16" x14ac:dyDescent="0.35">
      <c r="A412" s="2" t="s">
        <v>2803</v>
      </c>
      <c r="B412" s="3">
        <v>44441</v>
      </c>
      <c r="C412" s="2" t="s">
        <v>2804</v>
      </c>
      <c r="D412" t="s">
        <v>6167</v>
      </c>
      <c r="E412" s="2">
        <v>4</v>
      </c>
      <c r="F412" s="2" t="str" cm="1">
        <f t="array" ref="F412">_xlfn.XLOOKUP(C412, customers!$A$1:A1411, customers!$B$1:B1411, 0)</f>
        <v>Giordano Lorenzin</v>
      </c>
      <c r="G412" s="2" t="str">
        <f>IF(_xlfn.XLOOKUP(C412, customers!A411:A1411, customers!C411:C1411, 0)=0, "", _xlfn.XLOOKUP(C412, customers!A411:A1411, customers!C411:C1411, 0))</f>
        <v/>
      </c>
      <c r="H412" s="2" t="str" cm="1">
        <f t="array" ref="H412">_xlfn.XLOOKUP(C412, customers!$A$1:A1411, customers!$G$1:G1411,, 0)</f>
        <v>United States</v>
      </c>
      <c r="I412" t="str" cm="1">
        <f t="array" ref="I412">_xlfn.XLOOKUP(orders!D412, products!$A$1:A459, products!$B$1:B459, 0)</f>
        <v>Ara</v>
      </c>
      <c r="J412" t="str" cm="1">
        <f t="array" ref="J412">_xlfn.XLOOKUP(D412, products!$A$1:A459, products!$C$1:C459, 0)</f>
        <v>L</v>
      </c>
      <c r="K412" s="4" cm="1">
        <f t="array" ref="K412">_xlfn.XLOOKUP(D412, products!$A$1:A459, products!$D$1:D459, 0)</f>
        <v>0.2</v>
      </c>
      <c r="L412" s="4" cm="1">
        <f t="array" ref="L412">_xlfn.XLOOKUP(D412, products!$A$1:A459, products!$E$1:E459)</f>
        <v>3.8849999999999998</v>
      </c>
      <c r="M412">
        <f t="shared" si="12"/>
        <v>15.54</v>
      </c>
      <c r="N412" t="str">
        <f t="shared" si="13"/>
        <v>Arabica</v>
      </c>
      <c r="O412" t="str" cm="1">
        <f t="array" ref="O412">_xlfn.IFS(J412="M", "Medium", J412="L", "Light", J412="D", "Dark")</f>
        <v>Light</v>
      </c>
      <c r="P412" t="str">
        <f>_xlfn.XLOOKUP(Orders[[#This Row],[Customer ID]], customers!$A$2:$A$1001, customers!$I$2:$I$1001, 0)</f>
        <v>No</v>
      </c>
    </row>
    <row r="413" spans="1:16" x14ac:dyDescent="0.35">
      <c r="A413" s="2" t="s">
        <v>2808</v>
      </c>
      <c r="B413" s="3">
        <v>44504</v>
      </c>
      <c r="C413" s="2" t="s">
        <v>2809</v>
      </c>
      <c r="D413" t="s">
        <v>6162</v>
      </c>
      <c r="E413" s="2">
        <v>6</v>
      </c>
      <c r="F413" s="2" t="str" cm="1">
        <f t="array" ref="F413">_xlfn.XLOOKUP(C413, customers!$A$1:A1412, customers!$B$1:B1412, 0)</f>
        <v>Harwilll Bishell</v>
      </c>
      <c r="G413" s="2" t="str">
        <f>IF(_xlfn.XLOOKUP(C413, customers!A412:A1412, customers!C412:C1412, 0)=0, "", _xlfn.XLOOKUP(C413, customers!A412:A1412, customers!C412:C1412, 0))</f>
        <v/>
      </c>
      <c r="H413" s="2" t="str" cm="1">
        <f t="array" ref="H413">_xlfn.XLOOKUP(C413, customers!$A$1:A1412, customers!$G$1:G1412,, 0)</f>
        <v>United States</v>
      </c>
      <c r="I413" t="str" cm="1">
        <f t="array" ref="I413">_xlfn.XLOOKUP(orders!D413, products!$A$1:A460, products!$B$1:B460, 0)</f>
        <v>Lib</v>
      </c>
      <c r="J413" t="str" cm="1">
        <f t="array" ref="J413">_xlfn.XLOOKUP(D413, products!$A$1:A460, products!$C$1:C460, 0)</f>
        <v>M</v>
      </c>
      <c r="K413" s="4" cm="1">
        <f t="array" ref="K413">_xlfn.XLOOKUP(D413, products!$A$1:A460, products!$D$1:D460, 0)</f>
        <v>1</v>
      </c>
      <c r="L413" s="4" cm="1">
        <f t="array" ref="L413">_xlfn.XLOOKUP(D413, products!$A$1:A460, products!$E$1:E460)</f>
        <v>14.55</v>
      </c>
      <c r="M413">
        <f t="shared" si="12"/>
        <v>87.300000000000011</v>
      </c>
      <c r="N413" t="str">
        <f t="shared" si="13"/>
        <v>Liberica</v>
      </c>
      <c r="O413" t="str" cm="1">
        <f t="array" ref="O413">_xlfn.IFS(J413="M", "Medium", J413="L", "Light", J413="D", "Dark")</f>
        <v>Medium</v>
      </c>
      <c r="P413" t="str">
        <f>_xlfn.XLOOKUP(Orders[[#This Row],[Customer ID]], customers!$A$2:$A$1001, customers!$I$2:$I$1001, 0)</f>
        <v>Yes</v>
      </c>
    </row>
    <row r="414" spans="1:16" x14ac:dyDescent="0.35">
      <c r="A414" s="2" t="s">
        <v>2813</v>
      </c>
      <c r="B414" s="3">
        <v>44410</v>
      </c>
      <c r="C414" s="2" t="s">
        <v>2814</v>
      </c>
      <c r="D414" t="s">
        <v>6155</v>
      </c>
      <c r="E414" s="2">
        <v>5</v>
      </c>
      <c r="F414" s="2" t="str" cm="1">
        <f t="array" ref="F414">_xlfn.XLOOKUP(C414, customers!$A$1:A1413, customers!$B$1:B1413, 0)</f>
        <v>Freeland Missenden</v>
      </c>
      <c r="G414" s="2" t="str">
        <f>IF(_xlfn.XLOOKUP(C414, customers!A413:A1413, customers!C413:C1413, 0)=0, "", _xlfn.XLOOKUP(C414, customers!A413:A1413, customers!C413:C1413, 0))</f>
        <v/>
      </c>
      <c r="H414" s="2" t="str" cm="1">
        <f t="array" ref="H414">_xlfn.XLOOKUP(C414, customers!$A$1:A1413, customers!$G$1:G1413,, 0)</f>
        <v>United States</v>
      </c>
      <c r="I414" t="str" cm="1">
        <f t="array" ref="I414">_xlfn.XLOOKUP(orders!D414, products!$A$1:A461, products!$B$1:B461, 0)</f>
        <v>Ara</v>
      </c>
      <c r="J414" t="str" cm="1">
        <f t="array" ref="J414">_xlfn.XLOOKUP(D414, products!$A$1:A461, products!$C$1:C461, 0)</f>
        <v>M</v>
      </c>
      <c r="K414" s="4" cm="1">
        <f t="array" ref="K414">_xlfn.XLOOKUP(D414, products!$A$1:A461, products!$D$1:D461, 0)</f>
        <v>1</v>
      </c>
      <c r="L414" s="4" cm="1">
        <f t="array" ref="L414">_xlfn.XLOOKUP(D414, products!$A$1:A461, products!$E$1:E461)</f>
        <v>11.25</v>
      </c>
      <c r="M414">
        <f t="shared" si="12"/>
        <v>56.25</v>
      </c>
      <c r="N414" t="str">
        <f t="shared" si="13"/>
        <v>Arabica</v>
      </c>
      <c r="O414" t="str" cm="1">
        <f t="array" ref="O414">_xlfn.IFS(J414="M", "Medium", J414="L", "Light", J414="D", "Dark")</f>
        <v>Medium</v>
      </c>
      <c r="P414" t="str">
        <f>_xlfn.XLOOKUP(Orders[[#This Row],[Customer ID]], customers!$A$2:$A$1001, customers!$I$2:$I$1001, 0)</f>
        <v>Yes</v>
      </c>
    </row>
    <row r="415" spans="1:16" x14ac:dyDescent="0.35">
      <c r="A415" s="2" t="s">
        <v>2818</v>
      </c>
      <c r="B415" s="3">
        <v>43857</v>
      </c>
      <c r="C415" s="2" t="s">
        <v>2819</v>
      </c>
      <c r="D415" t="s">
        <v>6164</v>
      </c>
      <c r="E415" s="2">
        <v>1</v>
      </c>
      <c r="F415" s="2" t="str" cm="1">
        <f t="array" ref="F415">_xlfn.XLOOKUP(C415, customers!$A$1:A1414, customers!$B$1:B1414, 0)</f>
        <v>Waylan Springall</v>
      </c>
      <c r="G415" s="2" t="str">
        <f>IF(_xlfn.XLOOKUP(C415, customers!A414:A1414, customers!C414:C1414, 0)=0, "", _xlfn.XLOOKUP(C415, customers!A414:A1414, customers!C414:C1414, 0))</f>
        <v>wspringallbh@jugem.jp</v>
      </c>
      <c r="H415" s="2" t="str" cm="1">
        <f t="array" ref="H415">_xlfn.XLOOKUP(C415, customers!$A$1:A1414, customers!$G$1:G1414,, 0)</f>
        <v>United States</v>
      </c>
      <c r="I415" t="str" cm="1">
        <f t="array" ref="I415">_xlfn.XLOOKUP(orders!D415, products!$A$1:A462, products!$B$1:B462, 0)</f>
        <v>Lib</v>
      </c>
      <c r="J415" t="str" cm="1">
        <f t="array" ref="J415">_xlfn.XLOOKUP(D415, products!$A$1:A462, products!$C$1:C462, 0)</f>
        <v>L</v>
      </c>
      <c r="K415" s="4" cm="1">
        <f t="array" ref="K415">_xlfn.XLOOKUP(D415, products!$A$1:A462, products!$D$1:D462, 0)</f>
        <v>2.5</v>
      </c>
      <c r="L415" s="4" cm="1">
        <f t="array" ref="L415">_xlfn.XLOOKUP(D415, products!$A$1:A462, products!$E$1:E462)</f>
        <v>36.454999999999998</v>
      </c>
      <c r="M415">
        <f t="shared" si="12"/>
        <v>36.454999999999998</v>
      </c>
      <c r="N415" t="str">
        <f t="shared" si="13"/>
        <v>Liberica</v>
      </c>
      <c r="O415" t="str" cm="1">
        <f t="array" ref="O415">_xlfn.IFS(J415="M", "Medium", J415="L", "Light", J415="D", "Dark")</f>
        <v>Light</v>
      </c>
      <c r="P415" t="str">
        <f>_xlfn.XLOOKUP(Orders[[#This Row],[Customer ID]], customers!$A$2:$A$1001, customers!$I$2:$I$1001, 0)</f>
        <v>Yes</v>
      </c>
    </row>
    <row r="416" spans="1:16" x14ac:dyDescent="0.35">
      <c r="A416" s="2" t="s">
        <v>2824</v>
      </c>
      <c r="B416" s="3">
        <v>43802</v>
      </c>
      <c r="C416" s="2" t="s">
        <v>2825</v>
      </c>
      <c r="D416" t="s">
        <v>6178</v>
      </c>
      <c r="E416" s="2">
        <v>3</v>
      </c>
      <c r="F416" s="2" t="str" cm="1">
        <f t="array" ref="F416">_xlfn.XLOOKUP(C416, customers!$A$1:A1415, customers!$B$1:B1415, 0)</f>
        <v>Kiri Avramow</v>
      </c>
      <c r="G416" s="2" t="str">
        <f>IF(_xlfn.XLOOKUP(C416, customers!A415:A1415, customers!C415:C1415, 0)=0, "", _xlfn.XLOOKUP(C416, customers!A415:A1415, customers!C415:C1415, 0))</f>
        <v/>
      </c>
      <c r="H416" s="2" t="str" cm="1">
        <f t="array" ref="H416">_xlfn.XLOOKUP(C416, customers!$A$1:A1415, customers!$G$1:G1415,, 0)</f>
        <v>United States</v>
      </c>
      <c r="I416" t="str" cm="1">
        <f t="array" ref="I416">_xlfn.XLOOKUP(orders!D416, products!$A$1:A463, products!$B$1:B463, 0)</f>
        <v>Rob</v>
      </c>
      <c r="J416" t="str" cm="1">
        <f t="array" ref="J416">_xlfn.XLOOKUP(D416, products!$A$1:A463, products!$C$1:C463, 0)</f>
        <v>L</v>
      </c>
      <c r="K416" s="4" cm="1">
        <f t="array" ref="K416">_xlfn.XLOOKUP(D416, products!$A$1:A463, products!$D$1:D463, 0)</f>
        <v>0.2</v>
      </c>
      <c r="L416" s="4" cm="1">
        <f t="array" ref="L416">_xlfn.XLOOKUP(D416, products!$A$1:A463, products!$E$1:E463)</f>
        <v>3.5849999999999995</v>
      </c>
      <c r="M416">
        <f t="shared" si="12"/>
        <v>10.754999999999999</v>
      </c>
      <c r="N416" t="str">
        <f t="shared" si="13"/>
        <v>Robusta</v>
      </c>
      <c r="O416" t="str" cm="1">
        <f t="array" ref="O416">_xlfn.IFS(J416="M", "Medium", J416="L", "Light", J416="D", "Dark")</f>
        <v>Light</v>
      </c>
      <c r="P416" t="str">
        <f>_xlfn.XLOOKUP(Orders[[#This Row],[Customer ID]], customers!$A$2:$A$1001, customers!$I$2:$I$1001, 0)</f>
        <v>Yes</v>
      </c>
    </row>
    <row r="417" spans="1:16" x14ac:dyDescent="0.35">
      <c r="A417" s="2" t="s">
        <v>2829</v>
      </c>
      <c r="B417" s="3">
        <v>43683</v>
      </c>
      <c r="C417" s="2" t="s">
        <v>2830</v>
      </c>
      <c r="D417" t="s">
        <v>6174</v>
      </c>
      <c r="E417" s="2">
        <v>3</v>
      </c>
      <c r="F417" s="2" t="str" cm="1">
        <f t="array" ref="F417">_xlfn.XLOOKUP(C417, customers!$A$1:A1416, customers!$B$1:B1416, 0)</f>
        <v>Gregg Hawkyens</v>
      </c>
      <c r="G417" s="2" t="str">
        <f>IF(_xlfn.XLOOKUP(C417, customers!A416:A1416, customers!C416:C1416, 0)=0, "", _xlfn.XLOOKUP(C417, customers!A416:A1416, customers!C416:C1416, 0))</f>
        <v>ghawkyensbj@census.gov</v>
      </c>
      <c r="H417" s="2" t="str" cm="1">
        <f t="array" ref="H417">_xlfn.XLOOKUP(C417, customers!$A$1:A1416, customers!$G$1:G1416,, 0)</f>
        <v>United States</v>
      </c>
      <c r="I417" t="str" cm="1">
        <f t="array" ref="I417">_xlfn.XLOOKUP(orders!D417, products!$A$1:A464, products!$B$1:B464, 0)</f>
        <v>Rob</v>
      </c>
      <c r="J417" t="str" cm="1">
        <f t="array" ref="J417">_xlfn.XLOOKUP(D417, products!$A$1:A464, products!$C$1:C464, 0)</f>
        <v>M</v>
      </c>
      <c r="K417" s="4" cm="1">
        <f t="array" ref="K417">_xlfn.XLOOKUP(D417, products!$A$1:A464, products!$D$1:D464, 0)</f>
        <v>0.2</v>
      </c>
      <c r="L417" s="4" cm="1">
        <f t="array" ref="L417">_xlfn.XLOOKUP(D417, products!$A$1:A464, products!$E$1:E464)</f>
        <v>2.9849999999999999</v>
      </c>
      <c r="M417">
        <f t="shared" si="12"/>
        <v>8.9550000000000001</v>
      </c>
      <c r="N417" t="str">
        <f t="shared" si="13"/>
        <v>Robusta</v>
      </c>
      <c r="O417" t="str" cm="1">
        <f t="array" ref="O417">_xlfn.IFS(J417="M", "Medium", J417="L", "Light", J417="D", "Dark")</f>
        <v>Medium</v>
      </c>
      <c r="P417" t="str">
        <f>_xlfn.XLOOKUP(Orders[[#This Row],[Customer ID]], customers!$A$2:$A$1001, customers!$I$2:$I$1001, 0)</f>
        <v>No</v>
      </c>
    </row>
    <row r="418" spans="1:16" x14ac:dyDescent="0.35">
      <c r="A418" s="2" t="s">
        <v>2834</v>
      </c>
      <c r="B418" s="3">
        <v>43901</v>
      </c>
      <c r="C418" s="2" t="s">
        <v>2835</v>
      </c>
      <c r="D418" t="s">
        <v>6180</v>
      </c>
      <c r="E418" s="2">
        <v>3</v>
      </c>
      <c r="F418" s="2" t="str" cm="1">
        <f t="array" ref="F418">_xlfn.XLOOKUP(C418, customers!$A$1:A1417, customers!$B$1:B1417, 0)</f>
        <v>Reggis Pracy</v>
      </c>
      <c r="G418" s="2" t="str">
        <f>IF(_xlfn.XLOOKUP(C418, customers!A417:A1417, customers!C417:C1417, 0)=0, "", _xlfn.XLOOKUP(C418, customers!A417:A1417, customers!C417:C1417, 0))</f>
        <v/>
      </c>
      <c r="H418" s="2" t="str" cm="1">
        <f t="array" ref="H418">_xlfn.XLOOKUP(C418, customers!$A$1:A1417, customers!$G$1:G1417,, 0)</f>
        <v>United States</v>
      </c>
      <c r="I418" t="str" cm="1">
        <f t="array" ref="I418">_xlfn.XLOOKUP(orders!D418, products!$A$1:A465, products!$B$1:B465, 0)</f>
        <v>Ara</v>
      </c>
      <c r="J418" t="str" cm="1">
        <f t="array" ref="J418">_xlfn.XLOOKUP(D418, products!$A$1:A465, products!$C$1:C465, 0)</f>
        <v>L</v>
      </c>
      <c r="K418" s="4" cm="1">
        <f t="array" ref="K418">_xlfn.XLOOKUP(D418, products!$A$1:A465, products!$D$1:D465, 0)</f>
        <v>0.5</v>
      </c>
      <c r="L418" s="4" cm="1">
        <f t="array" ref="L418">_xlfn.XLOOKUP(D418, products!$A$1:A465, products!$E$1:E465)</f>
        <v>7.77</v>
      </c>
      <c r="M418">
        <f t="shared" si="12"/>
        <v>23.31</v>
      </c>
      <c r="N418" t="str">
        <f t="shared" si="13"/>
        <v>Arabica</v>
      </c>
      <c r="O418" t="str" cm="1">
        <f t="array" ref="O418">_xlfn.IFS(J418="M", "Medium", J418="L", "Light", J418="D", "Dark")</f>
        <v>Light</v>
      </c>
      <c r="P418" t="str">
        <f>_xlfn.XLOOKUP(Orders[[#This Row],[Customer ID]], customers!$A$2:$A$1001, customers!$I$2:$I$1001, 0)</f>
        <v>Yes</v>
      </c>
    </row>
    <row r="419" spans="1:16" x14ac:dyDescent="0.35">
      <c r="A419" s="2" t="s">
        <v>2839</v>
      </c>
      <c r="B419" s="3">
        <v>44457</v>
      </c>
      <c r="C419" s="2" t="s">
        <v>2840</v>
      </c>
      <c r="D419" t="s">
        <v>6182</v>
      </c>
      <c r="E419" s="2">
        <v>1</v>
      </c>
      <c r="F419" s="2" t="str" cm="1">
        <f t="array" ref="F419">_xlfn.XLOOKUP(C419, customers!$A$1:A1418, customers!$B$1:B1418, 0)</f>
        <v>Paula Denis</v>
      </c>
      <c r="G419" s="2" t="str">
        <f>IF(_xlfn.XLOOKUP(C419, customers!A418:A1418, customers!C418:C1418, 0)=0, "", _xlfn.XLOOKUP(C419, customers!A418:A1418, customers!C418:C1418, 0))</f>
        <v/>
      </c>
      <c r="H419" s="2" t="str" cm="1">
        <f t="array" ref="H419">_xlfn.XLOOKUP(C419, customers!$A$1:A1418, customers!$G$1:G1418,, 0)</f>
        <v>United States</v>
      </c>
      <c r="I419" t="str" cm="1">
        <f t="array" ref="I419">_xlfn.XLOOKUP(orders!D419, products!$A$1:A466, products!$B$1:B466, 0)</f>
        <v>Ara</v>
      </c>
      <c r="J419" t="str" cm="1">
        <f t="array" ref="J419">_xlfn.XLOOKUP(D419, products!$A$1:A466, products!$C$1:C466, 0)</f>
        <v>L</v>
      </c>
      <c r="K419" s="4" cm="1">
        <f t="array" ref="K419">_xlfn.XLOOKUP(D419, products!$A$1:A466, products!$D$1:D466, 0)</f>
        <v>2.5</v>
      </c>
      <c r="L419" s="4" cm="1">
        <f t="array" ref="L419">_xlfn.XLOOKUP(D419, products!$A$1:A466, products!$E$1:E466)</f>
        <v>29.784999999999997</v>
      </c>
      <c r="M419">
        <f t="shared" si="12"/>
        <v>29.784999999999997</v>
      </c>
      <c r="N419" t="str">
        <f t="shared" si="13"/>
        <v>Arabica</v>
      </c>
      <c r="O419" t="str" cm="1">
        <f t="array" ref="O419">_xlfn.IFS(J419="M", "Medium", J419="L", "Light", J419="D", "Dark")</f>
        <v>Light</v>
      </c>
      <c r="P419" t="str">
        <f>_xlfn.XLOOKUP(Orders[[#This Row],[Customer ID]], customers!$A$2:$A$1001, customers!$I$2:$I$1001, 0)</f>
        <v>Yes</v>
      </c>
    </row>
    <row r="420" spans="1:16" x14ac:dyDescent="0.35">
      <c r="A420" s="2" t="s">
        <v>2844</v>
      </c>
      <c r="B420" s="3">
        <v>44142</v>
      </c>
      <c r="C420" s="2" t="s">
        <v>2845</v>
      </c>
      <c r="D420" t="s">
        <v>6182</v>
      </c>
      <c r="E420" s="2">
        <v>5</v>
      </c>
      <c r="F420" s="2" t="str" cm="1">
        <f t="array" ref="F420">_xlfn.XLOOKUP(C420, customers!$A$1:A1419, customers!$B$1:B1419, 0)</f>
        <v>Broderick McGilvra</v>
      </c>
      <c r="G420" s="2" t="str">
        <f>IF(_xlfn.XLOOKUP(C420, customers!A419:A1419, customers!C419:C1419, 0)=0, "", _xlfn.XLOOKUP(C420, customers!A419:A1419, customers!C419:C1419, 0))</f>
        <v>bmcgilvrabm@so-net.ne.jp</v>
      </c>
      <c r="H420" s="2" t="str" cm="1">
        <f t="array" ref="H420">_xlfn.XLOOKUP(C420, customers!$A$1:A1419, customers!$G$1:G1419,, 0)</f>
        <v>United States</v>
      </c>
      <c r="I420" t="str" cm="1">
        <f t="array" ref="I420">_xlfn.XLOOKUP(orders!D420, products!$A$1:A467, products!$B$1:B467, 0)</f>
        <v>Ara</v>
      </c>
      <c r="J420" t="str" cm="1">
        <f t="array" ref="J420">_xlfn.XLOOKUP(D420, products!$A$1:A467, products!$C$1:C467, 0)</f>
        <v>L</v>
      </c>
      <c r="K420" s="4" cm="1">
        <f t="array" ref="K420">_xlfn.XLOOKUP(D420, products!$A$1:A467, products!$D$1:D467, 0)</f>
        <v>2.5</v>
      </c>
      <c r="L420" s="4" cm="1">
        <f t="array" ref="L420">_xlfn.XLOOKUP(D420, products!$A$1:A467, products!$E$1:E467)</f>
        <v>29.784999999999997</v>
      </c>
      <c r="M420">
        <f t="shared" si="12"/>
        <v>148.92499999999998</v>
      </c>
      <c r="N420" t="str">
        <f t="shared" si="13"/>
        <v>Arabica</v>
      </c>
      <c r="O420" t="str" cm="1">
        <f t="array" ref="O420">_xlfn.IFS(J420="M", "Medium", J420="L", "Light", J420="D", "Dark")</f>
        <v>Light</v>
      </c>
      <c r="P420" t="str">
        <f>_xlfn.XLOOKUP(Orders[[#This Row],[Customer ID]], customers!$A$2:$A$1001, customers!$I$2:$I$1001, 0)</f>
        <v>Yes</v>
      </c>
    </row>
    <row r="421" spans="1:16" x14ac:dyDescent="0.35">
      <c r="A421" s="2" t="s">
        <v>2849</v>
      </c>
      <c r="B421" s="3">
        <v>44739</v>
      </c>
      <c r="C421" s="2" t="s">
        <v>2850</v>
      </c>
      <c r="D421" t="s">
        <v>6160</v>
      </c>
      <c r="E421" s="2">
        <v>1</v>
      </c>
      <c r="F421" s="2" t="str" cm="1">
        <f t="array" ref="F421">_xlfn.XLOOKUP(C421, customers!$A$1:A1420, customers!$B$1:B1420, 0)</f>
        <v>Annabella Danzey</v>
      </c>
      <c r="G421" s="2" t="str">
        <f>IF(_xlfn.XLOOKUP(C421, customers!A420:A1420, customers!C420:C1420, 0)=0, "", _xlfn.XLOOKUP(C421, customers!A420:A1420, customers!C420:C1420, 0))</f>
        <v>adanzeybn@github.com</v>
      </c>
      <c r="H421" s="2" t="str" cm="1">
        <f t="array" ref="H421">_xlfn.XLOOKUP(C421, customers!$A$1:A1420, customers!$G$1:G1420,, 0)</f>
        <v>United States</v>
      </c>
      <c r="I421" t="str" cm="1">
        <f t="array" ref="I421">_xlfn.XLOOKUP(orders!D421, products!$A$1:A468, products!$B$1:B468, 0)</f>
        <v>Lib</v>
      </c>
      <c r="J421" t="str" cm="1">
        <f t="array" ref="J421">_xlfn.XLOOKUP(D421, products!$A$1:A468, products!$C$1:C468, 0)</f>
        <v>M</v>
      </c>
      <c r="K421" s="4" cm="1">
        <f t="array" ref="K421">_xlfn.XLOOKUP(D421, products!$A$1:A468, products!$D$1:D468, 0)</f>
        <v>0.5</v>
      </c>
      <c r="L421" s="4" cm="1">
        <f t="array" ref="L421">_xlfn.XLOOKUP(D421, products!$A$1:A468, products!$E$1:E468)</f>
        <v>8.73</v>
      </c>
      <c r="M421">
        <f t="shared" si="12"/>
        <v>8.73</v>
      </c>
      <c r="N421" t="str">
        <f t="shared" si="13"/>
        <v>Liberica</v>
      </c>
      <c r="O421" t="str" cm="1">
        <f t="array" ref="O421">_xlfn.IFS(J421="M", "Medium", J421="L", "Light", J421="D", "Dark")</f>
        <v>Medium</v>
      </c>
      <c r="P421" t="str">
        <f>_xlfn.XLOOKUP(Orders[[#This Row],[Customer ID]], customers!$A$2:$A$1001, customers!$I$2:$I$1001, 0)</f>
        <v>Yes</v>
      </c>
    </row>
    <row r="422" spans="1:16" x14ac:dyDescent="0.35">
      <c r="A422" s="2" t="s">
        <v>2855</v>
      </c>
      <c r="B422" s="3">
        <v>43866</v>
      </c>
      <c r="C422" s="2" t="s">
        <v>2586</v>
      </c>
      <c r="D422" t="s">
        <v>6169</v>
      </c>
      <c r="E422" s="2">
        <v>4</v>
      </c>
      <c r="F422" s="2" t="str" cm="1">
        <f t="array" ref="F422">_xlfn.XLOOKUP(C422, customers!$A$1:A1421, customers!$B$1:B1421, 0)</f>
        <v>Terri Farra</v>
      </c>
      <c r="G422" s="2" t="str">
        <f>IF(_xlfn.XLOOKUP(C422, customers!A421:A1421, customers!C421:C1421, 0)=0, "", _xlfn.XLOOKUP(C422, customers!A421:A1421, customers!C421:C1421, 0))</f>
        <v/>
      </c>
      <c r="H422" s="2" t="str" cm="1">
        <f t="array" ref="H422">_xlfn.XLOOKUP(C422, customers!$A$1:A1421, customers!$G$1:G1421,, 0)</f>
        <v>United States</v>
      </c>
      <c r="I422" t="str" cm="1">
        <f t="array" ref="I422">_xlfn.XLOOKUP(orders!D422, products!$A$1:A469, products!$B$1:B469, 0)</f>
        <v>Lib</v>
      </c>
      <c r="J422" t="str" cm="1">
        <f t="array" ref="J422">_xlfn.XLOOKUP(D422, products!$A$1:A469, products!$C$1:C469, 0)</f>
        <v>D</v>
      </c>
      <c r="K422" s="4" cm="1">
        <f t="array" ref="K422">_xlfn.XLOOKUP(D422, products!$A$1:A469, products!$D$1:D469, 0)</f>
        <v>0.5</v>
      </c>
      <c r="L422" s="4" cm="1">
        <f t="array" ref="L422">_xlfn.XLOOKUP(D422, products!$A$1:A469, products!$E$1:E469)</f>
        <v>7.77</v>
      </c>
      <c r="M422">
        <f t="shared" si="12"/>
        <v>31.08</v>
      </c>
      <c r="N422" t="str">
        <f t="shared" si="13"/>
        <v>Liberica</v>
      </c>
      <c r="O422" t="str" cm="1">
        <f t="array" ref="O422">_xlfn.IFS(J422="M", "Medium", J422="L", "Light", J422="D", "Dark")</f>
        <v>Dark</v>
      </c>
      <c r="P422" t="str">
        <f>_xlfn.XLOOKUP(Orders[[#This Row],[Customer ID]], customers!$A$2:$A$1001, customers!$I$2:$I$1001, 0)</f>
        <v>No</v>
      </c>
    </row>
    <row r="423" spans="1:16" x14ac:dyDescent="0.35">
      <c r="A423" s="2" t="s">
        <v>2855</v>
      </c>
      <c r="B423" s="3">
        <v>43866</v>
      </c>
      <c r="C423" s="2" t="s">
        <v>2586</v>
      </c>
      <c r="D423" t="s">
        <v>6168</v>
      </c>
      <c r="E423" s="2">
        <v>6</v>
      </c>
      <c r="F423" s="2" t="str" cm="1">
        <f t="array" ref="F423">_xlfn.XLOOKUP(C423, customers!$A$1:A1422, customers!$B$1:B1422, 0)</f>
        <v>Terri Farra</v>
      </c>
      <c r="G423" s="2" t="str">
        <f>IF(_xlfn.XLOOKUP(C423, customers!A422:A1422, customers!C422:C1422, 0)=0, "", _xlfn.XLOOKUP(C423, customers!A422:A1422, customers!C422:C1422, 0))</f>
        <v/>
      </c>
      <c r="H423" s="2" t="str" cm="1">
        <f t="array" ref="H423">_xlfn.XLOOKUP(C423, customers!$A$1:A1422, customers!$G$1:G1422,, 0)</f>
        <v>United States</v>
      </c>
      <c r="I423" t="str" cm="1">
        <f t="array" ref="I423">_xlfn.XLOOKUP(orders!D423, products!$A$1:A470, products!$B$1:B470, 0)</f>
        <v>Ara</v>
      </c>
      <c r="J423" t="str" cm="1">
        <f t="array" ref="J423">_xlfn.XLOOKUP(D423, products!$A$1:A470, products!$C$1:C470, 0)</f>
        <v>D</v>
      </c>
      <c r="K423" s="4" cm="1">
        <f t="array" ref="K423">_xlfn.XLOOKUP(D423, products!$A$1:A470, products!$D$1:D470, 0)</f>
        <v>2.5</v>
      </c>
      <c r="L423" s="4" cm="1">
        <f t="array" ref="L423">_xlfn.XLOOKUP(D423, products!$A$1:A470, products!$E$1:E470)</f>
        <v>22.884999999999998</v>
      </c>
      <c r="M423">
        <f t="shared" si="12"/>
        <v>137.31</v>
      </c>
      <c r="N423" t="str">
        <f t="shared" si="13"/>
        <v>Arabica</v>
      </c>
      <c r="O423" t="str" cm="1">
        <f t="array" ref="O423">_xlfn.IFS(J423="M", "Medium", J423="L", "Light", J423="D", "Dark")</f>
        <v>Dark</v>
      </c>
      <c r="P423" t="str">
        <f>_xlfn.XLOOKUP(Orders[[#This Row],[Customer ID]], customers!$A$2:$A$1001, customers!$I$2:$I$1001, 0)</f>
        <v>No</v>
      </c>
    </row>
    <row r="424" spans="1:16" x14ac:dyDescent="0.35">
      <c r="A424" s="2" t="s">
        <v>2866</v>
      </c>
      <c r="B424" s="3">
        <v>43868</v>
      </c>
      <c r="C424" s="2" t="s">
        <v>2867</v>
      </c>
      <c r="D424" t="s">
        <v>6158</v>
      </c>
      <c r="E424" s="2">
        <v>5</v>
      </c>
      <c r="F424" s="2" t="str" cm="1">
        <f t="array" ref="F424">_xlfn.XLOOKUP(C424, customers!$A$1:A1423, customers!$B$1:B1423, 0)</f>
        <v>Nevins Glowacz</v>
      </c>
      <c r="G424" s="2" t="str">
        <f>IF(_xlfn.XLOOKUP(C424, customers!A423:A1423, customers!C423:C1423, 0)=0, "", _xlfn.XLOOKUP(C424, customers!A423:A1423, customers!C423:C1423, 0))</f>
        <v/>
      </c>
      <c r="H424" s="2" t="str" cm="1">
        <f t="array" ref="H424">_xlfn.XLOOKUP(C424, customers!$A$1:A1423, customers!$G$1:G1423,, 0)</f>
        <v>United States</v>
      </c>
      <c r="I424" t="str" cm="1">
        <f t="array" ref="I424">_xlfn.XLOOKUP(orders!D424, products!$A$1:A471, products!$B$1:B471, 0)</f>
        <v>Ara</v>
      </c>
      <c r="J424" t="str" cm="1">
        <f t="array" ref="J424">_xlfn.XLOOKUP(D424, products!$A$1:A471, products!$C$1:C471, 0)</f>
        <v>D</v>
      </c>
      <c r="K424" s="4" cm="1">
        <f t="array" ref="K424">_xlfn.XLOOKUP(D424, products!$A$1:A471, products!$D$1:D471, 0)</f>
        <v>0.5</v>
      </c>
      <c r="L424" s="4" cm="1">
        <f t="array" ref="L424">_xlfn.XLOOKUP(D424, products!$A$1:A471, products!$E$1:E471)</f>
        <v>5.97</v>
      </c>
      <c r="M424">
        <f t="shared" si="12"/>
        <v>29.849999999999998</v>
      </c>
      <c r="N424" t="str">
        <f t="shared" si="13"/>
        <v>Arabica</v>
      </c>
      <c r="O424" t="str" cm="1">
        <f t="array" ref="O424">_xlfn.IFS(J424="M", "Medium", J424="L", "Light", J424="D", "Dark")</f>
        <v>Dark</v>
      </c>
      <c r="P424" t="str">
        <f>_xlfn.XLOOKUP(Orders[[#This Row],[Customer ID]], customers!$A$2:$A$1001, customers!$I$2:$I$1001, 0)</f>
        <v>No</v>
      </c>
    </row>
    <row r="425" spans="1:16" x14ac:dyDescent="0.35">
      <c r="A425" s="2" t="s">
        <v>2871</v>
      </c>
      <c r="B425" s="3">
        <v>44183</v>
      </c>
      <c r="C425" s="2" t="s">
        <v>2872</v>
      </c>
      <c r="D425" t="s">
        <v>6146</v>
      </c>
      <c r="E425" s="2">
        <v>3</v>
      </c>
      <c r="F425" s="2" t="str" cm="1">
        <f t="array" ref="F425">_xlfn.XLOOKUP(C425, customers!$A$1:A1424, customers!$B$1:B1424, 0)</f>
        <v>Adelice Isabell</v>
      </c>
      <c r="G425" s="2" t="str">
        <f>IF(_xlfn.XLOOKUP(C425, customers!A424:A1424, customers!C424:C1424, 0)=0, "", _xlfn.XLOOKUP(C425, customers!A424:A1424, customers!C424:C1424, 0))</f>
        <v/>
      </c>
      <c r="H425" s="2" t="str" cm="1">
        <f t="array" ref="H425">_xlfn.XLOOKUP(C425, customers!$A$1:A1424, customers!$G$1:G1424,, 0)</f>
        <v>United States</v>
      </c>
      <c r="I425" t="str" cm="1">
        <f t="array" ref="I425">_xlfn.XLOOKUP(orders!D425, products!$A$1:A472, products!$B$1:B472, 0)</f>
        <v>Rob</v>
      </c>
      <c r="J425" t="str" cm="1">
        <f t="array" ref="J425">_xlfn.XLOOKUP(D425, products!$A$1:A472, products!$C$1:C472, 0)</f>
        <v>M</v>
      </c>
      <c r="K425" s="4" cm="1">
        <f t="array" ref="K425">_xlfn.XLOOKUP(D425, products!$A$1:A472, products!$D$1:D472, 0)</f>
        <v>0.5</v>
      </c>
      <c r="L425" s="4" cm="1">
        <f t="array" ref="L425">_xlfn.XLOOKUP(D425, products!$A$1:A472, products!$E$1:E472)</f>
        <v>5.97</v>
      </c>
      <c r="M425">
        <f t="shared" si="12"/>
        <v>17.91</v>
      </c>
      <c r="N425" t="str">
        <f t="shared" si="13"/>
        <v>Robusta</v>
      </c>
      <c r="O425" t="str" cm="1">
        <f t="array" ref="O425">_xlfn.IFS(J425="M", "Medium", J425="L", "Light", J425="D", "Dark")</f>
        <v>Medium</v>
      </c>
      <c r="P425" t="str">
        <f>_xlfn.XLOOKUP(Orders[[#This Row],[Customer ID]], customers!$A$2:$A$1001, customers!$I$2:$I$1001, 0)</f>
        <v>No</v>
      </c>
    </row>
    <row r="426" spans="1:16" x14ac:dyDescent="0.35">
      <c r="A426" s="2" t="s">
        <v>2876</v>
      </c>
      <c r="B426" s="3">
        <v>44431</v>
      </c>
      <c r="C426" s="2" t="s">
        <v>2877</v>
      </c>
      <c r="D426" t="s">
        <v>6176</v>
      </c>
      <c r="E426" s="2">
        <v>3</v>
      </c>
      <c r="F426" s="2" t="str" cm="1">
        <f t="array" ref="F426">_xlfn.XLOOKUP(C426, customers!$A$1:A1425, customers!$B$1:B1425, 0)</f>
        <v>Yulma Dombrell</v>
      </c>
      <c r="G426" s="2" t="str">
        <f>IF(_xlfn.XLOOKUP(C426, customers!A425:A1425, customers!C425:C1425, 0)=0, "", _xlfn.XLOOKUP(C426, customers!A425:A1425, customers!C425:C1425, 0))</f>
        <v>ydombrellbs@dedecms.com</v>
      </c>
      <c r="H426" s="2" t="str" cm="1">
        <f t="array" ref="H426">_xlfn.XLOOKUP(C426, customers!$A$1:A1425, customers!$G$1:G1425,, 0)</f>
        <v>United States</v>
      </c>
      <c r="I426" t="str" cm="1">
        <f t="array" ref="I426">_xlfn.XLOOKUP(orders!D426, products!$A$1:A473, products!$B$1:B473, 0)</f>
        <v>Exc</v>
      </c>
      <c r="J426" t="str" cm="1">
        <f t="array" ref="J426">_xlfn.XLOOKUP(D426, products!$A$1:A473, products!$C$1:C473, 0)</f>
        <v>L</v>
      </c>
      <c r="K426" s="4" cm="1">
        <f t="array" ref="K426">_xlfn.XLOOKUP(D426, products!$A$1:A473, products!$D$1:D473, 0)</f>
        <v>0.5</v>
      </c>
      <c r="L426" s="4" cm="1">
        <f t="array" ref="L426">_xlfn.XLOOKUP(D426, products!$A$1:A473, products!$E$1:E473)</f>
        <v>8.91</v>
      </c>
      <c r="M426">
        <f t="shared" si="12"/>
        <v>26.73</v>
      </c>
      <c r="N426" t="str">
        <f t="shared" si="13"/>
        <v>Excelsa</v>
      </c>
      <c r="O426" t="str" cm="1">
        <f t="array" ref="O426">_xlfn.IFS(J426="M", "Medium", J426="L", "Light", J426="D", "Dark")</f>
        <v>Light</v>
      </c>
      <c r="P426" t="str">
        <f>_xlfn.XLOOKUP(Orders[[#This Row],[Customer ID]], customers!$A$2:$A$1001, customers!$I$2:$I$1001, 0)</f>
        <v>Yes</v>
      </c>
    </row>
    <row r="427" spans="1:16" x14ac:dyDescent="0.35">
      <c r="A427" s="2" t="s">
        <v>2882</v>
      </c>
      <c r="B427" s="3">
        <v>44428</v>
      </c>
      <c r="C427" s="2" t="s">
        <v>2883</v>
      </c>
      <c r="D427" t="s">
        <v>6177</v>
      </c>
      <c r="E427" s="2">
        <v>2</v>
      </c>
      <c r="F427" s="2" t="str" cm="1">
        <f t="array" ref="F427">_xlfn.XLOOKUP(C427, customers!$A$1:A1426, customers!$B$1:B1426, 0)</f>
        <v>Alric Darth</v>
      </c>
      <c r="G427" s="2" t="str">
        <f>IF(_xlfn.XLOOKUP(C427, customers!A426:A1426, customers!C426:C1426, 0)=0, "", _xlfn.XLOOKUP(C427, customers!A426:A1426, customers!C426:C1426, 0))</f>
        <v>adarthbt@t.co</v>
      </c>
      <c r="H427" s="2" t="str" cm="1">
        <f t="array" ref="H427">_xlfn.XLOOKUP(C427, customers!$A$1:A1426, customers!$G$1:G1426,, 0)</f>
        <v>United States</v>
      </c>
      <c r="I427" t="str" cm="1">
        <f t="array" ref="I427">_xlfn.XLOOKUP(orders!D427, products!$A$1:A474, products!$B$1:B474, 0)</f>
        <v>Rob</v>
      </c>
      <c r="J427" t="str" cm="1">
        <f t="array" ref="J427">_xlfn.XLOOKUP(D427, products!$A$1:A474, products!$C$1:C474, 0)</f>
        <v>D</v>
      </c>
      <c r="K427" s="4" cm="1">
        <f t="array" ref="K427">_xlfn.XLOOKUP(D427, products!$A$1:A474, products!$D$1:D474, 0)</f>
        <v>1</v>
      </c>
      <c r="L427" s="4" cm="1">
        <f t="array" ref="L427">_xlfn.XLOOKUP(D427, products!$A$1:A474, products!$E$1:E474)</f>
        <v>8.9499999999999993</v>
      </c>
      <c r="M427">
        <f t="shared" si="12"/>
        <v>17.899999999999999</v>
      </c>
      <c r="N427" t="str">
        <f t="shared" si="13"/>
        <v>Robusta</v>
      </c>
      <c r="O427" t="str" cm="1">
        <f t="array" ref="O427">_xlfn.IFS(J427="M", "Medium", J427="L", "Light", J427="D", "Dark")</f>
        <v>Dark</v>
      </c>
      <c r="P427" t="str">
        <f>_xlfn.XLOOKUP(Orders[[#This Row],[Customer ID]], customers!$A$2:$A$1001, customers!$I$2:$I$1001, 0)</f>
        <v>No</v>
      </c>
    </row>
    <row r="428" spans="1:16" x14ac:dyDescent="0.35">
      <c r="A428" s="2" t="s">
        <v>2888</v>
      </c>
      <c r="B428" s="3">
        <v>43556</v>
      </c>
      <c r="C428" s="2" t="s">
        <v>2889</v>
      </c>
      <c r="D428" t="s">
        <v>6178</v>
      </c>
      <c r="E428" s="2">
        <v>4</v>
      </c>
      <c r="F428" s="2" t="str" cm="1">
        <f t="array" ref="F428">_xlfn.XLOOKUP(C428, customers!$A$1:A1427, customers!$B$1:B1427, 0)</f>
        <v>Manuel Darrigoe</v>
      </c>
      <c r="G428" s="2" t="str">
        <f>IF(_xlfn.XLOOKUP(C428, customers!A427:A1427, customers!C427:C1427, 0)=0, "", _xlfn.XLOOKUP(C428, customers!A427:A1427, customers!C427:C1427, 0))</f>
        <v>mdarrigoebu@hud.gov</v>
      </c>
      <c r="H428" s="2" t="str" cm="1">
        <f t="array" ref="H428">_xlfn.XLOOKUP(C428, customers!$A$1:A1427, customers!$G$1:G1427,, 0)</f>
        <v>Ireland</v>
      </c>
      <c r="I428" t="str" cm="1">
        <f t="array" ref="I428">_xlfn.XLOOKUP(orders!D428, products!$A$1:A475, products!$B$1:B475, 0)</f>
        <v>Rob</v>
      </c>
      <c r="J428" t="str" cm="1">
        <f t="array" ref="J428">_xlfn.XLOOKUP(D428, products!$A$1:A475, products!$C$1:C475, 0)</f>
        <v>L</v>
      </c>
      <c r="K428" s="4" cm="1">
        <f t="array" ref="K428">_xlfn.XLOOKUP(D428, products!$A$1:A475, products!$D$1:D475, 0)</f>
        <v>0.2</v>
      </c>
      <c r="L428" s="4" cm="1">
        <f t="array" ref="L428">_xlfn.XLOOKUP(D428, products!$A$1:A475, products!$E$1:E475)</f>
        <v>3.5849999999999995</v>
      </c>
      <c r="M428">
        <f t="shared" si="12"/>
        <v>14.339999999999998</v>
      </c>
      <c r="N428" t="str">
        <f t="shared" si="13"/>
        <v>Robusta</v>
      </c>
      <c r="O428" t="str" cm="1">
        <f t="array" ref="O428">_xlfn.IFS(J428="M", "Medium", J428="L", "Light", J428="D", "Dark")</f>
        <v>Light</v>
      </c>
      <c r="P428" t="str">
        <f>_xlfn.XLOOKUP(Orders[[#This Row],[Customer ID]], customers!$A$2:$A$1001, customers!$I$2:$I$1001, 0)</f>
        <v>Yes</v>
      </c>
    </row>
    <row r="429" spans="1:16" x14ac:dyDescent="0.35">
      <c r="A429" s="2" t="s">
        <v>2894</v>
      </c>
      <c r="B429" s="3">
        <v>44224</v>
      </c>
      <c r="C429" s="2" t="s">
        <v>2895</v>
      </c>
      <c r="D429" t="s">
        <v>6175</v>
      </c>
      <c r="E429" s="2">
        <v>3</v>
      </c>
      <c r="F429" s="2" t="str" cm="1">
        <f t="array" ref="F429">_xlfn.XLOOKUP(C429, customers!$A$1:A1428, customers!$B$1:B1428, 0)</f>
        <v>Kynthia Berick</v>
      </c>
      <c r="G429" s="2" t="str">
        <f>IF(_xlfn.XLOOKUP(C429, customers!A428:A1428, customers!C428:C1428, 0)=0, "", _xlfn.XLOOKUP(C429, customers!A428:A1428, customers!C428:C1428, 0))</f>
        <v/>
      </c>
      <c r="H429" s="2" t="str" cm="1">
        <f t="array" ref="H429">_xlfn.XLOOKUP(C429, customers!$A$1:A1428, customers!$G$1:G1428,, 0)</f>
        <v>United States</v>
      </c>
      <c r="I429" t="str" cm="1">
        <f t="array" ref="I429">_xlfn.XLOOKUP(orders!D429, products!$A$1:A476, products!$B$1:B476, 0)</f>
        <v>Ara</v>
      </c>
      <c r="J429" t="str" cm="1">
        <f t="array" ref="J429">_xlfn.XLOOKUP(D429, products!$A$1:A476, products!$C$1:C476, 0)</f>
        <v>M</v>
      </c>
      <c r="K429" s="4" cm="1">
        <f t="array" ref="K429">_xlfn.XLOOKUP(D429, products!$A$1:A476, products!$D$1:D476, 0)</f>
        <v>2.5</v>
      </c>
      <c r="L429" s="4" cm="1">
        <f t="array" ref="L429">_xlfn.XLOOKUP(D429, products!$A$1:A476, products!$E$1:E476)</f>
        <v>25.874999999999996</v>
      </c>
      <c r="M429">
        <f t="shared" si="12"/>
        <v>77.624999999999986</v>
      </c>
      <c r="N429" t="str">
        <f t="shared" si="13"/>
        <v>Arabica</v>
      </c>
      <c r="O429" t="str" cm="1">
        <f t="array" ref="O429">_xlfn.IFS(J429="M", "Medium", J429="L", "Light", J429="D", "Dark")</f>
        <v>Medium</v>
      </c>
      <c r="P429" t="str">
        <f>_xlfn.XLOOKUP(Orders[[#This Row],[Customer ID]], customers!$A$2:$A$1001, customers!$I$2:$I$1001, 0)</f>
        <v>Yes</v>
      </c>
    </row>
    <row r="430" spans="1:16" x14ac:dyDescent="0.35">
      <c r="A430" s="2" t="s">
        <v>2899</v>
      </c>
      <c r="B430" s="3">
        <v>43759</v>
      </c>
      <c r="C430" s="2" t="s">
        <v>2900</v>
      </c>
      <c r="D430" t="s">
        <v>6179</v>
      </c>
      <c r="E430" s="2">
        <v>5</v>
      </c>
      <c r="F430" s="2" t="str" cm="1">
        <f t="array" ref="F430">_xlfn.XLOOKUP(C430, customers!$A$1:A1429, customers!$B$1:B1429, 0)</f>
        <v>Minetta Ackrill</v>
      </c>
      <c r="G430" s="2" t="str">
        <f>IF(_xlfn.XLOOKUP(C430, customers!A429:A1429, customers!C429:C1429, 0)=0, "", _xlfn.XLOOKUP(C430, customers!A429:A1429, customers!C429:C1429, 0))</f>
        <v>mackrillbw@bandcamp.com</v>
      </c>
      <c r="H430" s="2" t="str" cm="1">
        <f t="array" ref="H430">_xlfn.XLOOKUP(C430, customers!$A$1:A1429, customers!$G$1:G1429,, 0)</f>
        <v>United States</v>
      </c>
      <c r="I430" t="str" cm="1">
        <f t="array" ref="I430">_xlfn.XLOOKUP(orders!D430, products!$A$1:A477, products!$B$1:B477, 0)</f>
        <v>Rob</v>
      </c>
      <c r="J430" t="str" cm="1">
        <f t="array" ref="J430">_xlfn.XLOOKUP(D430, products!$A$1:A477, products!$C$1:C477, 0)</f>
        <v>L</v>
      </c>
      <c r="K430" s="4" cm="1">
        <f t="array" ref="K430">_xlfn.XLOOKUP(D430, products!$A$1:A477, products!$D$1:D477, 0)</f>
        <v>1</v>
      </c>
      <c r="L430" s="4" cm="1">
        <f t="array" ref="L430">_xlfn.XLOOKUP(D430, products!$A$1:A477, products!$E$1:E477)</f>
        <v>11.95</v>
      </c>
      <c r="M430">
        <f t="shared" si="12"/>
        <v>59.75</v>
      </c>
      <c r="N430" t="str">
        <f t="shared" si="13"/>
        <v>Robusta</v>
      </c>
      <c r="O430" t="str" cm="1">
        <f t="array" ref="O430">_xlfn.IFS(J430="M", "Medium", J430="L", "Light", J430="D", "Dark")</f>
        <v>Light</v>
      </c>
      <c r="P430" t="str">
        <f>_xlfn.XLOOKUP(Orders[[#This Row],[Customer ID]], customers!$A$2:$A$1001, customers!$I$2:$I$1001, 0)</f>
        <v>No</v>
      </c>
    </row>
    <row r="431" spans="1:16" x14ac:dyDescent="0.35">
      <c r="A431" s="2" t="s">
        <v>2905</v>
      </c>
      <c r="B431" s="3">
        <v>44367</v>
      </c>
      <c r="C431" s="2" t="s">
        <v>2586</v>
      </c>
      <c r="D431" t="s">
        <v>6140</v>
      </c>
      <c r="E431" s="2">
        <v>6</v>
      </c>
      <c r="F431" s="2" t="str" cm="1">
        <f t="array" ref="F431">_xlfn.XLOOKUP(C431, customers!$A$1:A1430, customers!$B$1:B1430, 0)</f>
        <v>Terri Farra</v>
      </c>
      <c r="G431" s="2" t="str">
        <f>IF(_xlfn.XLOOKUP(C431, customers!A430:A1430, customers!C430:C1430, 0)=0, "", _xlfn.XLOOKUP(C431, customers!A430:A1430, customers!C430:C1430, 0))</f>
        <v/>
      </c>
      <c r="H431" s="2" t="str" cm="1">
        <f t="array" ref="H431">_xlfn.XLOOKUP(C431, customers!$A$1:A1430, customers!$G$1:G1430,, 0)</f>
        <v>United States</v>
      </c>
      <c r="I431" t="str" cm="1">
        <f t="array" ref="I431">_xlfn.XLOOKUP(orders!D431, products!$A$1:A478, products!$B$1:B478, 0)</f>
        <v>Ara</v>
      </c>
      <c r="J431" t="str" cm="1">
        <f t="array" ref="J431">_xlfn.XLOOKUP(D431, products!$A$1:A478, products!$C$1:C478, 0)</f>
        <v>L</v>
      </c>
      <c r="K431" s="4" cm="1">
        <f t="array" ref="K431">_xlfn.XLOOKUP(D431, products!$A$1:A478, products!$D$1:D478, 0)</f>
        <v>1</v>
      </c>
      <c r="L431" s="4" cm="1">
        <f t="array" ref="L431">_xlfn.XLOOKUP(D431, products!$A$1:A478, products!$E$1:E478)</f>
        <v>12.95</v>
      </c>
      <c r="M431">
        <f t="shared" si="12"/>
        <v>77.699999999999989</v>
      </c>
      <c r="N431" t="str">
        <f t="shared" si="13"/>
        <v>Arabica</v>
      </c>
      <c r="O431" t="str" cm="1">
        <f t="array" ref="O431">_xlfn.IFS(J431="M", "Medium", J431="L", "Light", J431="D", "Dark")</f>
        <v>Light</v>
      </c>
      <c r="P431" t="str">
        <f>_xlfn.XLOOKUP(Orders[[#This Row],[Customer ID]], customers!$A$2:$A$1001, customers!$I$2:$I$1001, 0)</f>
        <v>No</v>
      </c>
    </row>
    <row r="432" spans="1:16" x14ac:dyDescent="0.35">
      <c r="A432" s="2" t="s">
        <v>2911</v>
      </c>
      <c r="B432" s="3">
        <v>44504</v>
      </c>
      <c r="C432" s="2" t="s">
        <v>2912</v>
      </c>
      <c r="D432" t="s">
        <v>6163</v>
      </c>
      <c r="E432" s="2">
        <v>2</v>
      </c>
      <c r="F432" s="2" t="str" cm="1">
        <f t="array" ref="F432">_xlfn.XLOOKUP(C432, customers!$A$1:A1431, customers!$B$1:B1431, 0)</f>
        <v>Melosa Kippen</v>
      </c>
      <c r="G432" s="2" t="str">
        <f>IF(_xlfn.XLOOKUP(C432, customers!A431:A1431, customers!C431:C1431, 0)=0, "", _xlfn.XLOOKUP(C432, customers!A431:A1431, customers!C431:C1431, 0))</f>
        <v>mkippenby@dion.ne.jp</v>
      </c>
      <c r="H432" s="2" t="str" cm="1">
        <f t="array" ref="H432">_xlfn.XLOOKUP(C432, customers!$A$1:A1431, customers!$G$1:G1431,, 0)</f>
        <v>United States</v>
      </c>
      <c r="I432" t="str" cm="1">
        <f t="array" ref="I432">_xlfn.XLOOKUP(orders!D432, products!$A$1:A479, products!$B$1:B479, 0)</f>
        <v>Rob</v>
      </c>
      <c r="J432" t="str" cm="1">
        <f t="array" ref="J432">_xlfn.XLOOKUP(D432, products!$A$1:A479, products!$C$1:C479, 0)</f>
        <v>D</v>
      </c>
      <c r="K432" s="4" cm="1">
        <f t="array" ref="K432">_xlfn.XLOOKUP(D432, products!$A$1:A479, products!$D$1:D479, 0)</f>
        <v>0.2</v>
      </c>
      <c r="L432" s="4" cm="1">
        <f t="array" ref="L432">_xlfn.XLOOKUP(D432, products!$A$1:A479, products!$E$1:E479)</f>
        <v>2.6849999999999996</v>
      </c>
      <c r="M432">
        <f t="shared" si="12"/>
        <v>5.3699999999999992</v>
      </c>
      <c r="N432" t="str">
        <f t="shared" si="13"/>
        <v>Robusta</v>
      </c>
      <c r="O432" t="str" cm="1">
        <f t="array" ref="O432">_xlfn.IFS(J432="M", "Medium", J432="L", "Light", J432="D", "Dark")</f>
        <v>Dark</v>
      </c>
      <c r="P432" t="str">
        <f>_xlfn.XLOOKUP(Orders[[#This Row],[Customer ID]], customers!$A$2:$A$1001, customers!$I$2:$I$1001, 0)</f>
        <v>Yes</v>
      </c>
    </row>
    <row r="433" spans="1:16" x14ac:dyDescent="0.35">
      <c r="A433" s="2" t="s">
        <v>2917</v>
      </c>
      <c r="B433" s="3">
        <v>44291</v>
      </c>
      <c r="C433" s="2" t="s">
        <v>2918</v>
      </c>
      <c r="D433" t="s">
        <v>6185</v>
      </c>
      <c r="E433" s="2">
        <v>3</v>
      </c>
      <c r="F433" s="2" t="str" cm="1">
        <f t="array" ref="F433">_xlfn.XLOOKUP(C433, customers!$A$1:A1432, customers!$B$1:B1432, 0)</f>
        <v>Witty Ranson</v>
      </c>
      <c r="G433" s="2" t="str">
        <f>IF(_xlfn.XLOOKUP(C433, customers!A432:A1432, customers!C432:C1432, 0)=0, "", _xlfn.XLOOKUP(C433, customers!A432:A1432, customers!C432:C1432, 0))</f>
        <v>wransonbz@ted.com</v>
      </c>
      <c r="H433" s="2" t="str" cm="1">
        <f t="array" ref="H433">_xlfn.XLOOKUP(C433, customers!$A$1:A1432, customers!$G$1:G1432,, 0)</f>
        <v>Ireland</v>
      </c>
      <c r="I433" t="str" cm="1">
        <f t="array" ref="I433">_xlfn.XLOOKUP(orders!D433, products!$A$1:A480, products!$B$1:B480, 0)</f>
        <v>Exc</v>
      </c>
      <c r="J433" t="str" cm="1">
        <f t="array" ref="J433">_xlfn.XLOOKUP(D433, products!$A$1:A480, products!$C$1:C480, 0)</f>
        <v>D</v>
      </c>
      <c r="K433" s="4" cm="1">
        <f t="array" ref="K433">_xlfn.XLOOKUP(D433, products!$A$1:A480, products!$D$1:D480, 0)</f>
        <v>2.5</v>
      </c>
      <c r="L433" s="4" cm="1">
        <f t="array" ref="L433">_xlfn.XLOOKUP(D433, products!$A$1:A480, products!$E$1:E480)</f>
        <v>27.945</v>
      </c>
      <c r="M433">
        <f t="shared" si="12"/>
        <v>83.835000000000008</v>
      </c>
      <c r="N433" t="str">
        <f t="shared" si="13"/>
        <v>Excelsa</v>
      </c>
      <c r="O433" t="str" cm="1">
        <f t="array" ref="O433">_xlfn.IFS(J433="M", "Medium", J433="L", "Light", J433="D", "Dark")</f>
        <v>Dark</v>
      </c>
      <c r="P433" t="str">
        <f>_xlfn.XLOOKUP(Orders[[#This Row],[Customer ID]], customers!$A$2:$A$1001, customers!$I$2:$I$1001, 0)</f>
        <v>Yes</v>
      </c>
    </row>
    <row r="434" spans="1:16" x14ac:dyDescent="0.35">
      <c r="A434" s="2" t="s">
        <v>2923</v>
      </c>
      <c r="B434" s="3">
        <v>43808</v>
      </c>
      <c r="C434" s="2" t="s">
        <v>2924</v>
      </c>
      <c r="D434" t="s">
        <v>6155</v>
      </c>
      <c r="E434" s="2">
        <v>2</v>
      </c>
      <c r="F434" s="2" t="str" cm="1">
        <f t="array" ref="F434">_xlfn.XLOOKUP(C434, customers!$A$1:A1433, customers!$B$1:B1433, 0)</f>
        <v>Rod Gowdie</v>
      </c>
      <c r="G434" s="2" t="str">
        <f>IF(_xlfn.XLOOKUP(C434, customers!A433:A1433, customers!C433:C1433, 0)=0, "", _xlfn.XLOOKUP(C434, customers!A433:A1433, customers!C433:C1433, 0))</f>
        <v/>
      </c>
      <c r="H434" s="2" t="str" cm="1">
        <f t="array" ref="H434">_xlfn.XLOOKUP(C434, customers!$A$1:A1433, customers!$G$1:G1433,, 0)</f>
        <v>United States</v>
      </c>
      <c r="I434" t="str" cm="1">
        <f t="array" ref="I434">_xlfn.XLOOKUP(orders!D434, products!$A$1:A481, products!$B$1:B481, 0)</f>
        <v>Ara</v>
      </c>
      <c r="J434" t="str" cm="1">
        <f t="array" ref="J434">_xlfn.XLOOKUP(D434, products!$A$1:A481, products!$C$1:C481, 0)</f>
        <v>M</v>
      </c>
      <c r="K434" s="4" cm="1">
        <f t="array" ref="K434">_xlfn.XLOOKUP(D434, products!$A$1:A481, products!$D$1:D481, 0)</f>
        <v>1</v>
      </c>
      <c r="L434" s="4" cm="1">
        <f t="array" ref="L434">_xlfn.XLOOKUP(D434, products!$A$1:A481, products!$E$1:E481)</f>
        <v>11.25</v>
      </c>
      <c r="M434">
        <f t="shared" si="12"/>
        <v>22.5</v>
      </c>
      <c r="N434" t="str">
        <f t="shared" si="13"/>
        <v>Arabica</v>
      </c>
      <c r="O434" t="str" cm="1">
        <f t="array" ref="O434">_xlfn.IFS(J434="M", "Medium", J434="L", "Light", J434="D", "Dark")</f>
        <v>Medium</v>
      </c>
      <c r="P434" t="str">
        <f>_xlfn.XLOOKUP(Orders[[#This Row],[Customer ID]], customers!$A$2:$A$1001, customers!$I$2:$I$1001, 0)</f>
        <v>No</v>
      </c>
    </row>
    <row r="435" spans="1:16" x14ac:dyDescent="0.35">
      <c r="A435" s="2" t="s">
        <v>2928</v>
      </c>
      <c r="B435" s="3">
        <v>44563</v>
      </c>
      <c r="C435" s="2" t="s">
        <v>2929</v>
      </c>
      <c r="D435" t="s">
        <v>6181</v>
      </c>
      <c r="E435" s="2">
        <v>6</v>
      </c>
      <c r="F435" s="2" t="str" cm="1">
        <f t="array" ref="F435">_xlfn.XLOOKUP(C435, customers!$A$1:A1434, customers!$B$1:B1434, 0)</f>
        <v>Lemuel Rignold</v>
      </c>
      <c r="G435" s="2" t="str">
        <f>IF(_xlfn.XLOOKUP(C435, customers!A434:A1434, customers!C434:C1434, 0)=0, "", _xlfn.XLOOKUP(C435, customers!A434:A1434, customers!C434:C1434, 0))</f>
        <v>lrignoldc1@miibeian.gov.cn</v>
      </c>
      <c r="H435" s="2" t="str" cm="1">
        <f t="array" ref="H435">_xlfn.XLOOKUP(C435, customers!$A$1:A1434, customers!$G$1:G1434,, 0)</f>
        <v>United States</v>
      </c>
      <c r="I435" t="str" cm="1">
        <f t="array" ref="I435">_xlfn.XLOOKUP(orders!D435, products!$A$1:A482, products!$B$1:B482, 0)</f>
        <v>Lib</v>
      </c>
      <c r="J435" t="str" cm="1">
        <f t="array" ref="J435">_xlfn.XLOOKUP(D435, products!$A$1:A482, products!$C$1:C482, 0)</f>
        <v>M</v>
      </c>
      <c r="K435" s="4" cm="1">
        <f t="array" ref="K435">_xlfn.XLOOKUP(D435, products!$A$1:A482, products!$D$1:D482, 0)</f>
        <v>2.5</v>
      </c>
      <c r="L435" s="4" cm="1">
        <f t="array" ref="L435">_xlfn.XLOOKUP(D435, products!$A$1:A482, products!$E$1:E482)</f>
        <v>33.464999999999996</v>
      </c>
      <c r="M435">
        <f t="shared" si="12"/>
        <v>200.78999999999996</v>
      </c>
      <c r="N435" t="str">
        <f t="shared" si="13"/>
        <v>Liberica</v>
      </c>
      <c r="O435" t="str" cm="1">
        <f t="array" ref="O435">_xlfn.IFS(J435="M", "Medium", J435="L", "Light", J435="D", "Dark")</f>
        <v>Medium</v>
      </c>
      <c r="P435" t="str">
        <f>_xlfn.XLOOKUP(Orders[[#This Row],[Customer ID]], customers!$A$2:$A$1001, customers!$I$2:$I$1001, 0)</f>
        <v>Yes</v>
      </c>
    </row>
    <row r="436" spans="1:16" x14ac:dyDescent="0.35">
      <c r="A436" s="2" t="s">
        <v>2934</v>
      </c>
      <c r="B436" s="3">
        <v>43807</v>
      </c>
      <c r="C436" s="2" t="s">
        <v>2935</v>
      </c>
      <c r="D436" t="s">
        <v>6155</v>
      </c>
      <c r="E436" s="2">
        <v>6</v>
      </c>
      <c r="F436" s="2" t="str" cm="1">
        <f t="array" ref="F436">_xlfn.XLOOKUP(C436, customers!$A$1:A1435, customers!$B$1:B1435, 0)</f>
        <v>Nevsa Fields</v>
      </c>
      <c r="G436" s="2" t="str">
        <f>IF(_xlfn.XLOOKUP(C436, customers!A435:A1435, customers!C435:C1435, 0)=0, "", _xlfn.XLOOKUP(C436, customers!A435:A1435, customers!C435:C1435, 0))</f>
        <v/>
      </c>
      <c r="H436" s="2" t="str" cm="1">
        <f t="array" ref="H436">_xlfn.XLOOKUP(C436, customers!$A$1:A1435, customers!$G$1:G1435,, 0)</f>
        <v>United States</v>
      </c>
      <c r="I436" t="str" cm="1">
        <f t="array" ref="I436">_xlfn.XLOOKUP(orders!D436, products!$A$1:A483, products!$B$1:B483, 0)</f>
        <v>Ara</v>
      </c>
      <c r="J436" t="str" cm="1">
        <f t="array" ref="J436">_xlfn.XLOOKUP(D436, products!$A$1:A483, products!$C$1:C483, 0)</f>
        <v>M</v>
      </c>
      <c r="K436" s="4" cm="1">
        <f t="array" ref="K436">_xlfn.XLOOKUP(D436, products!$A$1:A483, products!$D$1:D483, 0)</f>
        <v>1</v>
      </c>
      <c r="L436" s="4" cm="1">
        <f t="array" ref="L436">_xlfn.XLOOKUP(D436, products!$A$1:A483, products!$E$1:E483)</f>
        <v>11.25</v>
      </c>
      <c r="M436">
        <f t="shared" si="12"/>
        <v>67.5</v>
      </c>
      <c r="N436" t="str">
        <f t="shared" si="13"/>
        <v>Arabica</v>
      </c>
      <c r="O436" t="str" cm="1">
        <f t="array" ref="O436">_xlfn.IFS(J436="M", "Medium", J436="L", "Light", J436="D", "Dark")</f>
        <v>Medium</v>
      </c>
      <c r="P436" t="str">
        <f>_xlfn.XLOOKUP(Orders[[#This Row],[Customer ID]], customers!$A$2:$A$1001, customers!$I$2:$I$1001, 0)</f>
        <v>No</v>
      </c>
    </row>
    <row r="437" spans="1:16" x14ac:dyDescent="0.35">
      <c r="A437" s="2" t="s">
        <v>2939</v>
      </c>
      <c r="B437" s="3">
        <v>44528</v>
      </c>
      <c r="C437" s="2" t="s">
        <v>2940</v>
      </c>
      <c r="D437" t="s">
        <v>6139</v>
      </c>
      <c r="E437" s="2">
        <v>1</v>
      </c>
      <c r="F437" s="2" t="str" cm="1">
        <f t="array" ref="F437">_xlfn.XLOOKUP(C437, customers!$A$1:A1436, customers!$B$1:B1436, 0)</f>
        <v>Chance Rowthorn</v>
      </c>
      <c r="G437" s="2" t="str">
        <f>IF(_xlfn.XLOOKUP(C437, customers!A436:A1436, customers!C436:C1436, 0)=0, "", _xlfn.XLOOKUP(C437, customers!A436:A1436, customers!C436:C1436, 0))</f>
        <v>crowthornc3@msn.com</v>
      </c>
      <c r="H437" s="2" t="str" cm="1">
        <f t="array" ref="H437">_xlfn.XLOOKUP(C437, customers!$A$1:A1436, customers!$G$1:G1436,, 0)</f>
        <v>United States</v>
      </c>
      <c r="I437" t="str" cm="1">
        <f t="array" ref="I437">_xlfn.XLOOKUP(orders!D437, products!$A$1:A484, products!$B$1:B484, 0)</f>
        <v>Exc</v>
      </c>
      <c r="J437" t="str" cm="1">
        <f t="array" ref="J437">_xlfn.XLOOKUP(D437, products!$A$1:A484, products!$C$1:C484, 0)</f>
        <v>M</v>
      </c>
      <c r="K437" s="4" cm="1">
        <f t="array" ref="K437">_xlfn.XLOOKUP(D437, products!$A$1:A484, products!$D$1:D484, 0)</f>
        <v>0.5</v>
      </c>
      <c r="L437" s="4" cm="1">
        <f t="array" ref="L437">_xlfn.XLOOKUP(D437, products!$A$1:A484, products!$E$1:E484)</f>
        <v>8.25</v>
      </c>
      <c r="M437">
        <f t="shared" si="12"/>
        <v>8.25</v>
      </c>
      <c r="N437" t="str">
        <f t="shared" si="13"/>
        <v>Excelsa</v>
      </c>
      <c r="O437" t="str" cm="1">
        <f t="array" ref="O437">_xlfn.IFS(J437="M", "Medium", J437="L", "Light", J437="D", "Dark")</f>
        <v>Medium</v>
      </c>
      <c r="P437" t="str">
        <f>_xlfn.XLOOKUP(Orders[[#This Row],[Customer ID]], customers!$A$2:$A$1001, customers!$I$2:$I$1001, 0)</f>
        <v>No</v>
      </c>
    </row>
    <row r="438" spans="1:16" x14ac:dyDescent="0.35">
      <c r="A438" s="2" t="s">
        <v>2945</v>
      </c>
      <c r="B438" s="3">
        <v>44631</v>
      </c>
      <c r="C438" s="2" t="s">
        <v>2946</v>
      </c>
      <c r="D438" t="s">
        <v>6145</v>
      </c>
      <c r="E438" s="2">
        <v>2</v>
      </c>
      <c r="F438" s="2" t="str" cm="1">
        <f t="array" ref="F438">_xlfn.XLOOKUP(C438, customers!$A$1:A1437, customers!$B$1:B1437, 0)</f>
        <v>Orly Ryland</v>
      </c>
      <c r="G438" s="2" t="str">
        <f>IF(_xlfn.XLOOKUP(C438, customers!A437:A1437, customers!C437:C1437, 0)=0, "", _xlfn.XLOOKUP(C438, customers!A437:A1437, customers!C437:C1437, 0))</f>
        <v>orylandc4@deviantart.com</v>
      </c>
      <c r="H438" s="2" t="str" cm="1">
        <f t="array" ref="H438">_xlfn.XLOOKUP(C438, customers!$A$1:A1437, customers!$G$1:G1437,, 0)</f>
        <v>United States</v>
      </c>
      <c r="I438" t="str" cm="1">
        <f t="array" ref="I438">_xlfn.XLOOKUP(orders!D438, products!$A$1:A485, products!$B$1:B485, 0)</f>
        <v>Lib</v>
      </c>
      <c r="J438" t="str" cm="1">
        <f t="array" ref="J438">_xlfn.XLOOKUP(D438, products!$A$1:A485, products!$C$1:C485, 0)</f>
        <v>L</v>
      </c>
      <c r="K438" s="4" cm="1">
        <f t="array" ref="K438">_xlfn.XLOOKUP(D438, products!$A$1:A485, products!$D$1:D485, 0)</f>
        <v>0.2</v>
      </c>
      <c r="L438" s="4" cm="1">
        <f t="array" ref="L438">_xlfn.XLOOKUP(D438, products!$A$1:A485, products!$E$1:E485)</f>
        <v>4.7549999999999999</v>
      </c>
      <c r="M438">
        <f t="shared" si="12"/>
        <v>9.51</v>
      </c>
      <c r="N438" t="str">
        <f t="shared" si="13"/>
        <v>Liberica</v>
      </c>
      <c r="O438" t="str" cm="1">
        <f t="array" ref="O438">_xlfn.IFS(J438="M", "Medium", J438="L", "Light", J438="D", "Dark")</f>
        <v>Light</v>
      </c>
      <c r="P438" t="str">
        <f>_xlfn.XLOOKUP(Orders[[#This Row],[Customer ID]], customers!$A$2:$A$1001, customers!$I$2:$I$1001, 0)</f>
        <v>Yes</v>
      </c>
    </row>
    <row r="439" spans="1:16" x14ac:dyDescent="0.35">
      <c r="A439" s="2" t="s">
        <v>2951</v>
      </c>
      <c r="B439" s="3">
        <v>44213</v>
      </c>
      <c r="C439" s="2" t="s">
        <v>2952</v>
      </c>
      <c r="D439" t="s">
        <v>6165</v>
      </c>
      <c r="E439" s="2">
        <v>1</v>
      </c>
      <c r="F439" s="2" t="str" cm="1">
        <f t="array" ref="F439">_xlfn.XLOOKUP(C439, customers!$A$1:A1438, customers!$B$1:B1438, 0)</f>
        <v>Willabella Abramski</v>
      </c>
      <c r="G439" s="2" t="str">
        <f>IF(_xlfn.XLOOKUP(C439, customers!A438:A1438, customers!C438:C1438, 0)=0, "", _xlfn.XLOOKUP(C439, customers!A438:A1438, customers!C438:C1438, 0))</f>
        <v/>
      </c>
      <c r="H439" s="2" t="str" cm="1">
        <f t="array" ref="H439">_xlfn.XLOOKUP(C439, customers!$A$1:A1438, customers!$G$1:G1438,, 0)</f>
        <v>United States</v>
      </c>
      <c r="I439" t="str" cm="1">
        <f t="array" ref="I439">_xlfn.XLOOKUP(orders!D439, products!$A$1:A486, products!$B$1:B486, 0)</f>
        <v>Lib</v>
      </c>
      <c r="J439" t="str" cm="1">
        <f t="array" ref="J439">_xlfn.XLOOKUP(D439, products!$A$1:A486, products!$C$1:C486, 0)</f>
        <v>D</v>
      </c>
      <c r="K439" s="4" cm="1">
        <f t="array" ref="K439">_xlfn.XLOOKUP(D439, products!$A$1:A486, products!$D$1:D486, 0)</f>
        <v>2.5</v>
      </c>
      <c r="L439" s="4" cm="1">
        <f t="array" ref="L439">_xlfn.XLOOKUP(D439, products!$A$1:A486, products!$E$1:E486)</f>
        <v>29.784999999999997</v>
      </c>
      <c r="M439">
        <f t="shared" si="12"/>
        <v>29.784999999999997</v>
      </c>
      <c r="N439" t="str">
        <f t="shared" si="13"/>
        <v>Liberica</v>
      </c>
      <c r="O439" t="str" cm="1">
        <f t="array" ref="O439">_xlfn.IFS(J439="M", "Medium", J439="L", "Light", J439="D", "Dark")</f>
        <v>Dark</v>
      </c>
      <c r="P439" t="str">
        <f>_xlfn.XLOOKUP(Orders[[#This Row],[Customer ID]], customers!$A$2:$A$1001, customers!$I$2:$I$1001, 0)</f>
        <v>No</v>
      </c>
    </row>
    <row r="440" spans="1:16" x14ac:dyDescent="0.35">
      <c r="A440" s="2" t="s">
        <v>2956</v>
      </c>
      <c r="B440" s="3">
        <v>43483</v>
      </c>
      <c r="C440" s="2" t="s">
        <v>3042</v>
      </c>
      <c r="D440" t="s">
        <v>6169</v>
      </c>
      <c r="E440" s="2">
        <v>2</v>
      </c>
      <c r="F440" s="2" t="str" cm="1">
        <f t="array" ref="F440">_xlfn.XLOOKUP(C440, customers!$A$1:A1439, customers!$B$1:B1439, 0)</f>
        <v>Morgen Seson</v>
      </c>
      <c r="G440" s="2" t="str">
        <f>IF(_xlfn.XLOOKUP(C440, customers!A439:A1439, customers!C439:C1439, 0)=0, "", _xlfn.XLOOKUP(C440, customers!A439:A1439, customers!C439:C1439, 0))</f>
        <v>msesonck@census.gov</v>
      </c>
      <c r="H440" s="2" t="str" cm="1">
        <f t="array" ref="H440">_xlfn.XLOOKUP(C440, customers!$A$1:A1439, customers!$G$1:G1439,, 0)</f>
        <v>United States</v>
      </c>
      <c r="I440" t="str" cm="1">
        <f t="array" ref="I440">_xlfn.XLOOKUP(orders!D440, products!$A$1:A487, products!$B$1:B487, 0)</f>
        <v>Lib</v>
      </c>
      <c r="J440" t="str" cm="1">
        <f t="array" ref="J440">_xlfn.XLOOKUP(D440, products!$A$1:A487, products!$C$1:C487, 0)</f>
        <v>D</v>
      </c>
      <c r="K440" s="4" cm="1">
        <f t="array" ref="K440">_xlfn.XLOOKUP(D440, products!$A$1:A487, products!$D$1:D487, 0)</f>
        <v>0.5</v>
      </c>
      <c r="L440" s="4" cm="1">
        <f t="array" ref="L440">_xlfn.XLOOKUP(D440, products!$A$1:A487, products!$E$1:E487)</f>
        <v>7.77</v>
      </c>
      <c r="M440">
        <f t="shared" si="12"/>
        <v>15.54</v>
      </c>
      <c r="N440" t="str">
        <f t="shared" si="13"/>
        <v>Liberica</v>
      </c>
      <c r="O440" t="str" cm="1">
        <f t="array" ref="O440">_xlfn.IFS(J440="M", "Medium", J440="L", "Light", J440="D", "Dark")</f>
        <v>Dark</v>
      </c>
      <c r="P440" t="str">
        <f>_xlfn.XLOOKUP(Orders[[#This Row],[Customer ID]], customers!$A$2:$A$1001, customers!$I$2:$I$1001, 0)</f>
        <v>No</v>
      </c>
    </row>
    <row r="441" spans="1:16" x14ac:dyDescent="0.35">
      <c r="A441" s="2" t="s">
        <v>2962</v>
      </c>
      <c r="B441" s="3">
        <v>43562</v>
      </c>
      <c r="C441" s="2" t="s">
        <v>2963</v>
      </c>
      <c r="D441" t="s">
        <v>6176</v>
      </c>
      <c r="E441" s="2">
        <v>4</v>
      </c>
      <c r="F441" s="2" t="str" cm="1">
        <f t="array" ref="F441">_xlfn.XLOOKUP(C441, customers!$A$1:A1440, customers!$B$1:B1440, 0)</f>
        <v>Chickie Ragless</v>
      </c>
      <c r="G441" s="2" t="str">
        <f>IF(_xlfn.XLOOKUP(C441, customers!A440:A1440, customers!C440:C1440, 0)=0, "", _xlfn.XLOOKUP(C441, customers!A440:A1440, customers!C440:C1440, 0))</f>
        <v>craglessc7@webmd.com</v>
      </c>
      <c r="H441" s="2" t="str" cm="1">
        <f t="array" ref="H441">_xlfn.XLOOKUP(C441, customers!$A$1:A1440, customers!$G$1:G1440,, 0)</f>
        <v>Ireland</v>
      </c>
      <c r="I441" t="str" cm="1">
        <f t="array" ref="I441">_xlfn.XLOOKUP(orders!D441, products!$A$1:A488, products!$B$1:B488, 0)</f>
        <v>Exc</v>
      </c>
      <c r="J441" t="str" cm="1">
        <f t="array" ref="J441">_xlfn.XLOOKUP(D441, products!$A$1:A488, products!$C$1:C488, 0)</f>
        <v>L</v>
      </c>
      <c r="K441" s="4" cm="1">
        <f t="array" ref="K441">_xlfn.XLOOKUP(D441, products!$A$1:A488, products!$D$1:D488, 0)</f>
        <v>0.5</v>
      </c>
      <c r="L441" s="4" cm="1">
        <f t="array" ref="L441">_xlfn.XLOOKUP(D441, products!$A$1:A488, products!$E$1:E488)</f>
        <v>8.91</v>
      </c>
      <c r="M441">
        <f t="shared" si="12"/>
        <v>35.64</v>
      </c>
      <c r="N441" t="str">
        <f t="shared" si="13"/>
        <v>Excelsa</v>
      </c>
      <c r="O441" t="str" cm="1">
        <f t="array" ref="O441">_xlfn.IFS(J441="M", "Medium", J441="L", "Light", J441="D", "Dark")</f>
        <v>Light</v>
      </c>
      <c r="P441" t="str">
        <f>_xlfn.XLOOKUP(Orders[[#This Row],[Customer ID]], customers!$A$2:$A$1001, customers!$I$2:$I$1001, 0)</f>
        <v>No</v>
      </c>
    </row>
    <row r="442" spans="1:16" x14ac:dyDescent="0.35">
      <c r="A442" s="2" t="s">
        <v>2968</v>
      </c>
      <c r="B442" s="3">
        <v>44230</v>
      </c>
      <c r="C442" s="2" t="s">
        <v>2969</v>
      </c>
      <c r="D442" t="s">
        <v>6175</v>
      </c>
      <c r="E442" s="2">
        <v>4</v>
      </c>
      <c r="F442" s="2" t="str" cm="1">
        <f t="array" ref="F442">_xlfn.XLOOKUP(C442, customers!$A$1:A1441, customers!$B$1:B1441, 0)</f>
        <v>Freda Hollows</v>
      </c>
      <c r="G442" s="2" t="str">
        <f>IF(_xlfn.XLOOKUP(C442, customers!A441:A1441, customers!C441:C1441, 0)=0, "", _xlfn.XLOOKUP(C442, customers!A441:A1441, customers!C441:C1441, 0))</f>
        <v>fhollowsc8@blogtalkradio.com</v>
      </c>
      <c r="H442" s="2" t="str" cm="1">
        <f t="array" ref="H442">_xlfn.XLOOKUP(C442, customers!$A$1:A1441, customers!$G$1:G1441,, 0)</f>
        <v>United States</v>
      </c>
      <c r="I442" t="str" cm="1">
        <f t="array" ref="I442">_xlfn.XLOOKUP(orders!D442, products!$A$1:A489, products!$B$1:B489, 0)</f>
        <v>Ara</v>
      </c>
      <c r="J442" t="str" cm="1">
        <f t="array" ref="J442">_xlfn.XLOOKUP(D442, products!$A$1:A489, products!$C$1:C489, 0)</f>
        <v>M</v>
      </c>
      <c r="K442" s="4" cm="1">
        <f t="array" ref="K442">_xlfn.XLOOKUP(D442, products!$A$1:A489, products!$D$1:D489, 0)</f>
        <v>2.5</v>
      </c>
      <c r="L442" s="4" cm="1">
        <f t="array" ref="L442">_xlfn.XLOOKUP(D442, products!$A$1:A489, products!$E$1:E489)</f>
        <v>25.874999999999996</v>
      </c>
      <c r="M442">
        <f t="shared" si="12"/>
        <v>103.49999999999999</v>
      </c>
      <c r="N442" t="str">
        <f t="shared" si="13"/>
        <v>Arabica</v>
      </c>
      <c r="O442" t="str" cm="1">
        <f t="array" ref="O442">_xlfn.IFS(J442="M", "Medium", J442="L", "Light", J442="D", "Dark")</f>
        <v>Medium</v>
      </c>
      <c r="P442" t="str">
        <f>_xlfn.XLOOKUP(Orders[[#This Row],[Customer ID]], customers!$A$2:$A$1001, customers!$I$2:$I$1001, 0)</f>
        <v>Yes</v>
      </c>
    </row>
    <row r="443" spans="1:16" x14ac:dyDescent="0.35">
      <c r="A443" s="2" t="s">
        <v>2974</v>
      </c>
      <c r="B443" s="3">
        <v>43573</v>
      </c>
      <c r="C443" s="2" t="s">
        <v>2975</v>
      </c>
      <c r="D443" t="s">
        <v>6183</v>
      </c>
      <c r="E443" s="2">
        <v>3</v>
      </c>
      <c r="F443" s="2" t="str" cm="1">
        <f t="array" ref="F443">_xlfn.XLOOKUP(C443, customers!$A$1:A1442, customers!$B$1:B1442, 0)</f>
        <v>Livy Lathleiff</v>
      </c>
      <c r="G443" s="2" t="str">
        <f>IF(_xlfn.XLOOKUP(C443, customers!A442:A1442, customers!C442:C1442, 0)=0, "", _xlfn.XLOOKUP(C443, customers!A442:A1442, customers!C442:C1442, 0))</f>
        <v>llathleiffc9@nationalgeographic.com</v>
      </c>
      <c r="H443" s="2" t="str" cm="1">
        <f t="array" ref="H443">_xlfn.XLOOKUP(C443, customers!$A$1:A1442, customers!$G$1:G1442,, 0)</f>
        <v>Ireland</v>
      </c>
      <c r="I443" t="str" cm="1">
        <f t="array" ref="I443">_xlfn.XLOOKUP(orders!D443, products!$A$1:A490, products!$B$1:B490, 0)</f>
        <v>Exc</v>
      </c>
      <c r="J443" t="str" cm="1">
        <f t="array" ref="J443">_xlfn.XLOOKUP(D443, products!$A$1:A490, products!$C$1:C490, 0)</f>
        <v>D</v>
      </c>
      <c r="K443" s="4" cm="1">
        <f t="array" ref="K443">_xlfn.XLOOKUP(D443, products!$A$1:A490, products!$D$1:D490, 0)</f>
        <v>1</v>
      </c>
      <c r="L443" s="4" cm="1">
        <f t="array" ref="L443">_xlfn.XLOOKUP(D443, products!$A$1:A490, products!$E$1:E490)</f>
        <v>12.15</v>
      </c>
      <c r="M443">
        <f t="shared" si="12"/>
        <v>36.450000000000003</v>
      </c>
      <c r="N443" t="str">
        <f t="shared" si="13"/>
        <v>Excelsa</v>
      </c>
      <c r="O443" t="str" cm="1">
        <f t="array" ref="O443">_xlfn.IFS(J443="M", "Medium", J443="L", "Light", J443="D", "Dark")</f>
        <v>Dark</v>
      </c>
      <c r="P443" t="str">
        <f>_xlfn.XLOOKUP(Orders[[#This Row],[Customer ID]], customers!$A$2:$A$1001, customers!$I$2:$I$1001, 0)</f>
        <v>Yes</v>
      </c>
    </row>
    <row r="444" spans="1:16" x14ac:dyDescent="0.35">
      <c r="A444" s="2" t="s">
        <v>2980</v>
      </c>
      <c r="B444" s="3">
        <v>44384</v>
      </c>
      <c r="C444" s="2" t="s">
        <v>2981</v>
      </c>
      <c r="D444" t="s">
        <v>6173</v>
      </c>
      <c r="E444" s="2">
        <v>5</v>
      </c>
      <c r="F444" s="2" t="str" cm="1">
        <f t="array" ref="F444">_xlfn.XLOOKUP(C444, customers!$A$1:A1443, customers!$B$1:B1443, 0)</f>
        <v>Koralle Heads</v>
      </c>
      <c r="G444" s="2" t="str">
        <f>IF(_xlfn.XLOOKUP(C444, customers!A443:A1443, customers!C443:C1443, 0)=0, "", _xlfn.XLOOKUP(C444, customers!A443:A1443, customers!C443:C1443, 0))</f>
        <v>kheadsca@jalbum.net</v>
      </c>
      <c r="H444" s="2" t="str" cm="1">
        <f t="array" ref="H444">_xlfn.XLOOKUP(C444, customers!$A$1:A1443, customers!$G$1:G1443,, 0)</f>
        <v>United States</v>
      </c>
      <c r="I444" t="str" cm="1">
        <f t="array" ref="I444">_xlfn.XLOOKUP(orders!D444, products!$A$1:A491, products!$B$1:B491, 0)</f>
        <v>Rob</v>
      </c>
      <c r="J444" t="str" cm="1">
        <f t="array" ref="J444">_xlfn.XLOOKUP(D444, products!$A$1:A491, products!$C$1:C491, 0)</f>
        <v>L</v>
      </c>
      <c r="K444" s="4" cm="1">
        <f t="array" ref="K444">_xlfn.XLOOKUP(D444, products!$A$1:A491, products!$D$1:D491, 0)</f>
        <v>0.5</v>
      </c>
      <c r="L444" s="4" cm="1">
        <f t="array" ref="L444">_xlfn.XLOOKUP(D444, products!$A$1:A491, products!$E$1:E491)</f>
        <v>7.169999999999999</v>
      </c>
      <c r="M444">
        <f t="shared" si="12"/>
        <v>35.849999999999994</v>
      </c>
      <c r="N444" t="str">
        <f t="shared" si="13"/>
        <v>Robusta</v>
      </c>
      <c r="O444" t="str" cm="1">
        <f t="array" ref="O444">_xlfn.IFS(J444="M", "Medium", J444="L", "Light", J444="D", "Dark")</f>
        <v>Light</v>
      </c>
      <c r="P444" t="str">
        <f>_xlfn.XLOOKUP(Orders[[#This Row],[Customer ID]], customers!$A$2:$A$1001, customers!$I$2:$I$1001, 0)</f>
        <v>No</v>
      </c>
    </row>
    <row r="445" spans="1:16" x14ac:dyDescent="0.35">
      <c r="A445" s="2" t="s">
        <v>2986</v>
      </c>
      <c r="B445" s="3">
        <v>44250</v>
      </c>
      <c r="C445" s="2" t="s">
        <v>2987</v>
      </c>
      <c r="D445" t="s">
        <v>6184</v>
      </c>
      <c r="E445" s="2">
        <v>5</v>
      </c>
      <c r="F445" s="2" t="str" cm="1">
        <f t="array" ref="F445">_xlfn.XLOOKUP(C445, customers!$A$1:A1444, customers!$B$1:B1444, 0)</f>
        <v>Theo Bowne</v>
      </c>
      <c r="G445" s="2" t="str">
        <f>IF(_xlfn.XLOOKUP(C445, customers!A444:A1444, customers!C444:C1444, 0)=0, "", _xlfn.XLOOKUP(C445, customers!A444:A1444, customers!C444:C1444, 0))</f>
        <v>tbownecb@unicef.org</v>
      </c>
      <c r="H445" s="2" t="str" cm="1">
        <f t="array" ref="H445">_xlfn.XLOOKUP(C445, customers!$A$1:A1444, customers!$G$1:G1444,, 0)</f>
        <v>Ireland</v>
      </c>
      <c r="I445" t="str" cm="1">
        <f t="array" ref="I445">_xlfn.XLOOKUP(orders!D445, products!$A$1:A492, products!$B$1:B492, 0)</f>
        <v>Exc</v>
      </c>
      <c r="J445" t="str" cm="1">
        <f t="array" ref="J445">_xlfn.XLOOKUP(D445, products!$A$1:A492, products!$C$1:C492, 0)</f>
        <v>L</v>
      </c>
      <c r="K445" s="4" cm="1">
        <f t="array" ref="K445">_xlfn.XLOOKUP(D445, products!$A$1:A492, products!$D$1:D492, 0)</f>
        <v>0.2</v>
      </c>
      <c r="L445" s="4" cm="1">
        <f t="array" ref="L445">_xlfn.XLOOKUP(D445, products!$A$1:A492, products!$E$1:E492)</f>
        <v>4.4550000000000001</v>
      </c>
      <c r="M445">
        <f t="shared" si="12"/>
        <v>22.274999999999999</v>
      </c>
      <c r="N445" t="str">
        <f t="shared" si="13"/>
        <v>Excelsa</v>
      </c>
      <c r="O445" t="str" cm="1">
        <f t="array" ref="O445">_xlfn.IFS(J445="M", "Medium", J445="L", "Light", J445="D", "Dark")</f>
        <v>Light</v>
      </c>
      <c r="P445" t="str">
        <f>_xlfn.XLOOKUP(Orders[[#This Row],[Customer ID]], customers!$A$2:$A$1001, customers!$I$2:$I$1001, 0)</f>
        <v>Yes</v>
      </c>
    </row>
    <row r="446" spans="1:16" x14ac:dyDescent="0.35">
      <c r="A446" s="2" t="s">
        <v>2992</v>
      </c>
      <c r="B446" s="3">
        <v>44418</v>
      </c>
      <c r="C446" s="2" t="s">
        <v>2993</v>
      </c>
      <c r="D446" t="s">
        <v>6156</v>
      </c>
      <c r="E446" s="2">
        <v>6</v>
      </c>
      <c r="F446" s="2" t="str" cm="1">
        <f t="array" ref="F446">_xlfn.XLOOKUP(C446, customers!$A$1:A1445, customers!$B$1:B1445, 0)</f>
        <v>Rasia Jacquemard</v>
      </c>
      <c r="G446" s="2" t="str">
        <f>IF(_xlfn.XLOOKUP(C446, customers!A445:A1445, customers!C445:C1445, 0)=0, "", _xlfn.XLOOKUP(C446, customers!A445:A1445, customers!C445:C1445, 0))</f>
        <v>rjacquemardcc@acquirethisname.com</v>
      </c>
      <c r="H446" s="2" t="str" cm="1">
        <f t="array" ref="H446">_xlfn.XLOOKUP(C446, customers!$A$1:A1445, customers!$G$1:G1445,, 0)</f>
        <v>Ireland</v>
      </c>
      <c r="I446" t="str" cm="1">
        <f t="array" ref="I446">_xlfn.XLOOKUP(orders!D446, products!$A$1:A493, products!$B$1:B493, 0)</f>
        <v>Exc</v>
      </c>
      <c r="J446" t="str" cm="1">
        <f t="array" ref="J446">_xlfn.XLOOKUP(D446, products!$A$1:A493, products!$C$1:C493, 0)</f>
        <v>M</v>
      </c>
      <c r="K446" s="4" cm="1">
        <f t="array" ref="K446">_xlfn.XLOOKUP(D446, products!$A$1:A493, products!$D$1:D493, 0)</f>
        <v>0.2</v>
      </c>
      <c r="L446" s="4" cm="1">
        <f t="array" ref="L446">_xlfn.XLOOKUP(D446, products!$A$1:A493, products!$E$1:E493)</f>
        <v>4.125</v>
      </c>
      <c r="M446">
        <f t="shared" si="12"/>
        <v>24.75</v>
      </c>
      <c r="N446" t="str">
        <f t="shared" si="13"/>
        <v>Excelsa</v>
      </c>
      <c r="O446" t="str" cm="1">
        <f t="array" ref="O446">_xlfn.IFS(J446="M", "Medium", J446="L", "Light", J446="D", "Dark")</f>
        <v>Medium</v>
      </c>
      <c r="P446" t="str">
        <f>_xlfn.XLOOKUP(Orders[[#This Row],[Customer ID]], customers!$A$2:$A$1001, customers!$I$2:$I$1001, 0)</f>
        <v>No</v>
      </c>
    </row>
    <row r="447" spans="1:16" x14ac:dyDescent="0.35">
      <c r="A447" s="2" t="s">
        <v>2999</v>
      </c>
      <c r="B447" s="3">
        <v>43784</v>
      </c>
      <c r="C447" s="2" t="s">
        <v>3000</v>
      </c>
      <c r="D447" t="s">
        <v>6181</v>
      </c>
      <c r="E447" s="2">
        <v>2</v>
      </c>
      <c r="F447" s="2" t="str" cm="1">
        <f t="array" ref="F447">_xlfn.XLOOKUP(C447, customers!$A$1:A1446, customers!$B$1:B1446, 0)</f>
        <v>Kizzie Warman</v>
      </c>
      <c r="G447" s="2" t="str">
        <f>IF(_xlfn.XLOOKUP(C447, customers!A446:A1446, customers!C446:C1446, 0)=0, "", _xlfn.XLOOKUP(C447, customers!A446:A1446, customers!C446:C1446, 0))</f>
        <v>kwarmancd@printfriendly.com</v>
      </c>
      <c r="H447" s="2" t="str" cm="1">
        <f t="array" ref="H447">_xlfn.XLOOKUP(C447, customers!$A$1:A1446, customers!$G$1:G1446,, 0)</f>
        <v>Ireland</v>
      </c>
      <c r="I447" t="str" cm="1">
        <f t="array" ref="I447">_xlfn.XLOOKUP(orders!D447, products!$A$1:A494, products!$B$1:B494, 0)</f>
        <v>Lib</v>
      </c>
      <c r="J447" t="str" cm="1">
        <f t="array" ref="J447">_xlfn.XLOOKUP(D447, products!$A$1:A494, products!$C$1:C494, 0)</f>
        <v>M</v>
      </c>
      <c r="K447" s="4" cm="1">
        <f t="array" ref="K447">_xlfn.XLOOKUP(D447, products!$A$1:A494, products!$D$1:D494, 0)</f>
        <v>2.5</v>
      </c>
      <c r="L447" s="4" cm="1">
        <f t="array" ref="L447">_xlfn.XLOOKUP(D447, products!$A$1:A494, products!$E$1:E494)</f>
        <v>33.464999999999996</v>
      </c>
      <c r="M447">
        <f t="shared" si="12"/>
        <v>66.929999999999993</v>
      </c>
      <c r="N447" t="str">
        <f t="shared" si="13"/>
        <v>Liberica</v>
      </c>
      <c r="O447" t="str" cm="1">
        <f t="array" ref="O447">_xlfn.IFS(J447="M", "Medium", J447="L", "Light", J447="D", "Dark")</f>
        <v>Medium</v>
      </c>
      <c r="P447" t="str">
        <f>_xlfn.XLOOKUP(Orders[[#This Row],[Customer ID]], customers!$A$2:$A$1001, customers!$I$2:$I$1001, 0)</f>
        <v>Yes</v>
      </c>
    </row>
    <row r="448" spans="1:16" x14ac:dyDescent="0.35">
      <c r="A448" s="2" t="s">
        <v>3004</v>
      </c>
      <c r="B448" s="3">
        <v>43816</v>
      </c>
      <c r="C448" s="2" t="s">
        <v>3005</v>
      </c>
      <c r="D448" t="s">
        <v>6160</v>
      </c>
      <c r="E448" s="2">
        <v>1</v>
      </c>
      <c r="F448" s="2" t="str" cm="1">
        <f t="array" ref="F448">_xlfn.XLOOKUP(C448, customers!$A$1:A1447, customers!$B$1:B1447, 0)</f>
        <v>Wain Cholomin</v>
      </c>
      <c r="G448" s="2" t="str">
        <f>IF(_xlfn.XLOOKUP(C448, customers!A447:A1447, customers!C447:C1447, 0)=0, "", _xlfn.XLOOKUP(C448, customers!A447:A1447, customers!C447:C1447, 0))</f>
        <v>wcholomince@about.com</v>
      </c>
      <c r="H448" s="2" t="str" cm="1">
        <f t="array" ref="H448">_xlfn.XLOOKUP(C448, customers!$A$1:A1447, customers!$G$1:G1447,, 0)</f>
        <v>United Kingdom</v>
      </c>
      <c r="I448" t="str" cm="1">
        <f t="array" ref="I448">_xlfn.XLOOKUP(orders!D448, products!$A$1:A495, products!$B$1:B495, 0)</f>
        <v>Lib</v>
      </c>
      <c r="J448" t="str" cm="1">
        <f t="array" ref="J448">_xlfn.XLOOKUP(D448, products!$A$1:A495, products!$C$1:C495, 0)</f>
        <v>M</v>
      </c>
      <c r="K448" s="4" cm="1">
        <f t="array" ref="K448">_xlfn.XLOOKUP(D448, products!$A$1:A495, products!$D$1:D495, 0)</f>
        <v>0.5</v>
      </c>
      <c r="L448" s="4" cm="1">
        <f t="array" ref="L448">_xlfn.XLOOKUP(D448, products!$A$1:A495, products!$E$1:E495)</f>
        <v>8.73</v>
      </c>
      <c r="M448">
        <f t="shared" si="12"/>
        <v>8.73</v>
      </c>
      <c r="N448" t="str">
        <f t="shared" si="13"/>
        <v>Liberica</v>
      </c>
      <c r="O448" t="str" cm="1">
        <f t="array" ref="O448">_xlfn.IFS(J448="M", "Medium", J448="L", "Light", J448="D", "Dark")</f>
        <v>Medium</v>
      </c>
      <c r="P448" t="str">
        <f>_xlfn.XLOOKUP(Orders[[#This Row],[Customer ID]], customers!$A$2:$A$1001, customers!$I$2:$I$1001, 0)</f>
        <v>Yes</v>
      </c>
    </row>
    <row r="449" spans="1:16" x14ac:dyDescent="0.35">
      <c r="A449" s="2" t="s">
        <v>3010</v>
      </c>
      <c r="B449" s="3">
        <v>43908</v>
      </c>
      <c r="C449" s="2" t="s">
        <v>3011</v>
      </c>
      <c r="D449" t="s">
        <v>6146</v>
      </c>
      <c r="E449" s="2">
        <v>3</v>
      </c>
      <c r="F449" s="2" t="str" cm="1">
        <f t="array" ref="F449">_xlfn.XLOOKUP(C449, customers!$A$1:A1448, customers!$B$1:B1448, 0)</f>
        <v>Arleen Braidman</v>
      </c>
      <c r="G449" s="2" t="str">
        <f>IF(_xlfn.XLOOKUP(C449, customers!A448:A1448, customers!C448:C1448, 0)=0, "", _xlfn.XLOOKUP(C449, customers!A448:A1448, customers!C448:C1448, 0))</f>
        <v>abraidmancf@census.gov</v>
      </c>
      <c r="H449" s="2" t="str" cm="1">
        <f t="array" ref="H449">_xlfn.XLOOKUP(C449, customers!$A$1:A1448, customers!$G$1:G1448,, 0)</f>
        <v>United States</v>
      </c>
      <c r="I449" t="str" cm="1">
        <f t="array" ref="I449">_xlfn.XLOOKUP(orders!D449, products!$A$1:A496, products!$B$1:B496, 0)</f>
        <v>Rob</v>
      </c>
      <c r="J449" t="str" cm="1">
        <f t="array" ref="J449">_xlfn.XLOOKUP(D449, products!$A$1:A496, products!$C$1:C496, 0)</f>
        <v>M</v>
      </c>
      <c r="K449" s="4" cm="1">
        <f t="array" ref="K449">_xlfn.XLOOKUP(D449, products!$A$1:A496, products!$D$1:D496, 0)</f>
        <v>0.5</v>
      </c>
      <c r="L449" s="4" cm="1">
        <f t="array" ref="L449">_xlfn.XLOOKUP(D449, products!$A$1:A496, products!$E$1:E496)</f>
        <v>5.97</v>
      </c>
      <c r="M449">
        <f t="shared" si="12"/>
        <v>17.91</v>
      </c>
      <c r="N449" t="str">
        <f t="shared" si="13"/>
        <v>Robusta</v>
      </c>
      <c r="O449" t="str" cm="1">
        <f t="array" ref="O449">_xlfn.IFS(J449="M", "Medium", J449="L", "Light", J449="D", "Dark")</f>
        <v>Medium</v>
      </c>
      <c r="P449" t="str">
        <f>_xlfn.XLOOKUP(Orders[[#This Row],[Customer ID]], customers!$A$2:$A$1001, customers!$I$2:$I$1001, 0)</f>
        <v>No</v>
      </c>
    </row>
    <row r="450" spans="1:16" x14ac:dyDescent="0.35">
      <c r="A450" s="2" t="s">
        <v>3015</v>
      </c>
      <c r="B450" s="3">
        <v>44718</v>
      </c>
      <c r="C450" s="2" t="s">
        <v>3016</v>
      </c>
      <c r="D450" t="s">
        <v>6173</v>
      </c>
      <c r="E450" s="2">
        <v>1</v>
      </c>
      <c r="F450" s="2" t="str" cm="1">
        <f t="array" ref="F450">_xlfn.XLOOKUP(C450, customers!$A$1:A1449, customers!$B$1:B1449, 0)</f>
        <v>Pru Durban</v>
      </c>
      <c r="G450" s="2" t="str">
        <f>IF(_xlfn.XLOOKUP(C450, customers!A449:A1449, customers!C449:C1449, 0)=0, "", _xlfn.XLOOKUP(C450, customers!A449:A1449, customers!C449:C1449, 0))</f>
        <v>pdurbancg@symantec.com</v>
      </c>
      <c r="H450" s="2" t="str" cm="1">
        <f t="array" ref="H450">_xlfn.XLOOKUP(C450, customers!$A$1:A1449, customers!$G$1:G1449,, 0)</f>
        <v>Ireland</v>
      </c>
      <c r="I450" t="str" cm="1">
        <f t="array" ref="I450">_xlfn.XLOOKUP(orders!D450, products!$A$1:A497, products!$B$1:B497, 0)</f>
        <v>Rob</v>
      </c>
      <c r="J450" t="str" cm="1">
        <f t="array" ref="J450">_xlfn.XLOOKUP(D450, products!$A$1:A497, products!$C$1:C497, 0)</f>
        <v>L</v>
      </c>
      <c r="K450" s="4" cm="1">
        <f t="array" ref="K450">_xlfn.XLOOKUP(D450, products!$A$1:A497, products!$D$1:D497, 0)</f>
        <v>0.5</v>
      </c>
      <c r="L450" s="4" cm="1">
        <f t="array" ref="L450">_xlfn.XLOOKUP(D450, products!$A$1:A497, products!$E$1:E497)</f>
        <v>7.169999999999999</v>
      </c>
      <c r="M450">
        <f t="shared" si="12"/>
        <v>7.169999999999999</v>
      </c>
      <c r="N450" t="str">
        <f t="shared" si="13"/>
        <v>Robusta</v>
      </c>
      <c r="O450" t="str" cm="1">
        <f t="array" ref="O450">_xlfn.IFS(J450="M", "Medium", J450="L", "Light", J450="D", "Dark")</f>
        <v>Light</v>
      </c>
      <c r="P450" t="str">
        <f>_xlfn.XLOOKUP(Orders[[#This Row],[Customer ID]], customers!$A$2:$A$1001, customers!$I$2:$I$1001, 0)</f>
        <v>No</v>
      </c>
    </row>
    <row r="451" spans="1:16" x14ac:dyDescent="0.35">
      <c r="A451" s="2" t="s">
        <v>3021</v>
      </c>
      <c r="B451" s="3">
        <v>44336</v>
      </c>
      <c r="C451" s="2" t="s">
        <v>3022</v>
      </c>
      <c r="D451" t="s">
        <v>6163</v>
      </c>
      <c r="E451" s="2">
        <v>2</v>
      </c>
      <c r="F451" s="2" t="str" cm="1">
        <f t="array" ref="F451">_xlfn.XLOOKUP(C451, customers!$A$1:A1450, customers!$B$1:B1450, 0)</f>
        <v>Antone Harrold</v>
      </c>
      <c r="G451" s="2" t="str">
        <f>IF(_xlfn.XLOOKUP(C451, customers!A450:A1450, customers!C450:C1450, 0)=0, "", _xlfn.XLOOKUP(C451, customers!A450:A1450, customers!C450:C1450, 0))</f>
        <v>aharroldch@miibeian.gov.cn</v>
      </c>
      <c r="H451" s="2" t="str" cm="1">
        <f t="array" ref="H451">_xlfn.XLOOKUP(C451, customers!$A$1:A1450, customers!$G$1:G1450,, 0)</f>
        <v>United States</v>
      </c>
      <c r="I451" t="str" cm="1">
        <f t="array" ref="I451">_xlfn.XLOOKUP(orders!D451, products!$A$1:A498, products!$B$1:B498, 0)</f>
        <v>Rob</v>
      </c>
      <c r="J451" t="str" cm="1">
        <f t="array" ref="J451">_xlfn.XLOOKUP(D451, products!$A$1:A498, products!$C$1:C498, 0)</f>
        <v>D</v>
      </c>
      <c r="K451" s="4" cm="1">
        <f t="array" ref="K451">_xlfn.XLOOKUP(D451, products!$A$1:A498, products!$D$1:D498, 0)</f>
        <v>0.2</v>
      </c>
      <c r="L451" s="4" cm="1">
        <f t="array" ref="L451">_xlfn.XLOOKUP(D451, products!$A$1:A498, products!$E$1:E498)</f>
        <v>2.6849999999999996</v>
      </c>
      <c r="M451">
        <f t="shared" ref="M451:M514" si="14">L451*E451</f>
        <v>5.3699999999999992</v>
      </c>
      <c r="N451" t="str">
        <f t="shared" ref="N451:N514" si="15">IF(I451="Rob", "Robusta", IF(I451="Exc", "Excelsa", IF(I451="Ara", "Arabica", IF(I451="Lib", "Liberica", ""))))</f>
        <v>Robusta</v>
      </c>
      <c r="O451" t="str" cm="1">
        <f t="array" ref="O451">_xlfn.IFS(J451="M", "Medium", J451="L", "Light", J451="D", "Dark")</f>
        <v>Dark</v>
      </c>
      <c r="P451" t="str">
        <f>_xlfn.XLOOKUP(Orders[[#This Row],[Customer ID]], customers!$A$2:$A$1001, customers!$I$2:$I$1001, 0)</f>
        <v>No</v>
      </c>
    </row>
    <row r="452" spans="1:16" x14ac:dyDescent="0.35">
      <c r="A452" s="2" t="s">
        <v>3027</v>
      </c>
      <c r="B452" s="3">
        <v>44207</v>
      </c>
      <c r="C452" s="2" t="s">
        <v>3028</v>
      </c>
      <c r="D452" t="s">
        <v>6145</v>
      </c>
      <c r="E452" s="2">
        <v>5</v>
      </c>
      <c r="F452" s="2" t="str" cm="1">
        <f t="array" ref="F452">_xlfn.XLOOKUP(C452, customers!$A$1:A1451, customers!$B$1:B1451, 0)</f>
        <v>Sim Pamphilon</v>
      </c>
      <c r="G452" s="2" t="str">
        <f>IF(_xlfn.XLOOKUP(C452, customers!A451:A1451, customers!C451:C1451, 0)=0, "", _xlfn.XLOOKUP(C452, customers!A451:A1451, customers!C451:C1451, 0))</f>
        <v>spamphilonci@mlb.com</v>
      </c>
      <c r="H452" s="2" t="str" cm="1">
        <f t="array" ref="H452">_xlfn.XLOOKUP(C452, customers!$A$1:A1451, customers!$G$1:G1451,, 0)</f>
        <v>Ireland</v>
      </c>
      <c r="I452" t="str" cm="1">
        <f t="array" ref="I452">_xlfn.XLOOKUP(orders!D452, products!$A$1:A499, products!$B$1:B499, 0)</f>
        <v>Lib</v>
      </c>
      <c r="J452" t="str" cm="1">
        <f t="array" ref="J452">_xlfn.XLOOKUP(D452, products!$A$1:A499, products!$C$1:C499, 0)</f>
        <v>L</v>
      </c>
      <c r="K452" s="4" cm="1">
        <f t="array" ref="K452">_xlfn.XLOOKUP(D452, products!$A$1:A499, products!$D$1:D499, 0)</f>
        <v>0.2</v>
      </c>
      <c r="L452" s="4" cm="1">
        <f t="array" ref="L452">_xlfn.XLOOKUP(D452, products!$A$1:A499, products!$E$1:E499)</f>
        <v>4.7549999999999999</v>
      </c>
      <c r="M452">
        <f t="shared" si="14"/>
        <v>23.774999999999999</v>
      </c>
      <c r="N452" t="str">
        <f t="shared" si="15"/>
        <v>Liberica</v>
      </c>
      <c r="O452" t="str" cm="1">
        <f t="array" ref="O452">_xlfn.IFS(J452="M", "Medium", J452="L", "Light", J452="D", "Dark")</f>
        <v>Light</v>
      </c>
      <c r="P452" t="str">
        <f>_xlfn.XLOOKUP(Orders[[#This Row],[Customer ID]], customers!$A$2:$A$1001, customers!$I$2:$I$1001, 0)</f>
        <v>No</v>
      </c>
    </row>
    <row r="453" spans="1:16" x14ac:dyDescent="0.35">
      <c r="A453" s="2" t="s">
        <v>3035</v>
      </c>
      <c r="B453" s="3">
        <v>43518</v>
      </c>
      <c r="C453" s="2" t="s">
        <v>3036</v>
      </c>
      <c r="D453" t="s">
        <v>6149</v>
      </c>
      <c r="E453" s="2">
        <v>2</v>
      </c>
      <c r="F453" s="2" t="str" cm="1">
        <f t="array" ref="F453">_xlfn.XLOOKUP(C453, customers!$A$1:A1452, customers!$B$1:B1452, 0)</f>
        <v>Mohandis Spurden</v>
      </c>
      <c r="G453" s="2" t="str">
        <f>IF(_xlfn.XLOOKUP(C453, customers!A452:A1452, customers!C452:C1452, 0)=0, "", _xlfn.XLOOKUP(C453, customers!A452:A1452, customers!C452:C1452, 0))</f>
        <v>mspurdencj@exblog.jp</v>
      </c>
      <c r="H453" s="2" t="str" cm="1">
        <f t="array" ref="H453">_xlfn.XLOOKUP(C453, customers!$A$1:A1452, customers!$G$1:G1452,, 0)</f>
        <v>United States</v>
      </c>
      <c r="I453" t="str" cm="1">
        <f t="array" ref="I453">_xlfn.XLOOKUP(orders!D453, products!$A$1:A500, products!$B$1:B500, 0)</f>
        <v>Rob</v>
      </c>
      <c r="J453" t="str" cm="1">
        <f t="array" ref="J453">_xlfn.XLOOKUP(D453, products!$A$1:A500, products!$C$1:C500, 0)</f>
        <v>D</v>
      </c>
      <c r="K453" s="4" cm="1">
        <f t="array" ref="K453">_xlfn.XLOOKUP(D453, products!$A$1:A500, products!$D$1:D500, 0)</f>
        <v>2.5</v>
      </c>
      <c r="L453" s="4" cm="1">
        <f t="array" ref="L453">_xlfn.XLOOKUP(D453, products!$A$1:A500, products!$E$1:E500)</f>
        <v>20.584999999999997</v>
      </c>
      <c r="M453">
        <f t="shared" si="14"/>
        <v>41.169999999999995</v>
      </c>
      <c r="N453" t="str">
        <f t="shared" si="15"/>
        <v>Robusta</v>
      </c>
      <c r="O453" t="str" cm="1">
        <f t="array" ref="O453">_xlfn.IFS(J453="M", "Medium", J453="L", "Light", J453="D", "Dark")</f>
        <v>Dark</v>
      </c>
      <c r="P453" t="str">
        <f>_xlfn.XLOOKUP(Orders[[#This Row],[Customer ID]], customers!$A$2:$A$1001, customers!$I$2:$I$1001, 0)</f>
        <v>Yes</v>
      </c>
    </row>
    <row r="454" spans="1:16" x14ac:dyDescent="0.35">
      <c r="A454" s="2" t="s">
        <v>3041</v>
      </c>
      <c r="B454" s="3">
        <v>44524</v>
      </c>
      <c r="C454" s="2" t="s">
        <v>3042</v>
      </c>
      <c r="D454" t="s">
        <v>6167</v>
      </c>
      <c r="E454" s="2">
        <v>3</v>
      </c>
      <c r="F454" s="2" t="str" cm="1">
        <f t="array" ref="F454">_xlfn.XLOOKUP(C454, customers!$A$1:A1453, customers!$B$1:B1453, 0)</f>
        <v>Morgen Seson</v>
      </c>
      <c r="G454" s="2" t="str">
        <f>IF(_xlfn.XLOOKUP(C454, customers!A453:A1453, customers!C453:C1453, 0)=0, "", _xlfn.XLOOKUP(C454, customers!A453:A1453, customers!C453:C1453, 0))</f>
        <v>msesonck@census.gov</v>
      </c>
      <c r="H454" s="2" t="str" cm="1">
        <f t="array" ref="H454">_xlfn.XLOOKUP(C454, customers!$A$1:A1453, customers!$G$1:G1453,, 0)</f>
        <v>United States</v>
      </c>
      <c r="I454" t="str" cm="1">
        <f t="array" ref="I454">_xlfn.XLOOKUP(orders!D454, products!$A$1:A501, products!$B$1:B501, 0)</f>
        <v>Ara</v>
      </c>
      <c r="J454" t="str" cm="1">
        <f t="array" ref="J454">_xlfn.XLOOKUP(D454, products!$A$1:A501, products!$C$1:C501, 0)</f>
        <v>L</v>
      </c>
      <c r="K454" s="4" cm="1">
        <f t="array" ref="K454">_xlfn.XLOOKUP(D454, products!$A$1:A501, products!$D$1:D501, 0)</f>
        <v>0.2</v>
      </c>
      <c r="L454" s="4" cm="1">
        <f t="array" ref="L454">_xlfn.XLOOKUP(D454, products!$A$1:A501, products!$E$1:E501)</f>
        <v>3.8849999999999998</v>
      </c>
      <c r="M454">
        <f t="shared" si="14"/>
        <v>11.654999999999999</v>
      </c>
      <c r="N454" t="str">
        <f t="shared" si="15"/>
        <v>Arabica</v>
      </c>
      <c r="O454" t="str" cm="1">
        <f t="array" ref="O454">_xlfn.IFS(J454="M", "Medium", J454="L", "Light", J454="D", "Dark")</f>
        <v>Light</v>
      </c>
      <c r="P454" t="str">
        <f>_xlfn.XLOOKUP(Orders[[#This Row],[Customer ID]], customers!$A$2:$A$1001, customers!$I$2:$I$1001, 0)</f>
        <v>No</v>
      </c>
    </row>
    <row r="455" spans="1:16" x14ac:dyDescent="0.35">
      <c r="A455" s="2" t="s">
        <v>3047</v>
      </c>
      <c r="B455" s="3">
        <v>44579</v>
      </c>
      <c r="C455" s="2" t="s">
        <v>3048</v>
      </c>
      <c r="D455" t="s">
        <v>6161</v>
      </c>
      <c r="E455" s="2">
        <v>4</v>
      </c>
      <c r="F455" s="2" t="str" cm="1">
        <f t="array" ref="F455">_xlfn.XLOOKUP(C455, customers!$A$1:A1454, customers!$B$1:B1454, 0)</f>
        <v>Nalani Pirrone</v>
      </c>
      <c r="G455" s="2" t="str">
        <f>IF(_xlfn.XLOOKUP(C455, customers!A454:A1454, customers!C454:C1454, 0)=0, "", _xlfn.XLOOKUP(C455, customers!A454:A1454, customers!C454:C1454, 0))</f>
        <v>npirronecl@weibo.com</v>
      </c>
      <c r="H455" s="2" t="str" cm="1">
        <f t="array" ref="H455">_xlfn.XLOOKUP(C455, customers!$A$1:A1454, customers!$G$1:G1454,, 0)</f>
        <v>United States</v>
      </c>
      <c r="I455" t="str" cm="1">
        <f t="array" ref="I455">_xlfn.XLOOKUP(orders!D455, products!$A$1:A502, products!$B$1:B502, 0)</f>
        <v>Lib</v>
      </c>
      <c r="J455" t="str" cm="1">
        <f t="array" ref="J455">_xlfn.XLOOKUP(D455, products!$A$1:A502, products!$C$1:C502, 0)</f>
        <v>L</v>
      </c>
      <c r="K455" s="4" cm="1">
        <f t="array" ref="K455">_xlfn.XLOOKUP(D455, products!$A$1:A502, products!$D$1:D502, 0)</f>
        <v>0.5</v>
      </c>
      <c r="L455" s="4" cm="1">
        <f t="array" ref="L455">_xlfn.XLOOKUP(D455, products!$A$1:A502, products!$E$1:E502)</f>
        <v>9.51</v>
      </c>
      <c r="M455">
        <f t="shared" si="14"/>
        <v>38.04</v>
      </c>
      <c r="N455" t="str">
        <f t="shared" si="15"/>
        <v>Liberica</v>
      </c>
      <c r="O455" t="str" cm="1">
        <f t="array" ref="O455">_xlfn.IFS(J455="M", "Medium", J455="L", "Light", J455="D", "Dark")</f>
        <v>Light</v>
      </c>
      <c r="P455" t="str">
        <f>_xlfn.XLOOKUP(Orders[[#This Row],[Customer ID]], customers!$A$2:$A$1001, customers!$I$2:$I$1001, 0)</f>
        <v>No</v>
      </c>
    </row>
    <row r="456" spans="1:16" x14ac:dyDescent="0.35">
      <c r="A456" s="2" t="s">
        <v>3053</v>
      </c>
      <c r="B456" s="3">
        <v>44421</v>
      </c>
      <c r="C456" s="2" t="s">
        <v>3054</v>
      </c>
      <c r="D456" t="s">
        <v>6149</v>
      </c>
      <c r="E456" s="2">
        <v>4</v>
      </c>
      <c r="F456" s="2" t="str" cm="1">
        <f t="array" ref="F456">_xlfn.XLOOKUP(C456, customers!$A$1:A1455, customers!$B$1:B1455, 0)</f>
        <v>Reube Cawley</v>
      </c>
      <c r="G456" s="2" t="str">
        <f>IF(_xlfn.XLOOKUP(C456, customers!A455:A1455, customers!C455:C1455, 0)=0, "", _xlfn.XLOOKUP(C456, customers!A455:A1455, customers!C455:C1455, 0))</f>
        <v>rcawleycm@yellowbook.com</v>
      </c>
      <c r="H456" s="2" t="str" cm="1">
        <f t="array" ref="H456">_xlfn.XLOOKUP(C456, customers!$A$1:A1455, customers!$G$1:G1455,, 0)</f>
        <v>Ireland</v>
      </c>
      <c r="I456" t="str" cm="1">
        <f t="array" ref="I456">_xlfn.XLOOKUP(orders!D456, products!$A$1:A503, products!$B$1:B503, 0)</f>
        <v>Rob</v>
      </c>
      <c r="J456" t="str" cm="1">
        <f t="array" ref="J456">_xlfn.XLOOKUP(D456, products!$A$1:A503, products!$C$1:C503, 0)</f>
        <v>D</v>
      </c>
      <c r="K456" s="4" cm="1">
        <f t="array" ref="K456">_xlfn.XLOOKUP(D456, products!$A$1:A503, products!$D$1:D503, 0)</f>
        <v>2.5</v>
      </c>
      <c r="L456" s="4" cm="1">
        <f t="array" ref="L456">_xlfn.XLOOKUP(D456, products!$A$1:A503, products!$E$1:E503)</f>
        <v>20.584999999999997</v>
      </c>
      <c r="M456">
        <f t="shared" si="14"/>
        <v>82.339999999999989</v>
      </c>
      <c r="N456" t="str">
        <f t="shared" si="15"/>
        <v>Robusta</v>
      </c>
      <c r="O456" t="str" cm="1">
        <f t="array" ref="O456">_xlfn.IFS(J456="M", "Medium", J456="L", "Light", J456="D", "Dark")</f>
        <v>Dark</v>
      </c>
      <c r="P456" t="str">
        <f>_xlfn.XLOOKUP(Orders[[#This Row],[Customer ID]], customers!$A$2:$A$1001, customers!$I$2:$I$1001, 0)</f>
        <v>Yes</v>
      </c>
    </row>
    <row r="457" spans="1:16" x14ac:dyDescent="0.35">
      <c r="A457" s="2" t="s">
        <v>3058</v>
      </c>
      <c r="B457" s="3">
        <v>43841</v>
      </c>
      <c r="C457" s="2" t="s">
        <v>3059</v>
      </c>
      <c r="D457" t="s">
        <v>6145</v>
      </c>
      <c r="E457" s="2">
        <v>2</v>
      </c>
      <c r="F457" s="2" t="str" cm="1">
        <f t="array" ref="F457">_xlfn.XLOOKUP(C457, customers!$A$1:A1456, customers!$B$1:B1456, 0)</f>
        <v>Stan Barribal</v>
      </c>
      <c r="G457" s="2" t="str">
        <f>IF(_xlfn.XLOOKUP(C457, customers!A456:A1456, customers!C456:C1456, 0)=0, "", _xlfn.XLOOKUP(C457, customers!A456:A1456, customers!C456:C1456, 0))</f>
        <v>sbarribalcn@microsoft.com</v>
      </c>
      <c r="H457" s="2" t="str" cm="1">
        <f t="array" ref="H457">_xlfn.XLOOKUP(C457, customers!$A$1:A1456, customers!$G$1:G1456,, 0)</f>
        <v>Ireland</v>
      </c>
      <c r="I457" t="str" cm="1">
        <f t="array" ref="I457">_xlfn.XLOOKUP(orders!D457, products!$A$1:A504, products!$B$1:B504, 0)</f>
        <v>Lib</v>
      </c>
      <c r="J457" t="str" cm="1">
        <f t="array" ref="J457">_xlfn.XLOOKUP(D457, products!$A$1:A504, products!$C$1:C504, 0)</f>
        <v>L</v>
      </c>
      <c r="K457" s="4" cm="1">
        <f t="array" ref="K457">_xlfn.XLOOKUP(D457, products!$A$1:A504, products!$D$1:D504, 0)</f>
        <v>0.2</v>
      </c>
      <c r="L457" s="4" cm="1">
        <f t="array" ref="L457">_xlfn.XLOOKUP(D457, products!$A$1:A504, products!$E$1:E504)</f>
        <v>4.7549999999999999</v>
      </c>
      <c r="M457">
        <f t="shared" si="14"/>
        <v>9.51</v>
      </c>
      <c r="N457" t="str">
        <f t="shared" si="15"/>
        <v>Liberica</v>
      </c>
      <c r="O457" t="str" cm="1">
        <f t="array" ref="O457">_xlfn.IFS(J457="M", "Medium", J457="L", "Light", J457="D", "Dark")</f>
        <v>Light</v>
      </c>
      <c r="P457" t="str">
        <f>_xlfn.XLOOKUP(Orders[[#This Row],[Customer ID]], customers!$A$2:$A$1001, customers!$I$2:$I$1001, 0)</f>
        <v>Yes</v>
      </c>
    </row>
    <row r="458" spans="1:16" x14ac:dyDescent="0.35">
      <c r="A458" s="2" t="s">
        <v>3064</v>
      </c>
      <c r="B458" s="3">
        <v>44017</v>
      </c>
      <c r="C458" s="2" t="s">
        <v>3065</v>
      </c>
      <c r="D458" t="s">
        <v>6149</v>
      </c>
      <c r="E458" s="2">
        <v>2</v>
      </c>
      <c r="F458" s="2" t="str" cm="1">
        <f t="array" ref="F458">_xlfn.XLOOKUP(C458, customers!$A$1:A1457, customers!$B$1:B1457, 0)</f>
        <v>Agnes Adamides</v>
      </c>
      <c r="G458" s="2" t="str">
        <f>IF(_xlfn.XLOOKUP(C458, customers!A457:A1457, customers!C457:C1457, 0)=0, "", _xlfn.XLOOKUP(C458, customers!A457:A1457, customers!C457:C1457, 0))</f>
        <v>aadamidesco@bizjournals.com</v>
      </c>
      <c r="H458" s="2" t="str" cm="1">
        <f t="array" ref="H458">_xlfn.XLOOKUP(C458, customers!$A$1:A1457, customers!$G$1:G1457,, 0)</f>
        <v>United Kingdom</v>
      </c>
      <c r="I458" t="str" cm="1">
        <f t="array" ref="I458">_xlfn.XLOOKUP(orders!D458, products!$A$1:A505, products!$B$1:B505, 0)</f>
        <v>Rob</v>
      </c>
      <c r="J458" t="str" cm="1">
        <f t="array" ref="J458">_xlfn.XLOOKUP(D458, products!$A$1:A505, products!$C$1:C505, 0)</f>
        <v>D</v>
      </c>
      <c r="K458" s="4" cm="1">
        <f t="array" ref="K458">_xlfn.XLOOKUP(D458, products!$A$1:A505, products!$D$1:D505, 0)</f>
        <v>2.5</v>
      </c>
      <c r="L458" s="4" cm="1">
        <f t="array" ref="L458">_xlfn.XLOOKUP(D458, products!$A$1:A505, products!$E$1:E505)</f>
        <v>20.584999999999997</v>
      </c>
      <c r="M458">
        <f t="shared" si="14"/>
        <v>41.169999999999995</v>
      </c>
      <c r="N458" t="str">
        <f t="shared" si="15"/>
        <v>Robusta</v>
      </c>
      <c r="O458" t="str" cm="1">
        <f t="array" ref="O458">_xlfn.IFS(J458="M", "Medium", J458="L", "Light", J458="D", "Dark")</f>
        <v>Dark</v>
      </c>
      <c r="P458" t="str">
        <f>_xlfn.XLOOKUP(Orders[[#This Row],[Customer ID]], customers!$A$2:$A$1001, customers!$I$2:$I$1001, 0)</f>
        <v>No</v>
      </c>
    </row>
    <row r="459" spans="1:16" x14ac:dyDescent="0.35">
      <c r="A459" s="2" t="s">
        <v>3070</v>
      </c>
      <c r="B459" s="3">
        <v>43671</v>
      </c>
      <c r="C459" s="2" t="s">
        <v>3071</v>
      </c>
      <c r="D459" t="s">
        <v>6161</v>
      </c>
      <c r="E459" s="2">
        <v>5</v>
      </c>
      <c r="F459" s="2" t="str" cm="1">
        <f t="array" ref="F459">_xlfn.XLOOKUP(C459, customers!$A$1:A1458, customers!$B$1:B1458, 0)</f>
        <v>Carmelita Thowes</v>
      </c>
      <c r="G459" s="2" t="str">
        <f>IF(_xlfn.XLOOKUP(C459, customers!A458:A1458, customers!C458:C1458, 0)=0, "", _xlfn.XLOOKUP(C459, customers!A458:A1458, customers!C458:C1458, 0))</f>
        <v>cthowescp@craigslist.org</v>
      </c>
      <c r="H459" s="2" t="str" cm="1">
        <f t="array" ref="H459">_xlfn.XLOOKUP(C459, customers!$A$1:A1458, customers!$G$1:G1458,, 0)</f>
        <v>United States</v>
      </c>
      <c r="I459" t="str" cm="1">
        <f t="array" ref="I459">_xlfn.XLOOKUP(orders!D459, products!$A$1:A506, products!$B$1:B506, 0)</f>
        <v>Lib</v>
      </c>
      <c r="J459" t="str" cm="1">
        <f t="array" ref="J459">_xlfn.XLOOKUP(D459, products!$A$1:A506, products!$C$1:C506, 0)</f>
        <v>L</v>
      </c>
      <c r="K459" s="4" cm="1">
        <f t="array" ref="K459">_xlfn.XLOOKUP(D459, products!$A$1:A506, products!$D$1:D506, 0)</f>
        <v>0.5</v>
      </c>
      <c r="L459" s="4" cm="1">
        <f t="array" ref="L459">_xlfn.XLOOKUP(D459, products!$A$1:A506, products!$E$1:E506)</f>
        <v>9.51</v>
      </c>
      <c r="M459">
        <f t="shared" si="14"/>
        <v>47.55</v>
      </c>
      <c r="N459" t="str">
        <f t="shared" si="15"/>
        <v>Liberica</v>
      </c>
      <c r="O459" t="str" cm="1">
        <f t="array" ref="O459">_xlfn.IFS(J459="M", "Medium", J459="L", "Light", J459="D", "Dark")</f>
        <v>Light</v>
      </c>
      <c r="P459" t="str">
        <f>_xlfn.XLOOKUP(Orders[[#This Row],[Customer ID]], customers!$A$2:$A$1001, customers!$I$2:$I$1001, 0)</f>
        <v>No</v>
      </c>
    </row>
    <row r="460" spans="1:16" x14ac:dyDescent="0.35">
      <c r="A460" s="2" t="s">
        <v>3076</v>
      </c>
      <c r="B460" s="3">
        <v>44707</v>
      </c>
      <c r="C460" s="2" t="s">
        <v>3077</v>
      </c>
      <c r="D460" t="s">
        <v>6155</v>
      </c>
      <c r="E460" s="2">
        <v>4</v>
      </c>
      <c r="F460" s="2" t="str" cm="1">
        <f t="array" ref="F460">_xlfn.XLOOKUP(C460, customers!$A$1:A1459, customers!$B$1:B1459, 0)</f>
        <v>Rodolfo Willoway</v>
      </c>
      <c r="G460" s="2" t="str">
        <f>IF(_xlfn.XLOOKUP(C460, customers!A459:A1459, customers!C459:C1459, 0)=0, "", _xlfn.XLOOKUP(C460, customers!A459:A1459, customers!C459:C1459, 0))</f>
        <v>rwillowaycq@admin.ch</v>
      </c>
      <c r="H460" s="2" t="str" cm="1">
        <f t="array" ref="H460">_xlfn.XLOOKUP(C460, customers!$A$1:A1459, customers!$G$1:G1459,, 0)</f>
        <v>United States</v>
      </c>
      <c r="I460" t="str" cm="1">
        <f t="array" ref="I460">_xlfn.XLOOKUP(orders!D460, products!$A$1:A507, products!$B$1:B507, 0)</f>
        <v>Ara</v>
      </c>
      <c r="J460" t="str" cm="1">
        <f t="array" ref="J460">_xlfn.XLOOKUP(D460, products!$A$1:A507, products!$C$1:C507, 0)</f>
        <v>M</v>
      </c>
      <c r="K460" s="4" cm="1">
        <f t="array" ref="K460">_xlfn.XLOOKUP(D460, products!$A$1:A507, products!$D$1:D507, 0)</f>
        <v>1</v>
      </c>
      <c r="L460" s="4" cm="1">
        <f t="array" ref="L460">_xlfn.XLOOKUP(D460, products!$A$1:A507, products!$E$1:E507)</f>
        <v>11.25</v>
      </c>
      <c r="M460">
        <f t="shared" si="14"/>
        <v>45</v>
      </c>
      <c r="N460" t="str">
        <f t="shared" si="15"/>
        <v>Arabica</v>
      </c>
      <c r="O460" t="str" cm="1">
        <f t="array" ref="O460">_xlfn.IFS(J460="M", "Medium", J460="L", "Light", J460="D", "Dark")</f>
        <v>Medium</v>
      </c>
      <c r="P460" t="str">
        <f>_xlfn.XLOOKUP(Orders[[#This Row],[Customer ID]], customers!$A$2:$A$1001, customers!$I$2:$I$1001, 0)</f>
        <v>No</v>
      </c>
    </row>
    <row r="461" spans="1:16" x14ac:dyDescent="0.35">
      <c r="A461" s="2" t="s">
        <v>3082</v>
      </c>
      <c r="B461" s="3">
        <v>43840</v>
      </c>
      <c r="C461" s="2" t="s">
        <v>3083</v>
      </c>
      <c r="D461" t="s">
        <v>6145</v>
      </c>
      <c r="E461" s="2">
        <v>5</v>
      </c>
      <c r="F461" s="2" t="str" cm="1">
        <f t="array" ref="F461">_xlfn.XLOOKUP(C461, customers!$A$1:A1460, customers!$B$1:B1460, 0)</f>
        <v>Alvis Elwin</v>
      </c>
      <c r="G461" s="2" t="str">
        <f>IF(_xlfn.XLOOKUP(C461, customers!A460:A1460, customers!C460:C1460, 0)=0, "", _xlfn.XLOOKUP(C461, customers!A460:A1460, customers!C460:C1460, 0))</f>
        <v>aelwincr@privacy.gov.au</v>
      </c>
      <c r="H461" s="2" t="str" cm="1">
        <f t="array" ref="H461">_xlfn.XLOOKUP(C461, customers!$A$1:A1460, customers!$G$1:G1460,, 0)</f>
        <v>United States</v>
      </c>
      <c r="I461" t="str" cm="1">
        <f t="array" ref="I461">_xlfn.XLOOKUP(orders!D461, products!$A$1:A508, products!$B$1:B508, 0)</f>
        <v>Lib</v>
      </c>
      <c r="J461" t="str" cm="1">
        <f t="array" ref="J461">_xlfn.XLOOKUP(D461, products!$A$1:A508, products!$C$1:C508, 0)</f>
        <v>L</v>
      </c>
      <c r="K461" s="4" cm="1">
        <f t="array" ref="K461">_xlfn.XLOOKUP(D461, products!$A$1:A508, products!$D$1:D508, 0)</f>
        <v>0.2</v>
      </c>
      <c r="L461" s="4" cm="1">
        <f t="array" ref="L461">_xlfn.XLOOKUP(D461, products!$A$1:A508, products!$E$1:E508)</f>
        <v>4.7549999999999999</v>
      </c>
      <c r="M461">
        <f t="shared" si="14"/>
        <v>23.774999999999999</v>
      </c>
      <c r="N461" t="str">
        <f t="shared" si="15"/>
        <v>Liberica</v>
      </c>
      <c r="O461" t="str" cm="1">
        <f t="array" ref="O461">_xlfn.IFS(J461="M", "Medium", J461="L", "Light", J461="D", "Dark")</f>
        <v>Light</v>
      </c>
      <c r="P461" t="str">
        <f>_xlfn.XLOOKUP(Orders[[#This Row],[Customer ID]], customers!$A$2:$A$1001, customers!$I$2:$I$1001, 0)</f>
        <v>No</v>
      </c>
    </row>
    <row r="462" spans="1:16" x14ac:dyDescent="0.35">
      <c r="A462" s="2" t="s">
        <v>3088</v>
      </c>
      <c r="B462" s="3">
        <v>43602</v>
      </c>
      <c r="C462" s="2" t="s">
        <v>3089</v>
      </c>
      <c r="D462" t="s">
        <v>6172</v>
      </c>
      <c r="E462" s="2">
        <v>3</v>
      </c>
      <c r="F462" s="2" t="str" cm="1">
        <f t="array" ref="F462">_xlfn.XLOOKUP(C462, customers!$A$1:A1461, customers!$B$1:B1461, 0)</f>
        <v>Araldo Bilbrook</v>
      </c>
      <c r="G462" s="2" t="str">
        <f>IF(_xlfn.XLOOKUP(C462, customers!A461:A1461, customers!C461:C1461, 0)=0, "", _xlfn.XLOOKUP(C462, customers!A461:A1461, customers!C461:C1461, 0))</f>
        <v>abilbrookcs@booking.com</v>
      </c>
      <c r="H462" s="2" t="str" cm="1">
        <f t="array" ref="H462">_xlfn.XLOOKUP(C462, customers!$A$1:A1461, customers!$G$1:G1461,, 0)</f>
        <v>Ireland</v>
      </c>
      <c r="I462" t="str" cm="1">
        <f t="array" ref="I462">_xlfn.XLOOKUP(orders!D462, products!$A$1:A509, products!$B$1:B509, 0)</f>
        <v>Rob</v>
      </c>
      <c r="J462" t="str" cm="1">
        <f t="array" ref="J462">_xlfn.XLOOKUP(D462, products!$A$1:A509, products!$C$1:C509, 0)</f>
        <v>D</v>
      </c>
      <c r="K462" s="4" cm="1">
        <f t="array" ref="K462">_xlfn.XLOOKUP(D462, products!$A$1:A509, products!$D$1:D509, 0)</f>
        <v>0.5</v>
      </c>
      <c r="L462" s="4" cm="1">
        <f t="array" ref="L462">_xlfn.XLOOKUP(D462, products!$A$1:A509, products!$E$1:E509)</f>
        <v>5.3699999999999992</v>
      </c>
      <c r="M462">
        <f t="shared" si="14"/>
        <v>16.11</v>
      </c>
      <c r="N462" t="str">
        <f t="shared" si="15"/>
        <v>Robusta</v>
      </c>
      <c r="O462" t="str" cm="1">
        <f t="array" ref="O462">_xlfn.IFS(J462="M", "Medium", J462="L", "Light", J462="D", "Dark")</f>
        <v>Dark</v>
      </c>
      <c r="P462" t="str">
        <f>_xlfn.XLOOKUP(Orders[[#This Row],[Customer ID]], customers!$A$2:$A$1001, customers!$I$2:$I$1001, 0)</f>
        <v>Yes</v>
      </c>
    </row>
    <row r="463" spans="1:16" x14ac:dyDescent="0.35">
      <c r="A463" s="2" t="s">
        <v>3094</v>
      </c>
      <c r="B463" s="3">
        <v>44036</v>
      </c>
      <c r="C463" s="2" t="s">
        <v>3095</v>
      </c>
      <c r="D463" t="s">
        <v>6163</v>
      </c>
      <c r="E463" s="2">
        <v>4</v>
      </c>
      <c r="F463" s="2" t="str" cm="1">
        <f t="array" ref="F463">_xlfn.XLOOKUP(C463, customers!$A$1:A1462, customers!$B$1:B1462, 0)</f>
        <v>Ransell McKall</v>
      </c>
      <c r="G463" s="2" t="str">
        <f>IF(_xlfn.XLOOKUP(C463, customers!A462:A1462, customers!C462:C1462, 0)=0, "", _xlfn.XLOOKUP(C463, customers!A462:A1462, customers!C462:C1462, 0))</f>
        <v>rmckallct@sakura.ne.jp</v>
      </c>
      <c r="H463" s="2" t="str" cm="1">
        <f t="array" ref="H463">_xlfn.XLOOKUP(C463, customers!$A$1:A1462, customers!$G$1:G1462,, 0)</f>
        <v>United Kingdom</v>
      </c>
      <c r="I463" t="str" cm="1">
        <f t="array" ref="I463">_xlfn.XLOOKUP(orders!D463, products!$A$1:A510, products!$B$1:B510, 0)</f>
        <v>Rob</v>
      </c>
      <c r="J463" t="str" cm="1">
        <f t="array" ref="J463">_xlfn.XLOOKUP(D463, products!$A$1:A510, products!$C$1:C510, 0)</f>
        <v>D</v>
      </c>
      <c r="K463" s="4" cm="1">
        <f t="array" ref="K463">_xlfn.XLOOKUP(D463, products!$A$1:A510, products!$D$1:D510, 0)</f>
        <v>0.2</v>
      </c>
      <c r="L463" s="4" cm="1">
        <f t="array" ref="L463">_xlfn.XLOOKUP(D463, products!$A$1:A510, products!$E$1:E510)</f>
        <v>2.6849999999999996</v>
      </c>
      <c r="M463">
        <f t="shared" si="14"/>
        <v>10.739999999999998</v>
      </c>
      <c r="N463" t="str">
        <f t="shared" si="15"/>
        <v>Robusta</v>
      </c>
      <c r="O463" t="str" cm="1">
        <f t="array" ref="O463">_xlfn.IFS(J463="M", "Medium", J463="L", "Light", J463="D", "Dark")</f>
        <v>Dark</v>
      </c>
      <c r="P463" t="str">
        <f>_xlfn.XLOOKUP(Orders[[#This Row],[Customer ID]], customers!$A$2:$A$1001, customers!$I$2:$I$1001, 0)</f>
        <v>Yes</v>
      </c>
    </row>
    <row r="464" spans="1:16" x14ac:dyDescent="0.35">
      <c r="A464" s="2" t="s">
        <v>3100</v>
      </c>
      <c r="B464" s="3">
        <v>44124</v>
      </c>
      <c r="C464" s="2" t="s">
        <v>3101</v>
      </c>
      <c r="D464" t="s">
        <v>6147</v>
      </c>
      <c r="E464" s="2">
        <v>5</v>
      </c>
      <c r="F464" s="2" t="str" cm="1">
        <f t="array" ref="F464">_xlfn.XLOOKUP(C464, customers!$A$1:A1463, customers!$B$1:B1463, 0)</f>
        <v>Borg Daile</v>
      </c>
      <c r="G464" s="2" t="str">
        <f>IF(_xlfn.XLOOKUP(C464, customers!A463:A1463, customers!C463:C1463, 0)=0, "", _xlfn.XLOOKUP(C464, customers!A463:A1463, customers!C463:C1463, 0))</f>
        <v>bdailecu@vistaprint.com</v>
      </c>
      <c r="H464" s="2" t="str" cm="1">
        <f t="array" ref="H464">_xlfn.XLOOKUP(C464, customers!$A$1:A1463, customers!$G$1:G1463,, 0)</f>
        <v>United States</v>
      </c>
      <c r="I464" t="str" cm="1">
        <f t="array" ref="I464">_xlfn.XLOOKUP(orders!D464, products!$A$1:A511, products!$B$1:B511, 0)</f>
        <v>Ara</v>
      </c>
      <c r="J464" t="str" cm="1">
        <f t="array" ref="J464">_xlfn.XLOOKUP(D464, products!$A$1:A511, products!$C$1:C511, 0)</f>
        <v>D</v>
      </c>
      <c r="K464" s="4" cm="1">
        <f t="array" ref="K464">_xlfn.XLOOKUP(D464, products!$A$1:A511, products!$D$1:D511, 0)</f>
        <v>1</v>
      </c>
      <c r="L464" s="4" cm="1">
        <f t="array" ref="L464">_xlfn.XLOOKUP(D464, products!$A$1:A511, products!$E$1:E511)</f>
        <v>9.9499999999999993</v>
      </c>
      <c r="M464">
        <f t="shared" si="14"/>
        <v>49.75</v>
      </c>
      <c r="N464" t="str">
        <f t="shared" si="15"/>
        <v>Arabica</v>
      </c>
      <c r="O464" t="str" cm="1">
        <f t="array" ref="O464">_xlfn.IFS(J464="M", "Medium", J464="L", "Light", J464="D", "Dark")</f>
        <v>Dark</v>
      </c>
      <c r="P464" t="str">
        <f>_xlfn.XLOOKUP(Orders[[#This Row],[Customer ID]], customers!$A$2:$A$1001, customers!$I$2:$I$1001, 0)</f>
        <v>Yes</v>
      </c>
    </row>
    <row r="465" spans="1:16" x14ac:dyDescent="0.35">
      <c r="A465" s="2" t="s">
        <v>3106</v>
      </c>
      <c r="B465" s="3">
        <v>43730</v>
      </c>
      <c r="C465" s="2" t="s">
        <v>3107</v>
      </c>
      <c r="D465" t="s">
        <v>6141</v>
      </c>
      <c r="E465" s="2">
        <v>2</v>
      </c>
      <c r="F465" s="2" t="str" cm="1">
        <f t="array" ref="F465">_xlfn.XLOOKUP(C465, customers!$A$1:A1464, customers!$B$1:B1464, 0)</f>
        <v>Adolphe Treherne</v>
      </c>
      <c r="G465" s="2" t="str">
        <f>IF(_xlfn.XLOOKUP(C465, customers!A464:A1464, customers!C464:C1464, 0)=0, "", _xlfn.XLOOKUP(C465, customers!A464:A1464, customers!C464:C1464, 0))</f>
        <v>atrehernecv@state.tx.us</v>
      </c>
      <c r="H465" s="2" t="str" cm="1">
        <f t="array" ref="H465">_xlfn.XLOOKUP(C465, customers!$A$1:A1464, customers!$G$1:G1464,, 0)</f>
        <v>Ireland</v>
      </c>
      <c r="I465" t="str" cm="1">
        <f t="array" ref="I465">_xlfn.XLOOKUP(orders!D465, products!$A$1:A512, products!$B$1:B512, 0)</f>
        <v>Exc</v>
      </c>
      <c r="J465" t="str" cm="1">
        <f t="array" ref="J465">_xlfn.XLOOKUP(D465, products!$A$1:A512, products!$C$1:C512, 0)</f>
        <v>M</v>
      </c>
      <c r="K465" s="4" cm="1">
        <f t="array" ref="K465">_xlfn.XLOOKUP(D465, products!$A$1:A512, products!$D$1:D512, 0)</f>
        <v>1</v>
      </c>
      <c r="L465" s="4" cm="1">
        <f t="array" ref="L465">_xlfn.XLOOKUP(D465, products!$A$1:A512, products!$E$1:E512)</f>
        <v>13.75</v>
      </c>
      <c r="M465">
        <f t="shared" si="14"/>
        <v>27.5</v>
      </c>
      <c r="N465" t="str">
        <f t="shared" si="15"/>
        <v>Excelsa</v>
      </c>
      <c r="O465" t="str" cm="1">
        <f t="array" ref="O465">_xlfn.IFS(J465="M", "Medium", J465="L", "Light", J465="D", "Dark")</f>
        <v>Medium</v>
      </c>
      <c r="P465" t="str">
        <f>_xlfn.XLOOKUP(Orders[[#This Row],[Customer ID]], customers!$A$2:$A$1001, customers!$I$2:$I$1001, 0)</f>
        <v>No</v>
      </c>
    </row>
    <row r="466" spans="1:16" x14ac:dyDescent="0.35">
      <c r="A466" s="2" t="s">
        <v>3112</v>
      </c>
      <c r="B466" s="3">
        <v>43989</v>
      </c>
      <c r="C466" s="2" t="s">
        <v>3113</v>
      </c>
      <c r="D466" t="s">
        <v>6165</v>
      </c>
      <c r="E466" s="2">
        <v>4</v>
      </c>
      <c r="F466" s="2" t="str" cm="1">
        <f t="array" ref="F466">_xlfn.XLOOKUP(C466, customers!$A$1:A1465, customers!$B$1:B1465, 0)</f>
        <v>Annetta Brentnall</v>
      </c>
      <c r="G466" s="2" t="str">
        <f>IF(_xlfn.XLOOKUP(C466, customers!A465:A1465, customers!C465:C1465, 0)=0, "", _xlfn.XLOOKUP(C466, customers!A465:A1465, customers!C465:C1465, 0))</f>
        <v>abrentnallcw@biglobe.ne.jp</v>
      </c>
      <c r="H466" s="2" t="str" cm="1">
        <f t="array" ref="H466">_xlfn.XLOOKUP(C466, customers!$A$1:A1465, customers!$G$1:G1465,, 0)</f>
        <v>United Kingdom</v>
      </c>
      <c r="I466" t="str" cm="1">
        <f t="array" ref="I466">_xlfn.XLOOKUP(orders!D466, products!$A$1:A513, products!$B$1:B513, 0)</f>
        <v>Lib</v>
      </c>
      <c r="J466" t="str" cm="1">
        <f t="array" ref="J466">_xlfn.XLOOKUP(D466, products!$A$1:A513, products!$C$1:C513, 0)</f>
        <v>D</v>
      </c>
      <c r="K466" s="4" cm="1">
        <f t="array" ref="K466">_xlfn.XLOOKUP(D466, products!$A$1:A513, products!$D$1:D513, 0)</f>
        <v>2.5</v>
      </c>
      <c r="L466" s="4" cm="1">
        <f t="array" ref="L466">_xlfn.XLOOKUP(D466, products!$A$1:A513, products!$E$1:E513)</f>
        <v>29.784999999999997</v>
      </c>
      <c r="M466">
        <f t="shared" si="14"/>
        <v>119.13999999999999</v>
      </c>
      <c r="N466" t="str">
        <f t="shared" si="15"/>
        <v>Liberica</v>
      </c>
      <c r="O466" t="str" cm="1">
        <f t="array" ref="O466">_xlfn.IFS(J466="M", "Medium", J466="L", "Light", J466="D", "Dark")</f>
        <v>Dark</v>
      </c>
      <c r="P466" t="str">
        <f>_xlfn.XLOOKUP(Orders[[#This Row],[Customer ID]], customers!$A$2:$A$1001, customers!$I$2:$I$1001, 0)</f>
        <v>No</v>
      </c>
    </row>
    <row r="467" spans="1:16" x14ac:dyDescent="0.35">
      <c r="A467" s="2" t="s">
        <v>3118</v>
      </c>
      <c r="B467" s="3">
        <v>43814</v>
      </c>
      <c r="C467" s="2" t="s">
        <v>3119</v>
      </c>
      <c r="D467" t="s">
        <v>6149</v>
      </c>
      <c r="E467" s="2">
        <v>1</v>
      </c>
      <c r="F467" s="2" t="str" cm="1">
        <f t="array" ref="F467">_xlfn.XLOOKUP(C467, customers!$A$1:A1466, customers!$B$1:B1466, 0)</f>
        <v>Dick Drinkall</v>
      </c>
      <c r="G467" s="2" t="str">
        <f>IF(_xlfn.XLOOKUP(C467, customers!A466:A1466, customers!C466:C1466, 0)=0, "", _xlfn.XLOOKUP(C467, customers!A466:A1466, customers!C466:C1466, 0))</f>
        <v>ddrinkallcx@psu.edu</v>
      </c>
      <c r="H467" s="2" t="str" cm="1">
        <f t="array" ref="H467">_xlfn.XLOOKUP(C467, customers!$A$1:A1466, customers!$G$1:G1466,, 0)</f>
        <v>United States</v>
      </c>
      <c r="I467" t="str" cm="1">
        <f t="array" ref="I467">_xlfn.XLOOKUP(orders!D467, products!$A$1:A514, products!$B$1:B514, 0)</f>
        <v>Rob</v>
      </c>
      <c r="J467" t="str" cm="1">
        <f t="array" ref="J467">_xlfn.XLOOKUP(D467, products!$A$1:A514, products!$C$1:C514, 0)</f>
        <v>D</v>
      </c>
      <c r="K467" s="4" cm="1">
        <f t="array" ref="K467">_xlfn.XLOOKUP(D467, products!$A$1:A514, products!$D$1:D514, 0)</f>
        <v>2.5</v>
      </c>
      <c r="L467" s="4" cm="1">
        <f t="array" ref="L467">_xlfn.XLOOKUP(D467, products!$A$1:A514, products!$E$1:E514)</f>
        <v>20.584999999999997</v>
      </c>
      <c r="M467">
        <f t="shared" si="14"/>
        <v>20.584999999999997</v>
      </c>
      <c r="N467" t="str">
        <f t="shared" si="15"/>
        <v>Robusta</v>
      </c>
      <c r="O467" t="str" cm="1">
        <f t="array" ref="O467">_xlfn.IFS(J467="M", "Medium", J467="L", "Light", J467="D", "Dark")</f>
        <v>Dark</v>
      </c>
      <c r="P467" t="str">
        <f>_xlfn.XLOOKUP(Orders[[#This Row],[Customer ID]], customers!$A$2:$A$1001, customers!$I$2:$I$1001, 0)</f>
        <v>Yes</v>
      </c>
    </row>
    <row r="468" spans="1:16" x14ac:dyDescent="0.35">
      <c r="A468" s="2" t="s">
        <v>3124</v>
      </c>
      <c r="B468" s="3">
        <v>44171</v>
      </c>
      <c r="C468" s="2" t="s">
        <v>3125</v>
      </c>
      <c r="D468" t="s">
        <v>6154</v>
      </c>
      <c r="E468" s="2">
        <v>3</v>
      </c>
      <c r="F468" s="2" t="str" cm="1">
        <f t="array" ref="F468">_xlfn.XLOOKUP(C468, customers!$A$1:A1467, customers!$B$1:B1467, 0)</f>
        <v>Dagny Kornel</v>
      </c>
      <c r="G468" s="2" t="str">
        <f>IF(_xlfn.XLOOKUP(C468, customers!A467:A1467, customers!C467:C1467, 0)=0, "", _xlfn.XLOOKUP(C468, customers!A467:A1467, customers!C467:C1467, 0))</f>
        <v>dkornelcy@cyberchimps.com</v>
      </c>
      <c r="H468" s="2" t="str" cm="1">
        <f t="array" ref="H468">_xlfn.XLOOKUP(C468, customers!$A$1:A1467, customers!$G$1:G1467,, 0)</f>
        <v>United States</v>
      </c>
      <c r="I468" t="str" cm="1">
        <f t="array" ref="I468">_xlfn.XLOOKUP(orders!D468, products!$A$1:A515, products!$B$1:B515, 0)</f>
        <v>Ara</v>
      </c>
      <c r="J468" t="str" cm="1">
        <f t="array" ref="J468">_xlfn.XLOOKUP(D468, products!$A$1:A515, products!$C$1:C515, 0)</f>
        <v>D</v>
      </c>
      <c r="K468" s="4" cm="1">
        <f t="array" ref="K468">_xlfn.XLOOKUP(D468, products!$A$1:A515, products!$D$1:D515, 0)</f>
        <v>0.2</v>
      </c>
      <c r="L468" s="4" cm="1">
        <f t="array" ref="L468">_xlfn.XLOOKUP(D468, products!$A$1:A515, products!$E$1:E515)</f>
        <v>2.9849999999999999</v>
      </c>
      <c r="M468">
        <f t="shared" si="14"/>
        <v>8.9550000000000001</v>
      </c>
      <c r="N468" t="str">
        <f t="shared" si="15"/>
        <v>Arabica</v>
      </c>
      <c r="O468" t="str" cm="1">
        <f t="array" ref="O468">_xlfn.IFS(J468="M", "Medium", J468="L", "Light", J468="D", "Dark")</f>
        <v>Dark</v>
      </c>
      <c r="P468" t="str">
        <f>_xlfn.XLOOKUP(Orders[[#This Row],[Customer ID]], customers!$A$2:$A$1001, customers!$I$2:$I$1001, 0)</f>
        <v>Yes</v>
      </c>
    </row>
    <row r="469" spans="1:16" x14ac:dyDescent="0.35">
      <c r="A469" s="2" t="s">
        <v>3130</v>
      </c>
      <c r="B469" s="3">
        <v>44536</v>
      </c>
      <c r="C469" s="2" t="s">
        <v>3131</v>
      </c>
      <c r="D469" t="s">
        <v>6158</v>
      </c>
      <c r="E469" s="2">
        <v>1</v>
      </c>
      <c r="F469" s="2" t="str" cm="1">
        <f t="array" ref="F469">_xlfn.XLOOKUP(C469, customers!$A$1:A1468, customers!$B$1:B1468, 0)</f>
        <v>Rhona Lequeux</v>
      </c>
      <c r="G469" s="2" t="str">
        <f>IF(_xlfn.XLOOKUP(C469, customers!A468:A1468, customers!C468:C1468, 0)=0, "", _xlfn.XLOOKUP(C469, customers!A468:A1468, customers!C468:C1468, 0))</f>
        <v>rlequeuxcz@newyorker.com</v>
      </c>
      <c r="H469" s="2" t="str" cm="1">
        <f t="array" ref="H469">_xlfn.XLOOKUP(C469, customers!$A$1:A1468, customers!$G$1:G1468,, 0)</f>
        <v>United States</v>
      </c>
      <c r="I469" t="str" cm="1">
        <f t="array" ref="I469">_xlfn.XLOOKUP(orders!D469, products!$A$1:A516, products!$B$1:B516, 0)</f>
        <v>Ara</v>
      </c>
      <c r="J469" t="str" cm="1">
        <f t="array" ref="J469">_xlfn.XLOOKUP(D469, products!$A$1:A516, products!$C$1:C516, 0)</f>
        <v>D</v>
      </c>
      <c r="K469" s="4" cm="1">
        <f t="array" ref="K469">_xlfn.XLOOKUP(D469, products!$A$1:A516, products!$D$1:D516, 0)</f>
        <v>0.5</v>
      </c>
      <c r="L469" s="4" cm="1">
        <f t="array" ref="L469">_xlfn.XLOOKUP(D469, products!$A$1:A516, products!$E$1:E516)</f>
        <v>5.97</v>
      </c>
      <c r="M469">
        <f t="shared" si="14"/>
        <v>5.97</v>
      </c>
      <c r="N469" t="str">
        <f t="shared" si="15"/>
        <v>Arabica</v>
      </c>
      <c r="O469" t="str" cm="1">
        <f t="array" ref="O469">_xlfn.IFS(J469="M", "Medium", J469="L", "Light", J469="D", "Dark")</f>
        <v>Dark</v>
      </c>
      <c r="P469" t="str">
        <f>_xlfn.XLOOKUP(Orders[[#This Row],[Customer ID]], customers!$A$2:$A$1001, customers!$I$2:$I$1001, 0)</f>
        <v>No</v>
      </c>
    </row>
    <row r="470" spans="1:16" x14ac:dyDescent="0.35">
      <c r="A470" s="2" t="s">
        <v>3136</v>
      </c>
      <c r="B470" s="3">
        <v>44023</v>
      </c>
      <c r="C470" s="2" t="s">
        <v>3137</v>
      </c>
      <c r="D470" t="s">
        <v>6141</v>
      </c>
      <c r="E470" s="2">
        <v>3</v>
      </c>
      <c r="F470" s="2" t="str" cm="1">
        <f t="array" ref="F470">_xlfn.XLOOKUP(C470, customers!$A$1:A1469, customers!$B$1:B1469, 0)</f>
        <v>Julius Mccaull</v>
      </c>
      <c r="G470" s="2" t="str">
        <f>IF(_xlfn.XLOOKUP(C470, customers!A469:A1469, customers!C469:C1469, 0)=0, "", _xlfn.XLOOKUP(C470, customers!A469:A1469, customers!C469:C1469, 0))</f>
        <v>jmccaulld0@parallels.com</v>
      </c>
      <c r="H470" s="2" t="str" cm="1">
        <f t="array" ref="H470">_xlfn.XLOOKUP(C470, customers!$A$1:A1469, customers!$G$1:G1469,, 0)</f>
        <v>United States</v>
      </c>
      <c r="I470" t="str" cm="1">
        <f t="array" ref="I470">_xlfn.XLOOKUP(orders!D470, products!$A$1:A517, products!$B$1:B517, 0)</f>
        <v>Exc</v>
      </c>
      <c r="J470" t="str" cm="1">
        <f t="array" ref="J470">_xlfn.XLOOKUP(D470, products!$A$1:A517, products!$C$1:C517, 0)</f>
        <v>M</v>
      </c>
      <c r="K470" s="4" cm="1">
        <f t="array" ref="K470">_xlfn.XLOOKUP(D470, products!$A$1:A517, products!$D$1:D517, 0)</f>
        <v>1</v>
      </c>
      <c r="L470" s="4" cm="1">
        <f t="array" ref="L470">_xlfn.XLOOKUP(D470, products!$A$1:A517, products!$E$1:E517)</f>
        <v>13.75</v>
      </c>
      <c r="M470">
        <f t="shared" si="14"/>
        <v>41.25</v>
      </c>
      <c r="N470" t="str">
        <f t="shared" si="15"/>
        <v>Excelsa</v>
      </c>
      <c r="O470" t="str" cm="1">
        <f t="array" ref="O470">_xlfn.IFS(J470="M", "Medium", J470="L", "Light", J470="D", "Dark")</f>
        <v>Medium</v>
      </c>
      <c r="P470" t="str">
        <f>_xlfn.XLOOKUP(Orders[[#This Row],[Customer ID]], customers!$A$2:$A$1001, customers!$I$2:$I$1001, 0)</f>
        <v>Yes</v>
      </c>
    </row>
    <row r="471" spans="1:16" x14ac:dyDescent="0.35">
      <c r="A471" s="2" t="s">
        <v>3141</v>
      </c>
      <c r="B471" s="3">
        <v>44375</v>
      </c>
      <c r="C471" s="2" t="s">
        <v>3194</v>
      </c>
      <c r="D471" t="s">
        <v>6184</v>
      </c>
      <c r="E471" s="2">
        <v>5</v>
      </c>
      <c r="F471" s="2" t="str" cm="1">
        <f t="array" ref="F471">_xlfn.XLOOKUP(C471, customers!$A$1:A1470, customers!$B$1:B1470, 0)</f>
        <v>Ailey Brash</v>
      </c>
      <c r="G471" s="2" t="str">
        <f>IF(_xlfn.XLOOKUP(C471, customers!A470:A1470, customers!C470:C1470, 0)=0, "", _xlfn.XLOOKUP(C471, customers!A470:A1470, customers!C470:C1470, 0))</f>
        <v>abrashda@plala.or.jp</v>
      </c>
      <c r="H471" s="2" t="str" cm="1">
        <f t="array" ref="H471">_xlfn.XLOOKUP(C471, customers!$A$1:A1470, customers!$G$1:G1470,, 0)</f>
        <v>United States</v>
      </c>
      <c r="I471" t="str" cm="1">
        <f t="array" ref="I471">_xlfn.XLOOKUP(orders!D471, products!$A$1:A518, products!$B$1:B518, 0)</f>
        <v>Exc</v>
      </c>
      <c r="J471" t="str" cm="1">
        <f t="array" ref="J471">_xlfn.XLOOKUP(D471, products!$A$1:A518, products!$C$1:C518, 0)</f>
        <v>L</v>
      </c>
      <c r="K471" s="4" cm="1">
        <f t="array" ref="K471">_xlfn.XLOOKUP(D471, products!$A$1:A518, products!$D$1:D518, 0)</f>
        <v>0.2</v>
      </c>
      <c r="L471" s="4" cm="1">
        <f t="array" ref="L471">_xlfn.XLOOKUP(D471, products!$A$1:A518, products!$E$1:E518)</f>
        <v>4.4550000000000001</v>
      </c>
      <c r="M471">
        <f t="shared" si="14"/>
        <v>22.274999999999999</v>
      </c>
      <c r="N471" t="str">
        <f t="shared" si="15"/>
        <v>Excelsa</v>
      </c>
      <c r="O471" t="str" cm="1">
        <f t="array" ref="O471">_xlfn.IFS(J471="M", "Medium", J471="L", "Light", J471="D", "Dark")</f>
        <v>Light</v>
      </c>
      <c r="P471" t="str">
        <f>_xlfn.XLOOKUP(Orders[[#This Row],[Customer ID]], customers!$A$2:$A$1001, customers!$I$2:$I$1001, 0)</f>
        <v>Yes</v>
      </c>
    </row>
    <row r="472" spans="1:16" x14ac:dyDescent="0.35">
      <c r="A472" s="2" t="s">
        <v>3147</v>
      </c>
      <c r="B472" s="3">
        <v>44656</v>
      </c>
      <c r="C472" s="2" t="s">
        <v>3148</v>
      </c>
      <c r="D472" t="s">
        <v>6157</v>
      </c>
      <c r="E472" s="2">
        <v>1</v>
      </c>
      <c r="F472" s="2" t="str" cm="1">
        <f t="array" ref="F472">_xlfn.XLOOKUP(C472, customers!$A$1:A1471, customers!$B$1:B1471, 0)</f>
        <v>Alberto Hutchinson</v>
      </c>
      <c r="G472" s="2" t="str">
        <f>IF(_xlfn.XLOOKUP(C472, customers!A471:A1471, customers!C471:C1471, 0)=0, "", _xlfn.XLOOKUP(C472, customers!A471:A1471, customers!C471:C1471, 0))</f>
        <v>ahutchinsond2@imgur.com</v>
      </c>
      <c r="H472" s="2" t="str" cm="1">
        <f t="array" ref="H472">_xlfn.XLOOKUP(C472, customers!$A$1:A1471, customers!$G$1:G1471,, 0)</f>
        <v>United States</v>
      </c>
      <c r="I472" t="str" cm="1">
        <f t="array" ref="I472">_xlfn.XLOOKUP(orders!D472, products!$A$1:A519, products!$B$1:B519, 0)</f>
        <v>Ara</v>
      </c>
      <c r="J472" t="str" cm="1">
        <f t="array" ref="J472">_xlfn.XLOOKUP(D472, products!$A$1:A519, products!$C$1:C519, 0)</f>
        <v>M</v>
      </c>
      <c r="K472" s="4" cm="1">
        <f t="array" ref="K472">_xlfn.XLOOKUP(D472, products!$A$1:A519, products!$D$1:D519, 0)</f>
        <v>0.5</v>
      </c>
      <c r="L472" s="4" cm="1">
        <f t="array" ref="L472">_xlfn.XLOOKUP(D472, products!$A$1:A519, products!$E$1:E519)</f>
        <v>6.75</v>
      </c>
      <c r="M472">
        <f t="shared" si="14"/>
        <v>6.75</v>
      </c>
      <c r="N472" t="str">
        <f t="shared" si="15"/>
        <v>Arabica</v>
      </c>
      <c r="O472" t="str" cm="1">
        <f t="array" ref="O472">_xlfn.IFS(J472="M", "Medium", J472="L", "Light", J472="D", "Dark")</f>
        <v>Medium</v>
      </c>
      <c r="P472" t="str">
        <f>_xlfn.XLOOKUP(Orders[[#This Row],[Customer ID]], customers!$A$2:$A$1001, customers!$I$2:$I$1001, 0)</f>
        <v>Yes</v>
      </c>
    </row>
    <row r="473" spans="1:16" x14ac:dyDescent="0.35">
      <c r="A473" s="2" t="s">
        <v>3153</v>
      </c>
      <c r="B473" s="3">
        <v>44644</v>
      </c>
      <c r="C473" s="2" t="s">
        <v>3154</v>
      </c>
      <c r="D473" t="s">
        <v>6181</v>
      </c>
      <c r="E473" s="2">
        <v>4</v>
      </c>
      <c r="F473" s="2" t="str" cm="1">
        <f t="array" ref="F473">_xlfn.XLOOKUP(C473, customers!$A$1:A1472, customers!$B$1:B1472, 0)</f>
        <v>Lamond Gheeraert</v>
      </c>
      <c r="G473" s="2" t="str">
        <f>IF(_xlfn.XLOOKUP(C473, customers!A472:A1472, customers!C472:C1472, 0)=0, "", _xlfn.XLOOKUP(C473, customers!A472:A1472, customers!C472:C1472, 0))</f>
        <v/>
      </c>
      <c r="H473" s="2" t="str" cm="1">
        <f t="array" ref="H473">_xlfn.XLOOKUP(C473, customers!$A$1:A1472, customers!$G$1:G1472,, 0)</f>
        <v>United States</v>
      </c>
      <c r="I473" t="str" cm="1">
        <f t="array" ref="I473">_xlfn.XLOOKUP(orders!D473, products!$A$1:A520, products!$B$1:B520, 0)</f>
        <v>Lib</v>
      </c>
      <c r="J473" t="str" cm="1">
        <f t="array" ref="J473">_xlfn.XLOOKUP(D473, products!$A$1:A520, products!$C$1:C520, 0)</f>
        <v>M</v>
      </c>
      <c r="K473" s="4" cm="1">
        <f t="array" ref="K473">_xlfn.XLOOKUP(D473, products!$A$1:A520, products!$D$1:D520, 0)</f>
        <v>2.5</v>
      </c>
      <c r="L473" s="4" cm="1">
        <f t="array" ref="L473">_xlfn.XLOOKUP(D473, products!$A$1:A520, products!$E$1:E520)</f>
        <v>33.464999999999996</v>
      </c>
      <c r="M473">
        <f t="shared" si="14"/>
        <v>133.85999999999999</v>
      </c>
      <c r="N473" t="str">
        <f t="shared" si="15"/>
        <v>Liberica</v>
      </c>
      <c r="O473" t="str" cm="1">
        <f t="array" ref="O473">_xlfn.IFS(J473="M", "Medium", J473="L", "Light", J473="D", "Dark")</f>
        <v>Medium</v>
      </c>
      <c r="P473" t="str">
        <f>_xlfn.XLOOKUP(Orders[[#This Row],[Customer ID]], customers!$A$2:$A$1001, customers!$I$2:$I$1001, 0)</f>
        <v>Yes</v>
      </c>
    </row>
    <row r="474" spans="1:16" x14ac:dyDescent="0.35">
      <c r="A474" s="2" t="s">
        <v>3158</v>
      </c>
      <c r="B474" s="3">
        <v>43869</v>
      </c>
      <c r="C474" s="2" t="s">
        <v>3159</v>
      </c>
      <c r="D474" t="s">
        <v>6154</v>
      </c>
      <c r="E474" s="2">
        <v>2</v>
      </c>
      <c r="F474" s="2" t="str" cm="1">
        <f t="array" ref="F474">_xlfn.XLOOKUP(C474, customers!$A$1:A1473, customers!$B$1:B1473, 0)</f>
        <v>Roxine Drivers</v>
      </c>
      <c r="G474" s="2" t="str">
        <f>IF(_xlfn.XLOOKUP(C474, customers!A473:A1473, customers!C473:C1473, 0)=0, "", _xlfn.XLOOKUP(C474, customers!A473:A1473, customers!C473:C1473, 0))</f>
        <v>rdriversd4@hexun.com</v>
      </c>
      <c r="H474" s="2" t="str" cm="1">
        <f t="array" ref="H474">_xlfn.XLOOKUP(C474, customers!$A$1:A1473, customers!$G$1:G1473,, 0)</f>
        <v>United States</v>
      </c>
      <c r="I474" t="str" cm="1">
        <f t="array" ref="I474">_xlfn.XLOOKUP(orders!D474, products!$A$1:A521, products!$B$1:B521, 0)</f>
        <v>Ara</v>
      </c>
      <c r="J474" t="str" cm="1">
        <f t="array" ref="J474">_xlfn.XLOOKUP(D474, products!$A$1:A521, products!$C$1:C521, 0)</f>
        <v>D</v>
      </c>
      <c r="K474" s="4" cm="1">
        <f t="array" ref="K474">_xlfn.XLOOKUP(D474, products!$A$1:A521, products!$D$1:D521, 0)</f>
        <v>0.2</v>
      </c>
      <c r="L474" s="4" cm="1">
        <f t="array" ref="L474">_xlfn.XLOOKUP(D474, products!$A$1:A521, products!$E$1:E521)</f>
        <v>2.9849999999999999</v>
      </c>
      <c r="M474">
        <f t="shared" si="14"/>
        <v>5.97</v>
      </c>
      <c r="N474" t="str">
        <f t="shared" si="15"/>
        <v>Arabica</v>
      </c>
      <c r="O474" t="str" cm="1">
        <f t="array" ref="O474">_xlfn.IFS(J474="M", "Medium", J474="L", "Light", J474="D", "Dark")</f>
        <v>Dark</v>
      </c>
      <c r="P474" t="str">
        <f>_xlfn.XLOOKUP(Orders[[#This Row],[Customer ID]], customers!$A$2:$A$1001, customers!$I$2:$I$1001, 0)</f>
        <v>No</v>
      </c>
    </row>
    <row r="475" spans="1:16" x14ac:dyDescent="0.35">
      <c r="A475" s="2" t="s">
        <v>3164</v>
      </c>
      <c r="B475" s="3">
        <v>44603</v>
      </c>
      <c r="C475" s="2" t="s">
        <v>3165</v>
      </c>
      <c r="D475" t="s">
        <v>6140</v>
      </c>
      <c r="E475" s="2">
        <v>2</v>
      </c>
      <c r="F475" s="2" t="str" cm="1">
        <f t="array" ref="F475">_xlfn.XLOOKUP(C475, customers!$A$1:A1474, customers!$B$1:B1474, 0)</f>
        <v>Heloise Zeal</v>
      </c>
      <c r="G475" s="2" t="str">
        <f>IF(_xlfn.XLOOKUP(C475, customers!A474:A1474, customers!C474:C1474, 0)=0, "", _xlfn.XLOOKUP(C475, customers!A474:A1474, customers!C474:C1474, 0))</f>
        <v>hzeald5@google.de</v>
      </c>
      <c r="H475" s="2" t="str" cm="1">
        <f t="array" ref="H475">_xlfn.XLOOKUP(C475, customers!$A$1:A1474, customers!$G$1:G1474,, 0)</f>
        <v>United States</v>
      </c>
      <c r="I475" t="str" cm="1">
        <f t="array" ref="I475">_xlfn.XLOOKUP(orders!D475, products!$A$1:A522, products!$B$1:B522, 0)</f>
        <v>Ara</v>
      </c>
      <c r="J475" t="str" cm="1">
        <f t="array" ref="J475">_xlfn.XLOOKUP(D475, products!$A$1:A522, products!$C$1:C522, 0)</f>
        <v>L</v>
      </c>
      <c r="K475" s="4" cm="1">
        <f t="array" ref="K475">_xlfn.XLOOKUP(D475, products!$A$1:A522, products!$D$1:D522, 0)</f>
        <v>1</v>
      </c>
      <c r="L475" s="4" cm="1">
        <f t="array" ref="L475">_xlfn.XLOOKUP(D475, products!$A$1:A522, products!$E$1:E522)</f>
        <v>12.95</v>
      </c>
      <c r="M475">
        <f t="shared" si="14"/>
        <v>25.9</v>
      </c>
      <c r="N475" t="str">
        <f t="shared" si="15"/>
        <v>Arabica</v>
      </c>
      <c r="O475" t="str" cm="1">
        <f t="array" ref="O475">_xlfn.IFS(J475="M", "Medium", J475="L", "Light", J475="D", "Dark")</f>
        <v>Light</v>
      </c>
      <c r="P475" t="str">
        <f>_xlfn.XLOOKUP(Orders[[#This Row],[Customer ID]], customers!$A$2:$A$1001, customers!$I$2:$I$1001, 0)</f>
        <v>No</v>
      </c>
    </row>
    <row r="476" spans="1:16" x14ac:dyDescent="0.35">
      <c r="A476" s="2" t="s">
        <v>3170</v>
      </c>
      <c r="B476" s="3">
        <v>44014</v>
      </c>
      <c r="C476" s="2" t="s">
        <v>3171</v>
      </c>
      <c r="D476" t="s">
        <v>6166</v>
      </c>
      <c r="E476" s="2">
        <v>1</v>
      </c>
      <c r="F476" s="2" t="str" cm="1">
        <f t="array" ref="F476">_xlfn.XLOOKUP(C476, customers!$A$1:A1475, customers!$B$1:B1475, 0)</f>
        <v>Granger Smallcombe</v>
      </c>
      <c r="G476" s="2" t="str">
        <f>IF(_xlfn.XLOOKUP(C476, customers!A475:A1475, customers!C475:C1475, 0)=0, "", _xlfn.XLOOKUP(C476, customers!A475:A1475, customers!C475:C1475, 0))</f>
        <v>gsmallcombed6@ucla.edu</v>
      </c>
      <c r="H476" s="2" t="str" cm="1">
        <f t="array" ref="H476">_xlfn.XLOOKUP(C476, customers!$A$1:A1475, customers!$G$1:G1475,, 0)</f>
        <v>Ireland</v>
      </c>
      <c r="I476" t="str" cm="1">
        <f t="array" ref="I476">_xlfn.XLOOKUP(orders!D476, products!$A$1:A523, products!$B$1:B523, 0)</f>
        <v>Exc</v>
      </c>
      <c r="J476" t="str" cm="1">
        <f t="array" ref="J476">_xlfn.XLOOKUP(D476, products!$A$1:A523, products!$C$1:C523, 0)</f>
        <v>M</v>
      </c>
      <c r="K476" s="4" cm="1">
        <f t="array" ref="K476">_xlfn.XLOOKUP(D476, products!$A$1:A523, products!$D$1:D523, 0)</f>
        <v>2.5</v>
      </c>
      <c r="L476" s="4" cm="1">
        <f t="array" ref="L476">_xlfn.XLOOKUP(D476, products!$A$1:A523, products!$E$1:E523)</f>
        <v>31.624999999999996</v>
      </c>
      <c r="M476">
        <f t="shared" si="14"/>
        <v>31.624999999999996</v>
      </c>
      <c r="N476" t="str">
        <f t="shared" si="15"/>
        <v>Excelsa</v>
      </c>
      <c r="O476" t="str" cm="1">
        <f t="array" ref="O476">_xlfn.IFS(J476="M", "Medium", J476="L", "Light", J476="D", "Dark")</f>
        <v>Medium</v>
      </c>
      <c r="P476" t="str">
        <f>_xlfn.XLOOKUP(Orders[[#This Row],[Customer ID]], customers!$A$2:$A$1001, customers!$I$2:$I$1001, 0)</f>
        <v>Yes</v>
      </c>
    </row>
    <row r="477" spans="1:16" x14ac:dyDescent="0.35">
      <c r="A477" s="2" t="s">
        <v>3176</v>
      </c>
      <c r="B477" s="3">
        <v>44767</v>
      </c>
      <c r="C477" s="2" t="s">
        <v>3177</v>
      </c>
      <c r="D477" t="s">
        <v>6159</v>
      </c>
      <c r="E477" s="2">
        <v>2</v>
      </c>
      <c r="F477" s="2" t="str" cm="1">
        <f t="array" ref="F477">_xlfn.XLOOKUP(C477, customers!$A$1:A1476, customers!$B$1:B1476, 0)</f>
        <v>Daryn Dibley</v>
      </c>
      <c r="G477" s="2" t="str">
        <f>IF(_xlfn.XLOOKUP(C477, customers!A476:A1476, customers!C476:C1476, 0)=0, "", _xlfn.XLOOKUP(C477, customers!A476:A1476, customers!C476:C1476, 0))</f>
        <v>ddibleyd7@feedburner.com</v>
      </c>
      <c r="H477" s="2" t="str" cm="1">
        <f t="array" ref="H477">_xlfn.XLOOKUP(C477, customers!$A$1:A1476, customers!$G$1:G1476,, 0)</f>
        <v>United States</v>
      </c>
      <c r="I477" t="str" cm="1">
        <f t="array" ref="I477">_xlfn.XLOOKUP(orders!D477, products!$A$1:A524, products!$B$1:B524, 0)</f>
        <v>Lib</v>
      </c>
      <c r="J477" t="str" cm="1">
        <f t="array" ref="J477">_xlfn.XLOOKUP(D477, products!$A$1:A524, products!$C$1:C524, 0)</f>
        <v>M</v>
      </c>
      <c r="K477" s="4" cm="1">
        <f t="array" ref="K477">_xlfn.XLOOKUP(D477, products!$A$1:A524, products!$D$1:D524, 0)</f>
        <v>0.2</v>
      </c>
      <c r="L477" s="4" cm="1">
        <f t="array" ref="L477">_xlfn.XLOOKUP(D477, products!$A$1:A524, products!$E$1:E524)</f>
        <v>4.3650000000000002</v>
      </c>
      <c r="M477">
        <f t="shared" si="14"/>
        <v>8.73</v>
      </c>
      <c r="N477" t="str">
        <f t="shared" si="15"/>
        <v>Liberica</v>
      </c>
      <c r="O477" t="str" cm="1">
        <f t="array" ref="O477">_xlfn.IFS(J477="M", "Medium", J477="L", "Light", J477="D", "Dark")</f>
        <v>Medium</v>
      </c>
      <c r="P477" t="str">
        <f>_xlfn.XLOOKUP(Orders[[#This Row],[Customer ID]], customers!$A$2:$A$1001, customers!$I$2:$I$1001, 0)</f>
        <v>No</v>
      </c>
    </row>
    <row r="478" spans="1:16" x14ac:dyDescent="0.35">
      <c r="A478" s="2" t="s">
        <v>3181</v>
      </c>
      <c r="B478" s="3">
        <v>44274</v>
      </c>
      <c r="C478" s="2" t="s">
        <v>3182</v>
      </c>
      <c r="D478" t="s">
        <v>6184</v>
      </c>
      <c r="E478" s="2">
        <v>6</v>
      </c>
      <c r="F478" s="2" t="str" cm="1">
        <f t="array" ref="F478">_xlfn.XLOOKUP(C478, customers!$A$1:A1477, customers!$B$1:B1477, 0)</f>
        <v>Gardy Dimitriou</v>
      </c>
      <c r="G478" s="2" t="str">
        <f>IF(_xlfn.XLOOKUP(C478, customers!A477:A1477, customers!C477:C1477, 0)=0, "", _xlfn.XLOOKUP(C478, customers!A477:A1477, customers!C477:C1477, 0))</f>
        <v>gdimitrioud8@chronoengine.com</v>
      </c>
      <c r="H478" s="2" t="str" cm="1">
        <f t="array" ref="H478">_xlfn.XLOOKUP(C478, customers!$A$1:A1477, customers!$G$1:G1477,, 0)</f>
        <v>United States</v>
      </c>
      <c r="I478" t="str" cm="1">
        <f t="array" ref="I478">_xlfn.XLOOKUP(orders!D478, products!$A$1:A525, products!$B$1:B525, 0)</f>
        <v>Exc</v>
      </c>
      <c r="J478" t="str" cm="1">
        <f t="array" ref="J478">_xlfn.XLOOKUP(D478, products!$A$1:A525, products!$C$1:C525, 0)</f>
        <v>L</v>
      </c>
      <c r="K478" s="4" cm="1">
        <f t="array" ref="K478">_xlfn.XLOOKUP(D478, products!$A$1:A525, products!$D$1:D525, 0)</f>
        <v>0.2</v>
      </c>
      <c r="L478" s="4" cm="1">
        <f t="array" ref="L478">_xlfn.XLOOKUP(D478, products!$A$1:A525, products!$E$1:E525)</f>
        <v>4.4550000000000001</v>
      </c>
      <c r="M478">
        <f t="shared" si="14"/>
        <v>26.73</v>
      </c>
      <c r="N478" t="str">
        <f t="shared" si="15"/>
        <v>Excelsa</v>
      </c>
      <c r="O478" t="str" cm="1">
        <f t="array" ref="O478">_xlfn.IFS(J478="M", "Medium", J478="L", "Light", J478="D", "Dark")</f>
        <v>Light</v>
      </c>
      <c r="P478" t="str">
        <f>_xlfn.XLOOKUP(Orders[[#This Row],[Customer ID]], customers!$A$2:$A$1001, customers!$I$2:$I$1001, 0)</f>
        <v>Yes</v>
      </c>
    </row>
    <row r="479" spans="1:16" x14ac:dyDescent="0.35">
      <c r="A479" s="2" t="s">
        <v>3187</v>
      </c>
      <c r="B479" s="3">
        <v>43962</v>
      </c>
      <c r="C479" s="2" t="s">
        <v>3188</v>
      </c>
      <c r="D479" t="s">
        <v>6159</v>
      </c>
      <c r="E479" s="2">
        <v>6</v>
      </c>
      <c r="F479" s="2" t="str" cm="1">
        <f t="array" ref="F479">_xlfn.XLOOKUP(C479, customers!$A$1:A1478, customers!$B$1:B1478, 0)</f>
        <v>Fanny Flanagan</v>
      </c>
      <c r="G479" s="2" t="str">
        <f>IF(_xlfn.XLOOKUP(C479, customers!A478:A1478, customers!C478:C1478, 0)=0, "", _xlfn.XLOOKUP(C479, customers!A478:A1478, customers!C478:C1478, 0))</f>
        <v>fflanagand9@woothemes.com</v>
      </c>
      <c r="H479" s="2" t="str" cm="1">
        <f t="array" ref="H479">_xlfn.XLOOKUP(C479, customers!$A$1:A1478, customers!$G$1:G1478,, 0)</f>
        <v>United States</v>
      </c>
      <c r="I479" t="str" cm="1">
        <f t="array" ref="I479">_xlfn.XLOOKUP(orders!D479, products!$A$1:A526, products!$B$1:B526, 0)</f>
        <v>Lib</v>
      </c>
      <c r="J479" t="str" cm="1">
        <f t="array" ref="J479">_xlfn.XLOOKUP(D479, products!$A$1:A526, products!$C$1:C526, 0)</f>
        <v>M</v>
      </c>
      <c r="K479" s="4" cm="1">
        <f t="array" ref="K479">_xlfn.XLOOKUP(D479, products!$A$1:A526, products!$D$1:D526, 0)</f>
        <v>0.2</v>
      </c>
      <c r="L479" s="4" cm="1">
        <f t="array" ref="L479">_xlfn.XLOOKUP(D479, products!$A$1:A526, products!$E$1:E526)</f>
        <v>4.3650000000000002</v>
      </c>
      <c r="M479">
        <f t="shared" si="14"/>
        <v>26.19</v>
      </c>
      <c r="N479" t="str">
        <f t="shared" si="15"/>
        <v>Liberica</v>
      </c>
      <c r="O479" t="str" cm="1">
        <f t="array" ref="O479">_xlfn.IFS(J479="M", "Medium", J479="L", "Light", J479="D", "Dark")</f>
        <v>Medium</v>
      </c>
      <c r="P479" t="str">
        <f>_xlfn.XLOOKUP(Orders[[#This Row],[Customer ID]], customers!$A$2:$A$1001, customers!$I$2:$I$1001, 0)</f>
        <v>No</v>
      </c>
    </row>
    <row r="480" spans="1:16" x14ac:dyDescent="0.35">
      <c r="A480" s="2" t="s">
        <v>3193</v>
      </c>
      <c r="B480" s="3">
        <v>43624</v>
      </c>
      <c r="C480" s="2" t="s">
        <v>3194</v>
      </c>
      <c r="D480" t="s">
        <v>6177</v>
      </c>
      <c r="E480" s="2">
        <v>6</v>
      </c>
      <c r="F480" s="2" t="str" cm="1">
        <f t="array" ref="F480">_xlfn.XLOOKUP(C480, customers!$A$1:A1479, customers!$B$1:B1479, 0)</f>
        <v>Ailey Brash</v>
      </c>
      <c r="G480" s="2" t="str">
        <f>IF(_xlfn.XLOOKUP(C480, customers!A479:A1479, customers!C479:C1479, 0)=0, "", _xlfn.XLOOKUP(C480, customers!A479:A1479, customers!C479:C1479, 0))</f>
        <v>abrashda@plala.or.jp</v>
      </c>
      <c r="H480" s="2" t="str" cm="1">
        <f t="array" ref="H480">_xlfn.XLOOKUP(C480, customers!$A$1:A1479, customers!$G$1:G1479,, 0)</f>
        <v>United States</v>
      </c>
      <c r="I480" t="str" cm="1">
        <f t="array" ref="I480">_xlfn.XLOOKUP(orders!D480, products!$A$1:A527, products!$B$1:B527, 0)</f>
        <v>Rob</v>
      </c>
      <c r="J480" t="str" cm="1">
        <f t="array" ref="J480">_xlfn.XLOOKUP(D480, products!$A$1:A527, products!$C$1:C527, 0)</f>
        <v>D</v>
      </c>
      <c r="K480" s="4" cm="1">
        <f t="array" ref="K480">_xlfn.XLOOKUP(D480, products!$A$1:A527, products!$D$1:D527, 0)</f>
        <v>1</v>
      </c>
      <c r="L480" s="4" cm="1">
        <f t="array" ref="L480">_xlfn.XLOOKUP(D480, products!$A$1:A527, products!$E$1:E527)</f>
        <v>8.9499999999999993</v>
      </c>
      <c r="M480">
        <f t="shared" si="14"/>
        <v>53.699999999999996</v>
      </c>
      <c r="N480" t="str">
        <f t="shared" si="15"/>
        <v>Robusta</v>
      </c>
      <c r="O480" t="str" cm="1">
        <f t="array" ref="O480">_xlfn.IFS(J480="M", "Medium", J480="L", "Light", J480="D", "Dark")</f>
        <v>Dark</v>
      </c>
      <c r="P480" t="str">
        <f>_xlfn.XLOOKUP(Orders[[#This Row],[Customer ID]], customers!$A$2:$A$1001, customers!$I$2:$I$1001, 0)</f>
        <v>Yes</v>
      </c>
    </row>
    <row r="481" spans="1:16" x14ac:dyDescent="0.35">
      <c r="A481" s="2" t="s">
        <v>3193</v>
      </c>
      <c r="B481" s="3">
        <v>43624</v>
      </c>
      <c r="C481" s="2" t="s">
        <v>3194</v>
      </c>
      <c r="D481" t="s">
        <v>6166</v>
      </c>
      <c r="E481" s="2">
        <v>4</v>
      </c>
      <c r="F481" s="2" t="str" cm="1">
        <f t="array" ref="F481">_xlfn.XLOOKUP(C481, customers!$A$1:A1480, customers!$B$1:B1480, 0)</f>
        <v>Ailey Brash</v>
      </c>
      <c r="G481" s="2" t="str">
        <f>IF(_xlfn.XLOOKUP(C481, customers!A480:A1480, customers!C480:C1480, 0)=0, "", _xlfn.XLOOKUP(C481, customers!A480:A1480, customers!C480:C1480, 0))</f>
        <v>abrashda@plala.or.jp</v>
      </c>
      <c r="H481" s="2" t="str" cm="1">
        <f t="array" ref="H481">_xlfn.XLOOKUP(C481, customers!$A$1:A1480, customers!$G$1:G1480,, 0)</f>
        <v>United States</v>
      </c>
      <c r="I481" t="str" cm="1">
        <f t="array" ref="I481">_xlfn.XLOOKUP(orders!D481, products!$A$1:A528, products!$B$1:B528, 0)</f>
        <v>Exc</v>
      </c>
      <c r="J481" t="str" cm="1">
        <f t="array" ref="J481">_xlfn.XLOOKUP(D481, products!$A$1:A528, products!$C$1:C528, 0)</f>
        <v>M</v>
      </c>
      <c r="K481" s="4" cm="1">
        <f t="array" ref="K481">_xlfn.XLOOKUP(D481, products!$A$1:A528, products!$D$1:D528, 0)</f>
        <v>2.5</v>
      </c>
      <c r="L481" s="4" cm="1">
        <f t="array" ref="L481">_xlfn.XLOOKUP(D481, products!$A$1:A528, products!$E$1:E528)</f>
        <v>31.624999999999996</v>
      </c>
      <c r="M481">
        <f t="shared" si="14"/>
        <v>126.49999999999999</v>
      </c>
      <c r="N481" t="str">
        <f t="shared" si="15"/>
        <v>Excelsa</v>
      </c>
      <c r="O481" t="str" cm="1">
        <f t="array" ref="O481">_xlfn.IFS(J481="M", "Medium", J481="L", "Light", J481="D", "Dark")</f>
        <v>Medium</v>
      </c>
      <c r="P481" t="str">
        <f>_xlfn.XLOOKUP(Orders[[#This Row],[Customer ID]], customers!$A$2:$A$1001, customers!$I$2:$I$1001, 0)</f>
        <v>Yes</v>
      </c>
    </row>
    <row r="482" spans="1:16" x14ac:dyDescent="0.35">
      <c r="A482" s="2" t="s">
        <v>3193</v>
      </c>
      <c r="B482" s="3">
        <v>43624</v>
      </c>
      <c r="C482" s="2" t="s">
        <v>3194</v>
      </c>
      <c r="D482" t="s">
        <v>6156</v>
      </c>
      <c r="E482" s="2">
        <v>1</v>
      </c>
      <c r="F482" s="2" t="str" cm="1">
        <f t="array" ref="F482">_xlfn.XLOOKUP(C482, customers!$A$1:A1481, customers!$B$1:B1481, 0)</f>
        <v>Ailey Brash</v>
      </c>
      <c r="G482" s="2" t="str">
        <f>IF(_xlfn.XLOOKUP(C482, customers!A481:A1481, customers!C481:C1481, 0)=0, "", _xlfn.XLOOKUP(C482, customers!A481:A1481, customers!C481:C1481, 0))</f>
        <v/>
      </c>
      <c r="H482" s="2" t="str" cm="1">
        <f t="array" ref="H482">_xlfn.XLOOKUP(C482, customers!$A$1:A1481, customers!$G$1:G1481,, 0)</f>
        <v>United States</v>
      </c>
      <c r="I482" t="str" cm="1">
        <f t="array" ref="I482">_xlfn.XLOOKUP(orders!D482, products!$A$1:A529, products!$B$1:B529, 0)</f>
        <v>Exc</v>
      </c>
      <c r="J482" t="str" cm="1">
        <f t="array" ref="J482">_xlfn.XLOOKUP(D482, products!$A$1:A529, products!$C$1:C529, 0)</f>
        <v>M</v>
      </c>
      <c r="K482" s="4" cm="1">
        <f t="array" ref="K482">_xlfn.XLOOKUP(D482, products!$A$1:A529, products!$D$1:D529, 0)</f>
        <v>0.2</v>
      </c>
      <c r="L482" s="4" cm="1">
        <f t="array" ref="L482">_xlfn.XLOOKUP(D482, products!$A$1:A529, products!$E$1:E529)</f>
        <v>4.125</v>
      </c>
      <c r="M482">
        <f t="shared" si="14"/>
        <v>4.125</v>
      </c>
      <c r="N482" t="str">
        <f t="shared" si="15"/>
        <v>Excelsa</v>
      </c>
      <c r="O482" t="str" cm="1">
        <f t="array" ref="O482">_xlfn.IFS(J482="M", "Medium", J482="L", "Light", J482="D", "Dark")</f>
        <v>Medium</v>
      </c>
      <c r="P482" t="str">
        <f>_xlfn.XLOOKUP(Orders[[#This Row],[Customer ID]], customers!$A$2:$A$1001, customers!$I$2:$I$1001, 0)</f>
        <v>Yes</v>
      </c>
    </row>
    <row r="483" spans="1:16" x14ac:dyDescent="0.35">
      <c r="A483" s="2" t="s">
        <v>3208</v>
      </c>
      <c r="B483" s="3">
        <v>43747</v>
      </c>
      <c r="C483" s="2" t="s">
        <v>3209</v>
      </c>
      <c r="D483" t="s">
        <v>6179</v>
      </c>
      <c r="E483" s="2">
        <v>2</v>
      </c>
      <c r="F483" s="2" t="str" cm="1">
        <f t="array" ref="F483">_xlfn.XLOOKUP(C483, customers!$A$1:A1482, customers!$B$1:B1482, 0)</f>
        <v>Nanny Izhakov</v>
      </c>
      <c r="G483" s="2" t="str">
        <f>IF(_xlfn.XLOOKUP(C483, customers!A482:A1482, customers!C482:C1482, 0)=0, "", _xlfn.XLOOKUP(C483, customers!A482:A1482, customers!C482:C1482, 0))</f>
        <v>nizhakovdd@aol.com</v>
      </c>
      <c r="H483" s="2" t="str" cm="1">
        <f t="array" ref="H483">_xlfn.XLOOKUP(C483, customers!$A$1:A1482, customers!$G$1:G1482,, 0)</f>
        <v>United Kingdom</v>
      </c>
      <c r="I483" t="str" cm="1">
        <f t="array" ref="I483">_xlfn.XLOOKUP(orders!D483, products!$A$1:A530, products!$B$1:B530, 0)</f>
        <v>Rob</v>
      </c>
      <c r="J483" t="str" cm="1">
        <f t="array" ref="J483">_xlfn.XLOOKUP(D483, products!$A$1:A530, products!$C$1:C530, 0)</f>
        <v>L</v>
      </c>
      <c r="K483" s="4" cm="1">
        <f t="array" ref="K483">_xlfn.XLOOKUP(D483, products!$A$1:A530, products!$D$1:D530, 0)</f>
        <v>1</v>
      </c>
      <c r="L483" s="4" cm="1">
        <f t="array" ref="L483">_xlfn.XLOOKUP(D483, products!$A$1:A530, products!$E$1:E530)</f>
        <v>11.95</v>
      </c>
      <c r="M483">
        <f t="shared" si="14"/>
        <v>23.9</v>
      </c>
      <c r="N483" t="str">
        <f t="shared" si="15"/>
        <v>Robusta</v>
      </c>
      <c r="O483" t="str" cm="1">
        <f t="array" ref="O483">_xlfn.IFS(J483="M", "Medium", J483="L", "Light", J483="D", "Dark")</f>
        <v>Light</v>
      </c>
      <c r="P483" t="str">
        <f>_xlfn.XLOOKUP(Orders[[#This Row],[Customer ID]], customers!$A$2:$A$1001, customers!$I$2:$I$1001, 0)</f>
        <v>No</v>
      </c>
    </row>
    <row r="484" spans="1:16" x14ac:dyDescent="0.35">
      <c r="A484" s="2" t="s">
        <v>3214</v>
      </c>
      <c r="B484" s="3">
        <v>44247</v>
      </c>
      <c r="C484" s="2" t="s">
        <v>3215</v>
      </c>
      <c r="D484" t="s">
        <v>6185</v>
      </c>
      <c r="E484" s="2">
        <v>5</v>
      </c>
      <c r="F484" s="2" t="str" cm="1">
        <f t="array" ref="F484">_xlfn.XLOOKUP(C484, customers!$A$1:A1483, customers!$B$1:B1483, 0)</f>
        <v>Stanly Keets</v>
      </c>
      <c r="G484" s="2" t="str">
        <f>IF(_xlfn.XLOOKUP(C484, customers!A483:A1483, customers!C483:C1483, 0)=0, "", _xlfn.XLOOKUP(C484, customers!A483:A1483, customers!C483:C1483, 0))</f>
        <v>skeetsde@answers.com</v>
      </c>
      <c r="H484" s="2" t="str" cm="1">
        <f t="array" ref="H484">_xlfn.XLOOKUP(C484, customers!$A$1:A1483, customers!$G$1:G1483,, 0)</f>
        <v>United States</v>
      </c>
      <c r="I484" t="str" cm="1">
        <f t="array" ref="I484">_xlfn.XLOOKUP(orders!D484, products!$A$1:A531, products!$B$1:B531, 0)</f>
        <v>Exc</v>
      </c>
      <c r="J484" t="str" cm="1">
        <f t="array" ref="J484">_xlfn.XLOOKUP(D484, products!$A$1:A531, products!$C$1:C531, 0)</f>
        <v>D</v>
      </c>
      <c r="K484" s="4" cm="1">
        <f t="array" ref="K484">_xlfn.XLOOKUP(D484, products!$A$1:A531, products!$D$1:D531, 0)</f>
        <v>2.5</v>
      </c>
      <c r="L484" s="4" cm="1">
        <f t="array" ref="L484">_xlfn.XLOOKUP(D484, products!$A$1:A531, products!$E$1:E531)</f>
        <v>27.945</v>
      </c>
      <c r="M484">
        <f t="shared" si="14"/>
        <v>139.72499999999999</v>
      </c>
      <c r="N484" t="str">
        <f t="shared" si="15"/>
        <v>Excelsa</v>
      </c>
      <c r="O484" t="str" cm="1">
        <f t="array" ref="O484">_xlfn.IFS(J484="M", "Medium", J484="L", "Light", J484="D", "Dark")</f>
        <v>Dark</v>
      </c>
      <c r="P484" t="str">
        <f>_xlfn.XLOOKUP(Orders[[#This Row],[Customer ID]], customers!$A$2:$A$1001, customers!$I$2:$I$1001, 0)</f>
        <v>Yes</v>
      </c>
    </row>
    <row r="485" spans="1:16" x14ac:dyDescent="0.35">
      <c r="A485" s="2" t="s">
        <v>3220</v>
      </c>
      <c r="B485" s="3">
        <v>43790</v>
      </c>
      <c r="C485" s="2" t="s">
        <v>3221</v>
      </c>
      <c r="D485" t="s">
        <v>6165</v>
      </c>
      <c r="E485" s="2">
        <v>2</v>
      </c>
      <c r="F485" s="2" t="str" cm="1">
        <f t="array" ref="F485">_xlfn.XLOOKUP(C485, customers!$A$1:A1484, customers!$B$1:B1484, 0)</f>
        <v>Orion Dyott</v>
      </c>
      <c r="G485" s="2" t="str">
        <f>IF(_xlfn.XLOOKUP(C485, customers!A484:A1484, customers!C484:C1484, 0)=0, "", _xlfn.XLOOKUP(C485, customers!A484:A1484, customers!C484:C1484, 0))</f>
        <v/>
      </c>
      <c r="H485" s="2" t="str" cm="1">
        <f t="array" ref="H485">_xlfn.XLOOKUP(C485, customers!$A$1:A1484, customers!$G$1:G1484,, 0)</f>
        <v>United States</v>
      </c>
      <c r="I485" t="str" cm="1">
        <f t="array" ref="I485">_xlfn.XLOOKUP(orders!D485, products!$A$1:A532, products!$B$1:B532, 0)</f>
        <v>Lib</v>
      </c>
      <c r="J485" t="str" cm="1">
        <f t="array" ref="J485">_xlfn.XLOOKUP(D485, products!$A$1:A532, products!$C$1:C532, 0)</f>
        <v>D</v>
      </c>
      <c r="K485" s="4" cm="1">
        <f t="array" ref="K485">_xlfn.XLOOKUP(D485, products!$A$1:A532, products!$D$1:D532, 0)</f>
        <v>2.5</v>
      </c>
      <c r="L485" s="4" cm="1">
        <f t="array" ref="L485">_xlfn.XLOOKUP(D485, products!$A$1:A532, products!$E$1:E532)</f>
        <v>29.784999999999997</v>
      </c>
      <c r="M485">
        <f t="shared" si="14"/>
        <v>59.569999999999993</v>
      </c>
      <c r="N485" t="str">
        <f t="shared" si="15"/>
        <v>Liberica</v>
      </c>
      <c r="O485" t="str" cm="1">
        <f t="array" ref="O485">_xlfn.IFS(J485="M", "Medium", J485="L", "Light", J485="D", "Dark")</f>
        <v>Dark</v>
      </c>
      <c r="P485" t="str">
        <f>_xlfn.XLOOKUP(Orders[[#This Row],[Customer ID]], customers!$A$2:$A$1001, customers!$I$2:$I$1001, 0)</f>
        <v>Yes</v>
      </c>
    </row>
    <row r="486" spans="1:16" x14ac:dyDescent="0.35">
      <c r="A486" s="2" t="s">
        <v>3225</v>
      </c>
      <c r="B486" s="3">
        <v>44479</v>
      </c>
      <c r="C486" s="2" t="s">
        <v>3226</v>
      </c>
      <c r="D486" t="s">
        <v>6161</v>
      </c>
      <c r="E486" s="2">
        <v>6</v>
      </c>
      <c r="F486" s="2" t="str" cm="1">
        <f t="array" ref="F486">_xlfn.XLOOKUP(C486, customers!$A$1:A1485, customers!$B$1:B1485, 0)</f>
        <v>Keefer Cake</v>
      </c>
      <c r="G486" s="2" t="str">
        <f>IF(_xlfn.XLOOKUP(C486, customers!A485:A1485, customers!C485:C1485, 0)=0, "", _xlfn.XLOOKUP(C486, customers!A485:A1485, customers!C485:C1485, 0))</f>
        <v>kcakedg@huffingtonpost.com</v>
      </c>
      <c r="H486" s="2" t="str" cm="1">
        <f t="array" ref="H486">_xlfn.XLOOKUP(C486, customers!$A$1:A1485, customers!$G$1:G1485,, 0)</f>
        <v>United States</v>
      </c>
      <c r="I486" t="str" cm="1">
        <f t="array" ref="I486">_xlfn.XLOOKUP(orders!D486, products!$A$1:A533, products!$B$1:B533, 0)</f>
        <v>Lib</v>
      </c>
      <c r="J486" t="str" cm="1">
        <f t="array" ref="J486">_xlfn.XLOOKUP(D486, products!$A$1:A533, products!$C$1:C533, 0)</f>
        <v>L</v>
      </c>
      <c r="K486" s="4" cm="1">
        <f t="array" ref="K486">_xlfn.XLOOKUP(D486, products!$A$1:A533, products!$D$1:D533, 0)</f>
        <v>0.5</v>
      </c>
      <c r="L486" s="4" cm="1">
        <f t="array" ref="L486">_xlfn.XLOOKUP(D486, products!$A$1:A533, products!$E$1:E533)</f>
        <v>9.51</v>
      </c>
      <c r="M486">
        <f t="shared" si="14"/>
        <v>57.06</v>
      </c>
      <c r="N486" t="str">
        <f t="shared" si="15"/>
        <v>Liberica</v>
      </c>
      <c r="O486" t="str" cm="1">
        <f t="array" ref="O486">_xlfn.IFS(J486="M", "Medium", J486="L", "Light", J486="D", "Dark")</f>
        <v>Light</v>
      </c>
      <c r="P486" t="str">
        <f>_xlfn.XLOOKUP(Orders[[#This Row],[Customer ID]], customers!$A$2:$A$1001, customers!$I$2:$I$1001, 0)</f>
        <v>No</v>
      </c>
    </row>
    <row r="487" spans="1:16" x14ac:dyDescent="0.35">
      <c r="A487" s="2" t="s">
        <v>3230</v>
      </c>
      <c r="B487" s="3">
        <v>44413</v>
      </c>
      <c r="C487" s="2" t="s">
        <v>3231</v>
      </c>
      <c r="D487" t="s">
        <v>6178</v>
      </c>
      <c r="E487" s="2">
        <v>6</v>
      </c>
      <c r="F487" s="2" t="str" cm="1">
        <f t="array" ref="F487">_xlfn.XLOOKUP(C487, customers!$A$1:A1486, customers!$B$1:B1486, 0)</f>
        <v>Morna Hansed</v>
      </c>
      <c r="G487" s="2" t="str">
        <f>IF(_xlfn.XLOOKUP(C487, customers!A486:A1486, customers!C486:C1486, 0)=0, "", _xlfn.XLOOKUP(C487, customers!A486:A1486, customers!C486:C1486, 0))</f>
        <v>mhanseddh@instagram.com</v>
      </c>
      <c r="H487" s="2" t="str" cm="1">
        <f t="array" ref="H487">_xlfn.XLOOKUP(C487, customers!$A$1:A1486, customers!$G$1:G1486,, 0)</f>
        <v>Ireland</v>
      </c>
      <c r="I487" t="str" cm="1">
        <f t="array" ref="I487">_xlfn.XLOOKUP(orders!D487, products!$A$1:A534, products!$B$1:B534, 0)</f>
        <v>Rob</v>
      </c>
      <c r="J487" t="str" cm="1">
        <f t="array" ref="J487">_xlfn.XLOOKUP(D487, products!$A$1:A534, products!$C$1:C534, 0)</f>
        <v>L</v>
      </c>
      <c r="K487" s="4" cm="1">
        <f t="array" ref="K487">_xlfn.XLOOKUP(D487, products!$A$1:A534, products!$D$1:D534, 0)</f>
        <v>0.2</v>
      </c>
      <c r="L487" s="4" cm="1">
        <f t="array" ref="L487">_xlfn.XLOOKUP(D487, products!$A$1:A534, products!$E$1:E534)</f>
        <v>3.5849999999999995</v>
      </c>
      <c r="M487">
        <f t="shared" si="14"/>
        <v>21.509999999999998</v>
      </c>
      <c r="N487" t="str">
        <f t="shared" si="15"/>
        <v>Robusta</v>
      </c>
      <c r="O487" t="str" cm="1">
        <f t="array" ref="O487">_xlfn.IFS(J487="M", "Medium", J487="L", "Light", J487="D", "Dark")</f>
        <v>Light</v>
      </c>
      <c r="P487" t="str">
        <f>_xlfn.XLOOKUP(Orders[[#This Row],[Customer ID]], customers!$A$2:$A$1001, customers!$I$2:$I$1001, 0)</f>
        <v>Yes</v>
      </c>
    </row>
    <row r="488" spans="1:16" x14ac:dyDescent="0.35">
      <c r="A488" s="2" t="s">
        <v>3236</v>
      </c>
      <c r="B488" s="3">
        <v>44043</v>
      </c>
      <c r="C488" s="2" t="s">
        <v>3237</v>
      </c>
      <c r="D488" t="s">
        <v>6160</v>
      </c>
      <c r="E488" s="2">
        <v>6</v>
      </c>
      <c r="F488" s="2" t="str" cm="1">
        <f t="array" ref="F488">_xlfn.XLOOKUP(C488, customers!$A$1:A1487, customers!$B$1:B1487, 0)</f>
        <v>Franny Kienlein</v>
      </c>
      <c r="G488" s="2" t="str">
        <f>IF(_xlfn.XLOOKUP(C488, customers!A487:A1487, customers!C487:C1487, 0)=0, "", _xlfn.XLOOKUP(C488, customers!A487:A1487, customers!C487:C1487, 0))</f>
        <v>fkienleindi@trellian.com</v>
      </c>
      <c r="H488" s="2" t="str" cm="1">
        <f t="array" ref="H488">_xlfn.XLOOKUP(C488, customers!$A$1:A1487, customers!$G$1:G1487,, 0)</f>
        <v>Ireland</v>
      </c>
      <c r="I488" t="str" cm="1">
        <f t="array" ref="I488">_xlfn.XLOOKUP(orders!D488, products!$A$1:A535, products!$B$1:B535, 0)</f>
        <v>Lib</v>
      </c>
      <c r="J488" t="str" cm="1">
        <f t="array" ref="J488">_xlfn.XLOOKUP(D488, products!$A$1:A535, products!$C$1:C535, 0)</f>
        <v>M</v>
      </c>
      <c r="K488" s="4" cm="1">
        <f t="array" ref="K488">_xlfn.XLOOKUP(D488, products!$A$1:A535, products!$D$1:D535, 0)</f>
        <v>0.5</v>
      </c>
      <c r="L488" s="4" cm="1">
        <f t="array" ref="L488">_xlfn.XLOOKUP(D488, products!$A$1:A535, products!$E$1:E535)</f>
        <v>8.73</v>
      </c>
      <c r="M488">
        <f t="shared" si="14"/>
        <v>52.38</v>
      </c>
      <c r="N488" t="str">
        <f t="shared" si="15"/>
        <v>Liberica</v>
      </c>
      <c r="O488" t="str" cm="1">
        <f t="array" ref="O488">_xlfn.IFS(J488="M", "Medium", J488="L", "Light", J488="D", "Dark")</f>
        <v>Medium</v>
      </c>
      <c r="P488" t="str">
        <f>_xlfn.XLOOKUP(Orders[[#This Row],[Customer ID]], customers!$A$2:$A$1001, customers!$I$2:$I$1001, 0)</f>
        <v>Yes</v>
      </c>
    </row>
    <row r="489" spans="1:16" x14ac:dyDescent="0.35">
      <c r="A489" s="2" t="s">
        <v>3242</v>
      </c>
      <c r="B489" s="3">
        <v>44093</v>
      </c>
      <c r="C489" s="2" t="s">
        <v>3243</v>
      </c>
      <c r="D489" t="s">
        <v>6183</v>
      </c>
      <c r="E489" s="2">
        <v>6</v>
      </c>
      <c r="F489" s="2" t="str" cm="1">
        <f t="array" ref="F489">_xlfn.XLOOKUP(C489, customers!$A$1:A1488, customers!$B$1:B1488, 0)</f>
        <v>Klarika Egglestone</v>
      </c>
      <c r="G489" s="2" t="str">
        <f>IF(_xlfn.XLOOKUP(C489, customers!A488:A1488, customers!C488:C1488, 0)=0, "", _xlfn.XLOOKUP(C489, customers!A488:A1488, customers!C488:C1488, 0))</f>
        <v>kegglestonedj@sphinn.com</v>
      </c>
      <c r="H489" s="2" t="str" cm="1">
        <f t="array" ref="H489">_xlfn.XLOOKUP(C489, customers!$A$1:A1488, customers!$G$1:G1488,, 0)</f>
        <v>Ireland</v>
      </c>
      <c r="I489" t="str" cm="1">
        <f t="array" ref="I489">_xlfn.XLOOKUP(orders!D489, products!$A$1:A536, products!$B$1:B536, 0)</f>
        <v>Exc</v>
      </c>
      <c r="J489" t="str" cm="1">
        <f t="array" ref="J489">_xlfn.XLOOKUP(D489, products!$A$1:A536, products!$C$1:C536, 0)</f>
        <v>D</v>
      </c>
      <c r="K489" s="4" cm="1">
        <f t="array" ref="K489">_xlfn.XLOOKUP(D489, products!$A$1:A536, products!$D$1:D536, 0)</f>
        <v>1</v>
      </c>
      <c r="L489" s="4" cm="1">
        <f t="array" ref="L489">_xlfn.XLOOKUP(D489, products!$A$1:A536, products!$E$1:E536)</f>
        <v>12.15</v>
      </c>
      <c r="M489">
        <f t="shared" si="14"/>
        <v>72.900000000000006</v>
      </c>
      <c r="N489" t="str">
        <f t="shared" si="15"/>
        <v>Excelsa</v>
      </c>
      <c r="O489" t="str" cm="1">
        <f t="array" ref="O489">_xlfn.IFS(J489="M", "Medium", J489="L", "Light", J489="D", "Dark")</f>
        <v>Dark</v>
      </c>
      <c r="P489" t="str">
        <f>_xlfn.XLOOKUP(Orders[[#This Row],[Customer ID]], customers!$A$2:$A$1001, customers!$I$2:$I$1001, 0)</f>
        <v>No</v>
      </c>
    </row>
    <row r="490" spans="1:16" x14ac:dyDescent="0.35">
      <c r="A490" s="2" t="s">
        <v>3248</v>
      </c>
      <c r="B490" s="3">
        <v>43954</v>
      </c>
      <c r="C490" s="2" t="s">
        <v>3249</v>
      </c>
      <c r="D490" t="s">
        <v>6174</v>
      </c>
      <c r="E490" s="2">
        <v>5</v>
      </c>
      <c r="F490" s="2" t="str" cm="1">
        <f t="array" ref="F490">_xlfn.XLOOKUP(C490, customers!$A$1:A1489, customers!$B$1:B1489, 0)</f>
        <v>Becky Semkins</v>
      </c>
      <c r="G490" s="2" t="str">
        <f>IF(_xlfn.XLOOKUP(C490, customers!A489:A1489, customers!C489:C1489, 0)=0, "", _xlfn.XLOOKUP(C490, customers!A489:A1489, customers!C489:C1489, 0))</f>
        <v>bsemkinsdk@unc.edu</v>
      </c>
      <c r="H490" s="2" t="str" cm="1">
        <f t="array" ref="H490">_xlfn.XLOOKUP(C490, customers!$A$1:A1489, customers!$G$1:G1489,, 0)</f>
        <v>Ireland</v>
      </c>
      <c r="I490" t="str" cm="1">
        <f t="array" ref="I490">_xlfn.XLOOKUP(orders!D490, products!$A$1:A537, products!$B$1:B537, 0)</f>
        <v>Rob</v>
      </c>
      <c r="J490" t="str" cm="1">
        <f t="array" ref="J490">_xlfn.XLOOKUP(D490, products!$A$1:A537, products!$C$1:C537, 0)</f>
        <v>M</v>
      </c>
      <c r="K490" s="4" cm="1">
        <f t="array" ref="K490">_xlfn.XLOOKUP(D490, products!$A$1:A537, products!$D$1:D537, 0)</f>
        <v>0.2</v>
      </c>
      <c r="L490" s="4" cm="1">
        <f t="array" ref="L490">_xlfn.XLOOKUP(D490, products!$A$1:A537, products!$E$1:E537)</f>
        <v>2.9849999999999999</v>
      </c>
      <c r="M490">
        <f t="shared" si="14"/>
        <v>14.924999999999999</v>
      </c>
      <c r="N490" t="str">
        <f t="shared" si="15"/>
        <v>Robusta</v>
      </c>
      <c r="O490" t="str" cm="1">
        <f t="array" ref="O490">_xlfn.IFS(J490="M", "Medium", J490="L", "Light", J490="D", "Dark")</f>
        <v>Medium</v>
      </c>
      <c r="P490" t="str">
        <f>_xlfn.XLOOKUP(Orders[[#This Row],[Customer ID]], customers!$A$2:$A$1001, customers!$I$2:$I$1001, 0)</f>
        <v>Yes</v>
      </c>
    </row>
    <row r="491" spans="1:16" x14ac:dyDescent="0.35">
      <c r="A491" s="2" t="s">
        <v>3254</v>
      </c>
      <c r="B491" s="3">
        <v>43654</v>
      </c>
      <c r="C491" s="2" t="s">
        <v>3255</v>
      </c>
      <c r="D491" t="s">
        <v>6170</v>
      </c>
      <c r="E491" s="2">
        <v>6</v>
      </c>
      <c r="F491" s="2" t="str" cm="1">
        <f t="array" ref="F491">_xlfn.XLOOKUP(C491, customers!$A$1:A1490, customers!$B$1:B1490, 0)</f>
        <v>Sean Lorenzetti</v>
      </c>
      <c r="G491" s="2" t="str">
        <f>IF(_xlfn.XLOOKUP(C491, customers!A490:A1490, customers!C490:C1490, 0)=0, "", _xlfn.XLOOKUP(C491, customers!A490:A1490, customers!C490:C1490, 0))</f>
        <v>slorenzettidl@is.gd</v>
      </c>
      <c r="H491" s="2" t="str" cm="1">
        <f t="array" ref="H491">_xlfn.XLOOKUP(C491, customers!$A$1:A1490, customers!$G$1:G1490,, 0)</f>
        <v>United States</v>
      </c>
      <c r="I491" t="str" cm="1">
        <f t="array" ref="I491">_xlfn.XLOOKUP(orders!D491, products!$A$1:A538, products!$B$1:B538, 0)</f>
        <v>Lib</v>
      </c>
      <c r="J491" t="str" cm="1">
        <f t="array" ref="J491">_xlfn.XLOOKUP(D491, products!$A$1:A538, products!$C$1:C538, 0)</f>
        <v>L</v>
      </c>
      <c r="K491" s="4" cm="1">
        <f t="array" ref="K491">_xlfn.XLOOKUP(D491, products!$A$1:A538, products!$D$1:D538, 0)</f>
        <v>1</v>
      </c>
      <c r="L491" s="4" cm="1">
        <f t="array" ref="L491">_xlfn.XLOOKUP(D491, products!$A$1:A538, products!$E$1:E538)</f>
        <v>15.85</v>
      </c>
      <c r="M491">
        <f t="shared" si="14"/>
        <v>95.1</v>
      </c>
      <c r="N491" t="str">
        <f t="shared" si="15"/>
        <v>Liberica</v>
      </c>
      <c r="O491" t="str" cm="1">
        <f t="array" ref="O491">_xlfn.IFS(J491="M", "Medium", J491="L", "Light", J491="D", "Dark")</f>
        <v>Light</v>
      </c>
      <c r="P491" t="str">
        <f>_xlfn.XLOOKUP(Orders[[#This Row],[Customer ID]], customers!$A$2:$A$1001, customers!$I$2:$I$1001, 0)</f>
        <v>No</v>
      </c>
    </row>
    <row r="492" spans="1:16" x14ac:dyDescent="0.35">
      <c r="A492" s="2" t="s">
        <v>3260</v>
      </c>
      <c r="B492" s="3">
        <v>43764</v>
      </c>
      <c r="C492" s="2" t="s">
        <v>3261</v>
      </c>
      <c r="D492" t="s">
        <v>6169</v>
      </c>
      <c r="E492" s="2">
        <v>2</v>
      </c>
      <c r="F492" s="2" t="str" cm="1">
        <f t="array" ref="F492">_xlfn.XLOOKUP(C492, customers!$A$1:A1491, customers!$B$1:B1491, 0)</f>
        <v>Bob Giannazzi</v>
      </c>
      <c r="G492" s="2" t="str">
        <f>IF(_xlfn.XLOOKUP(C492, customers!A491:A1491, customers!C491:C1491, 0)=0, "", _xlfn.XLOOKUP(C492, customers!A491:A1491, customers!C491:C1491, 0))</f>
        <v>bgiannazzidm@apple.com</v>
      </c>
      <c r="H492" s="2" t="str" cm="1">
        <f t="array" ref="H492">_xlfn.XLOOKUP(C492, customers!$A$1:A1491, customers!$G$1:G1491,, 0)</f>
        <v>United States</v>
      </c>
      <c r="I492" t="str" cm="1">
        <f t="array" ref="I492">_xlfn.XLOOKUP(orders!D492, products!$A$1:A539, products!$B$1:B539, 0)</f>
        <v>Lib</v>
      </c>
      <c r="J492" t="str" cm="1">
        <f t="array" ref="J492">_xlfn.XLOOKUP(D492, products!$A$1:A539, products!$C$1:C539, 0)</f>
        <v>D</v>
      </c>
      <c r="K492" s="4" cm="1">
        <f t="array" ref="K492">_xlfn.XLOOKUP(D492, products!$A$1:A539, products!$D$1:D539, 0)</f>
        <v>0.5</v>
      </c>
      <c r="L492" s="4" cm="1">
        <f t="array" ref="L492">_xlfn.XLOOKUP(D492, products!$A$1:A539, products!$E$1:E539)</f>
        <v>7.77</v>
      </c>
      <c r="M492">
        <f t="shared" si="14"/>
        <v>15.54</v>
      </c>
      <c r="N492" t="str">
        <f t="shared" si="15"/>
        <v>Liberica</v>
      </c>
      <c r="O492" t="str" cm="1">
        <f t="array" ref="O492">_xlfn.IFS(J492="M", "Medium", J492="L", "Light", J492="D", "Dark")</f>
        <v>Dark</v>
      </c>
      <c r="P492" t="str">
        <f>_xlfn.XLOOKUP(Orders[[#This Row],[Customer ID]], customers!$A$2:$A$1001, customers!$I$2:$I$1001, 0)</f>
        <v>No</v>
      </c>
    </row>
    <row r="493" spans="1:16" x14ac:dyDescent="0.35">
      <c r="A493" s="2" t="s">
        <v>3266</v>
      </c>
      <c r="B493" s="3">
        <v>44101</v>
      </c>
      <c r="C493" s="2" t="s">
        <v>3267</v>
      </c>
      <c r="D493" t="s">
        <v>6150</v>
      </c>
      <c r="E493" s="2">
        <v>6</v>
      </c>
      <c r="F493" s="2" t="str" cm="1">
        <f t="array" ref="F493">_xlfn.XLOOKUP(C493, customers!$A$1:A1492, customers!$B$1:B1492, 0)</f>
        <v>Kendra Backshell</v>
      </c>
      <c r="G493" s="2" t="str">
        <f>IF(_xlfn.XLOOKUP(C493, customers!A492:A1492, customers!C492:C1492, 0)=0, "", _xlfn.XLOOKUP(C493, customers!A492:A1492, customers!C492:C1492, 0))</f>
        <v/>
      </c>
      <c r="H493" s="2" t="str" cm="1">
        <f t="array" ref="H493">_xlfn.XLOOKUP(C493, customers!$A$1:A1492, customers!$G$1:G1492,, 0)</f>
        <v>United States</v>
      </c>
      <c r="I493" t="str" cm="1">
        <f t="array" ref="I493">_xlfn.XLOOKUP(orders!D493, products!$A$1:A540, products!$B$1:B540, 0)</f>
        <v>Lib</v>
      </c>
      <c r="J493" t="str" cm="1">
        <f t="array" ref="J493">_xlfn.XLOOKUP(D493, products!$A$1:A540, products!$C$1:C540, 0)</f>
        <v>D</v>
      </c>
      <c r="K493" s="4" cm="1">
        <f t="array" ref="K493">_xlfn.XLOOKUP(D493, products!$A$1:A540, products!$D$1:D540, 0)</f>
        <v>0.2</v>
      </c>
      <c r="L493" s="4" cm="1">
        <f t="array" ref="L493">_xlfn.XLOOKUP(D493, products!$A$1:A540, products!$E$1:E540)</f>
        <v>3.8849999999999998</v>
      </c>
      <c r="M493">
        <f t="shared" si="14"/>
        <v>23.31</v>
      </c>
      <c r="N493" t="str">
        <f t="shared" si="15"/>
        <v>Liberica</v>
      </c>
      <c r="O493" t="str" cm="1">
        <f t="array" ref="O493">_xlfn.IFS(J493="M", "Medium", J493="L", "Light", J493="D", "Dark")</f>
        <v>Dark</v>
      </c>
      <c r="P493" t="str">
        <f>_xlfn.XLOOKUP(Orders[[#This Row],[Customer ID]], customers!$A$2:$A$1001, customers!$I$2:$I$1001, 0)</f>
        <v>No</v>
      </c>
    </row>
    <row r="494" spans="1:16" x14ac:dyDescent="0.35">
      <c r="A494" s="2" t="s">
        <v>3271</v>
      </c>
      <c r="B494" s="3">
        <v>44620</v>
      </c>
      <c r="C494" s="2" t="s">
        <v>3272</v>
      </c>
      <c r="D494" t="s">
        <v>6156</v>
      </c>
      <c r="E494" s="2">
        <v>1</v>
      </c>
      <c r="F494" s="2" t="str" cm="1">
        <f t="array" ref="F494">_xlfn.XLOOKUP(C494, customers!$A$1:A1493, customers!$B$1:B1493, 0)</f>
        <v>Uriah Lethbrig</v>
      </c>
      <c r="G494" s="2" t="str">
        <f>IF(_xlfn.XLOOKUP(C494, customers!A493:A1493, customers!C493:C1493, 0)=0, "", _xlfn.XLOOKUP(C494, customers!A493:A1493, customers!C493:C1493, 0))</f>
        <v>ulethbrigdo@hc360.com</v>
      </c>
      <c r="H494" s="2" t="str" cm="1">
        <f t="array" ref="H494">_xlfn.XLOOKUP(C494, customers!$A$1:A1493, customers!$G$1:G1493,, 0)</f>
        <v>United States</v>
      </c>
      <c r="I494" t="str" cm="1">
        <f t="array" ref="I494">_xlfn.XLOOKUP(orders!D494, products!$A$1:A541, products!$B$1:B541, 0)</f>
        <v>Exc</v>
      </c>
      <c r="J494" t="str" cm="1">
        <f t="array" ref="J494">_xlfn.XLOOKUP(D494, products!$A$1:A541, products!$C$1:C541, 0)</f>
        <v>M</v>
      </c>
      <c r="K494" s="4" cm="1">
        <f t="array" ref="K494">_xlfn.XLOOKUP(D494, products!$A$1:A541, products!$D$1:D541, 0)</f>
        <v>0.2</v>
      </c>
      <c r="L494" s="4" cm="1">
        <f t="array" ref="L494">_xlfn.XLOOKUP(D494, products!$A$1:A541, products!$E$1:E541)</f>
        <v>4.125</v>
      </c>
      <c r="M494">
        <f t="shared" si="14"/>
        <v>4.125</v>
      </c>
      <c r="N494" t="str">
        <f t="shared" si="15"/>
        <v>Excelsa</v>
      </c>
      <c r="O494" t="str" cm="1">
        <f t="array" ref="O494">_xlfn.IFS(J494="M", "Medium", J494="L", "Light", J494="D", "Dark")</f>
        <v>Medium</v>
      </c>
      <c r="P494" t="str">
        <f>_xlfn.XLOOKUP(Orders[[#This Row],[Customer ID]], customers!$A$2:$A$1001, customers!$I$2:$I$1001, 0)</f>
        <v>Yes</v>
      </c>
    </row>
    <row r="495" spans="1:16" x14ac:dyDescent="0.35">
      <c r="A495" s="2" t="s">
        <v>3277</v>
      </c>
      <c r="B495" s="3">
        <v>44090</v>
      </c>
      <c r="C495" s="2" t="s">
        <v>3278</v>
      </c>
      <c r="D495" t="s">
        <v>6146</v>
      </c>
      <c r="E495" s="2">
        <v>6</v>
      </c>
      <c r="F495" s="2" t="str" cm="1">
        <f t="array" ref="F495">_xlfn.XLOOKUP(C495, customers!$A$1:A1494, customers!$B$1:B1494, 0)</f>
        <v>Sky Farnish</v>
      </c>
      <c r="G495" s="2" t="str">
        <f>IF(_xlfn.XLOOKUP(C495, customers!A494:A1494, customers!C494:C1494, 0)=0, "", _xlfn.XLOOKUP(C495, customers!A494:A1494, customers!C494:C1494, 0))</f>
        <v>sfarnishdp@dmoz.org</v>
      </c>
      <c r="H495" s="2" t="str" cm="1">
        <f t="array" ref="H495">_xlfn.XLOOKUP(C495, customers!$A$1:A1494, customers!$G$1:G1494,, 0)</f>
        <v>United Kingdom</v>
      </c>
      <c r="I495" t="str" cm="1">
        <f t="array" ref="I495">_xlfn.XLOOKUP(orders!D495, products!$A$1:A542, products!$B$1:B542, 0)</f>
        <v>Rob</v>
      </c>
      <c r="J495" t="str" cm="1">
        <f t="array" ref="J495">_xlfn.XLOOKUP(D495, products!$A$1:A542, products!$C$1:C542, 0)</f>
        <v>M</v>
      </c>
      <c r="K495" s="4" cm="1">
        <f t="array" ref="K495">_xlfn.XLOOKUP(D495, products!$A$1:A542, products!$D$1:D542, 0)</f>
        <v>0.5</v>
      </c>
      <c r="L495" s="4" cm="1">
        <f t="array" ref="L495">_xlfn.XLOOKUP(D495, products!$A$1:A542, products!$E$1:E542)</f>
        <v>5.97</v>
      </c>
      <c r="M495">
        <f t="shared" si="14"/>
        <v>35.82</v>
      </c>
      <c r="N495" t="str">
        <f t="shared" si="15"/>
        <v>Robusta</v>
      </c>
      <c r="O495" t="str" cm="1">
        <f t="array" ref="O495">_xlfn.IFS(J495="M", "Medium", J495="L", "Light", J495="D", "Dark")</f>
        <v>Medium</v>
      </c>
      <c r="P495" t="str">
        <f>_xlfn.XLOOKUP(Orders[[#This Row],[Customer ID]], customers!$A$2:$A$1001, customers!$I$2:$I$1001, 0)</f>
        <v>No</v>
      </c>
    </row>
    <row r="496" spans="1:16" x14ac:dyDescent="0.35">
      <c r="A496" s="2" t="s">
        <v>3283</v>
      </c>
      <c r="B496" s="3">
        <v>44132</v>
      </c>
      <c r="C496" s="2" t="s">
        <v>3284</v>
      </c>
      <c r="D496" t="s">
        <v>6170</v>
      </c>
      <c r="E496" s="2">
        <v>2</v>
      </c>
      <c r="F496" s="2" t="str" cm="1">
        <f t="array" ref="F496">_xlfn.XLOOKUP(C496, customers!$A$1:A1495, customers!$B$1:B1495, 0)</f>
        <v>Felicia Jecock</v>
      </c>
      <c r="G496" s="2" t="str">
        <f>IF(_xlfn.XLOOKUP(C496, customers!A495:A1495, customers!C495:C1495, 0)=0, "", _xlfn.XLOOKUP(C496, customers!A495:A1495, customers!C495:C1495, 0))</f>
        <v>fjecockdq@unicef.org</v>
      </c>
      <c r="H496" s="2" t="str" cm="1">
        <f t="array" ref="H496">_xlfn.XLOOKUP(C496, customers!$A$1:A1495, customers!$G$1:G1495,, 0)</f>
        <v>United States</v>
      </c>
      <c r="I496" t="str" cm="1">
        <f t="array" ref="I496">_xlfn.XLOOKUP(orders!D496, products!$A$1:A543, products!$B$1:B543, 0)</f>
        <v>Lib</v>
      </c>
      <c r="J496" t="str" cm="1">
        <f t="array" ref="J496">_xlfn.XLOOKUP(D496, products!$A$1:A543, products!$C$1:C543, 0)</f>
        <v>L</v>
      </c>
      <c r="K496" s="4" cm="1">
        <f t="array" ref="K496">_xlfn.XLOOKUP(D496, products!$A$1:A543, products!$D$1:D543, 0)</f>
        <v>1</v>
      </c>
      <c r="L496" s="4" cm="1">
        <f t="array" ref="L496">_xlfn.XLOOKUP(D496, products!$A$1:A543, products!$E$1:E543)</f>
        <v>15.85</v>
      </c>
      <c r="M496">
        <f t="shared" si="14"/>
        <v>31.7</v>
      </c>
      <c r="N496" t="str">
        <f t="shared" si="15"/>
        <v>Liberica</v>
      </c>
      <c r="O496" t="str" cm="1">
        <f t="array" ref="O496">_xlfn.IFS(J496="M", "Medium", J496="L", "Light", J496="D", "Dark")</f>
        <v>Light</v>
      </c>
      <c r="P496" t="str">
        <f>_xlfn.XLOOKUP(Orders[[#This Row],[Customer ID]], customers!$A$2:$A$1001, customers!$I$2:$I$1001, 0)</f>
        <v>No</v>
      </c>
    </row>
    <row r="497" spans="1:16" x14ac:dyDescent="0.35">
      <c r="A497" s="2" t="s">
        <v>3289</v>
      </c>
      <c r="B497" s="3">
        <v>43710</v>
      </c>
      <c r="C497" s="2" t="s">
        <v>3290</v>
      </c>
      <c r="D497" t="s">
        <v>6170</v>
      </c>
      <c r="E497" s="2">
        <v>5</v>
      </c>
      <c r="F497" s="2" t="str" cm="1">
        <f t="array" ref="F497">_xlfn.XLOOKUP(C497, customers!$A$1:A1496, customers!$B$1:B1496, 0)</f>
        <v>Currey MacAllister</v>
      </c>
      <c r="G497" s="2" t="str">
        <f>IF(_xlfn.XLOOKUP(C497, customers!A496:A1496, customers!C496:C1496, 0)=0, "", _xlfn.XLOOKUP(C497, customers!A496:A1496, customers!C496:C1496, 0))</f>
        <v/>
      </c>
      <c r="H497" s="2" t="str" cm="1">
        <f t="array" ref="H497">_xlfn.XLOOKUP(C497, customers!$A$1:A1496, customers!$G$1:G1496,, 0)</f>
        <v>United States</v>
      </c>
      <c r="I497" t="str" cm="1">
        <f t="array" ref="I497">_xlfn.XLOOKUP(orders!D497, products!$A$1:A544, products!$B$1:B544, 0)</f>
        <v>Lib</v>
      </c>
      <c r="J497" t="str" cm="1">
        <f t="array" ref="J497">_xlfn.XLOOKUP(D497, products!$A$1:A544, products!$C$1:C544, 0)</f>
        <v>L</v>
      </c>
      <c r="K497" s="4" cm="1">
        <f t="array" ref="K497">_xlfn.XLOOKUP(D497, products!$A$1:A544, products!$D$1:D544, 0)</f>
        <v>1</v>
      </c>
      <c r="L497" s="4" cm="1">
        <f t="array" ref="L497">_xlfn.XLOOKUP(D497, products!$A$1:A544, products!$E$1:E544)</f>
        <v>15.85</v>
      </c>
      <c r="M497">
        <f t="shared" si="14"/>
        <v>79.25</v>
      </c>
      <c r="N497" t="str">
        <f t="shared" si="15"/>
        <v>Liberica</v>
      </c>
      <c r="O497" t="str" cm="1">
        <f t="array" ref="O497">_xlfn.IFS(J497="M", "Medium", J497="L", "Light", J497="D", "Dark")</f>
        <v>Light</v>
      </c>
      <c r="P497" t="str">
        <f>_xlfn.XLOOKUP(Orders[[#This Row],[Customer ID]], customers!$A$2:$A$1001, customers!$I$2:$I$1001, 0)</f>
        <v>Yes</v>
      </c>
    </row>
    <row r="498" spans="1:16" x14ac:dyDescent="0.35">
      <c r="A498" s="2" t="s">
        <v>3294</v>
      </c>
      <c r="B498" s="3">
        <v>44438</v>
      </c>
      <c r="C498" s="2" t="s">
        <v>3295</v>
      </c>
      <c r="D498" t="s">
        <v>6153</v>
      </c>
      <c r="E498" s="2">
        <v>3</v>
      </c>
      <c r="F498" s="2" t="str" cm="1">
        <f t="array" ref="F498">_xlfn.XLOOKUP(C498, customers!$A$1:A1497, customers!$B$1:B1497, 0)</f>
        <v>Hamlen Pallister</v>
      </c>
      <c r="G498" s="2" t="str">
        <f>IF(_xlfn.XLOOKUP(C498, customers!A497:A1497, customers!C497:C1497, 0)=0, "", _xlfn.XLOOKUP(C498, customers!A497:A1497, customers!C497:C1497, 0))</f>
        <v>hpallisterds@ning.com</v>
      </c>
      <c r="H498" s="2" t="str" cm="1">
        <f t="array" ref="H498">_xlfn.XLOOKUP(C498, customers!$A$1:A1497, customers!$G$1:G1497,, 0)</f>
        <v>United States</v>
      </c>
      <c r="I498" t="str" cm="1">
        <f t="array" ref="I498">_xlfn.XLOOKUP(orders!D498, products!$A$1:A545, products!$B$1:B545, 0)</f>
        <v>Exc</v>
      </c>
      <c r="J498" t="str" cm="1">
        <f t="array" ref="J498">_xlfn.XLOOKUP(D498, products!$A$1:A545, products!$C$1:C545, 0)</f>
        <v>D</v>
      </c>
      <c r="K498" s="4" cm="1">
        <f t="array" ref="K498">_xlfn.XLOOKUP(D498, products!$A$1:A545, products!$D$1:D545, 0)</f>
        <v>0.2</v>
      </c>
      <c r="L498" s="4" cm="1">
        <f t="array" ref="L498">_xlfn.XLOOKUP(D498, products!$A$1:A545, products!$E$1:E545)</f>
        <v>3.645</v>
      </c>
      <c r="M498">
        <f t="shared" si="14"/>
        <v>10.935</v>
      </c>
      <c r="N498" t="str">
        <f t="shared" si="15"/>
        <v>Excelsa</v>
      </c>
      <c r="O498" t="str" cm="1">
        <f t="array" ref="O498">_xlfn.IFS(J498="M", "Medium", J498="L", "Light", J498="D", "Dark")</f>
        <v>Dark</v>
      </c>
      <c r="P498" t="str">
        <f>_xlfn.XLOOKUP(Orders[[#This Row],[Customer ID]], customers!$A$2:$A$1001, customers!$I$2:$I$1001, 0)</f>
        <v>No</v>
      </c>
    </row>
    <row r="499" spans="1:16" x14ac:dyDescent="0.35">
      <c r="A499" s="2" t="s">
        <v>3300</v>
      </c>
      <c r="B499" s="3">
        <v>44351</v>
      </c>
      <c r="C499" s="2" t="s">
        <v>3301</v>
      </c>
      <c r="D499" t="s">
        <v>6147</v>
      </c>
      <c r="E499" s="2">
        <v>4</v>
      </c>
      <c r="F499" s="2" t="str" cm="1">
        <f t="array" ref="F499">_xlfn.XLOOKUP(C499, customers!$A$1:A1498, customers!$B$1:B1498, 0)</f>
        <v>Chantal Mersh</v>
      </c>
      <c r="G499" s="2" t="str">
        <f>IF(_xlfn.XLOOKUP(C499, customers!A498:A1498, customers!C498:C1498, 0)=0, "", _xlfn.XLOOKUP(C499, customers!A498:A1498, customers!C498:C1498, 0))</f>
        <v>cmershdt@drupal.org</v>
      </c>
      <c r="H499" s="2" t="str" cm="1">
        <f t="array" ref="H499">_xlfn.XLOOKUP(C499, customers!$A$1:A1498, customers!$G$1:G1498,, 0)</f>
        <v>Ireland</v>
      </c>
      <c r="I499" t="str" cm="1">
        <f t="array" ref="I499">_xlfn.XLOOKUP(orders!D499, products!$A$1:A546, products!$B$1:B546, 0)</f>
        <v>Ara</v>
      </c>
      <c r="J499" t="str" cm="1">
        <f t="array" ref="J499">_xlfn.XLOOKUP(D499, products!$A$1:A546, products!$C$1:C546, 0)</f>
        <v>D</v>
      </c>
      <c r="K499" s="4" cm="1">
        <f t="array" ref="K499">_xlfn.XLOOKUP(D499, products!$A$1:A546, products!$D$1:D546, 0)</f>
        <v>1</v>
      </c>
      <c r="L499" s="4" cm="1">
        <f t="array" ref="L499">_xlfn.XLOOKUP(D499, products!$A$1:A546, products!$E$1:E546)</f>
        <v>9.9499999999999993</v>
      </c>
      <c r="M499">
        <f t="shared" si="14"/>
        <v>39.799999999999997</v>
      </c>
      <c r="N499" t="str">
        <f t="shared" si="15"/>
        <v>Arabica</v>
      </c>
      <c r="O499" t="str" cm="1">
        <f t="array" ref="O499">_xlfn.IFS(J499="M", "Medium", J499="L", "Light", J499="D", "Dark")</f>
        <v>Dark</v>
      </c>
      <c r="P499" t="str">
        <f>_xlfn.XLOOKUP(Orders[[#This Row],[Customer ID]], customers!$A$2:$A$1001, customers!$I$2:$I$1001, 0)</f>
        <v>No</v>
      </c>
    </row>
    <row r="500" spans="1:16" x14ac:dyDescent="0.35">
      <c r="A500" s="2" t="s">
        <v>3307</v>
      </c>
      <c r="B500" s="3">
        <v>44159</v>
      </c>
      <c r="C500" s="2" t="s">
        <v>3368</v>
      </c>
      <c r="D500" t="s">
        <v>6138</v>
      </c>
      <c r="E500" s="2">
        <v>5</v>
      </c>
      <c r="F500" s="2" t="str" cm="1">
        <f t="array" ref="F500">_xlfn.XLOOKUP(C500, customers!$A$1:A1499, customers!$B$1:B1499, 0)</f>
        <v>Marja Urion</v>
      </c>
      <c r="G500" s="2" t="str">
        <f>IF(_xlfn.XLOOKUP(C500, customers!A499:A1499, customers!C499:C1499, 0)=0, "", _xlfn.XLOOKUP(C500, customers!A499:A1499, customers!C499:C1499, 0))</f>
        <v>murione5@alexa.com</v>
      </c>
      <c r="H500" s="2" t="str" cm="1">
        <f t="array" ref="H500">_xlfn.XLOOKUP(C500, customers!$A$1:A1499, customers!$G$1:G1499,, 0)</f>
        <v>Ireland</v>
      </c>
      <c r="I500" t="str" cm="1">
        <f t="array" ref="I500">_xlfn.XLOOKUP(orders!D500, products!$A$1:A547, products!$B$1:B547, 0)</f>
        <v>Rob</v>
      </c>
      <c r="J500" t="str" cm="1">
        <f t="array" ref="J500">_xlfn.XLOOKUP(D500, products!$A$1:A547, products!$C$1:C547, 0)</f>
        <v>M</v>
      </c>
      <c r="K500" s="4" cm="1">
        <f t="array" ref="K500">_xlfn.XLOOKUP(D500, products!$A$1:A547, products!$D$1:D547, 0)</f>
        <v>1</v>
      </c>
      <c r="L500" s="4" cm="1">
        <f t="array" ref="L500">_xlfn.XLOOKUP(D500, products!$A$1:A547, products!$E$1:E547)</f>
        <v>9.9499999999999993</v>
      </c>
      <c r="M500">
        <f t="shared" si="14"/>
        <v>49.75</v>
      </c>
      <c r="N500" t="str">
        <f t="shared" si="15"/>
        <v>Robusta</v>
      </c>
      <c r="O500" t="str" cm="1">
        <f t="array" ref="O500">_xlfn.IFS(J500="M", "Medium", J500="L", "Light", J500="D", "Dark")</f>
        <v>Medium</v>
      </c>
      <c r="P500" t="str">
        <f>_xlfn.XLOOKUP(Orders[[#This Row],[Customer ID]], customers!$A$2:$A$1001, customers!$I$2:$I$1001, 0)</f>
        <v>Yes</v>
      </c>
    </row>
    <row r="501" spans="1:16" x14ac:dyDescent="0.35">
      <c r="A501" s="2" t="s">
        <v>3313</v>
      </c>
      <c r="B501" s="3">
        <v>44003</v>
      </c>
      <c r="C501" s="2" t="s">
        <v>3314</v>
      </c>
      <c r="D501" t="s">
        <v>6163</v>
      </c>
      <c r="E501" s="2">
        <v>3</v>
      </c>
      <c r="F501" s="2" t="str" cm="1">
        <f t="array" ref="F501">_xlfn.XLOOKUP(C501, customers!$A$1:A1500, customers!$B$1:B1500, 0)</f>
        <v>Malynda Purbrick</v>
      </c>
      <c r="G501" s="2" t="str">
        <f>IF(_xlfn.XLOOKUP(C501, customers!A500:A1500, customers!C500:C1500, 0)=0, "", _xlfn.XLOOKUP(C501, customers!A500:A1500, customers!C500:C1500, 0))</f>
        <v/>
      </c>
      <c r="H501" s="2" t="str" cm="1">
        <f t="array" ref="H501">_xlfn.XLOOKUP(C501, customers!$A$1:A1500, customers!$G$1:G1500,, 0)</f>
        <v>Ireland</v>
      </c>
      <c r="I501" t="str" cm="1">
        <f t="array" ref="I501">_xlfn.XLOOKUP(orders!D501, products!$A$1:A548, products!$B$1:B548, 0)</f>
        <v>Rob</v>
      </c>
      <c r="J501" t="str" cm="1">
        <f t="array" ref="J501">_xlfn.XLOOKUP(D501, products!$A$1:A548, products!$C$1:C548, 0)</f>
        <v>D</v>
      </c>
      <c r="K501" s="4" cm="1">
        <f t="array" ref="K501">_xlfn.XLOOKUP(D501, products!$A$1:A548, products!$D$1:D548, 0)</f>
        <v>0.2</v>
      </c>
      <c r="L501" s="4" cm="1">
        <f t="array" ref="L501">_xlfn.XLOOKUP(D501, products!$A$1:A548, products!$E$1:E548)</f>
        <v>2.6849999999999996</v>
      </c>
      <c r="M501">
        <f t="shared" si="14"/>
        <v>8.0549999999999997</v>
      </c>
      <c r="N501" t="str">
        <f t="shared" si="15"/>
        <v>Robusta</v>
      </c>
      <c r="O501" t="str" cm="1">
        <f t="array" ref="O501">_xlfn.IFS(J501="M", "Medium", J501="L", "Light", J501="D", "Dark")</f>
        <v>Dark</v>
      </c>
      <c r="P501" t="str">
        <f>_xlfn.XLOOKUP(Orders[[#This Row],[Customer ID]], customers!$A$2:$A$1001, customers!$I$2:$I$1001, 0)</f>
        <v>Yes</v>
      </c>
    </row>
    <row r="502" spans="1:16" x14ac:dyDescent="0.35">
      <c r="A502" s="2" t="s">
        <v>3318</v>
      </c>
      <c r="B502" s="3">
        <v>44025</v>
      </c>
      <c r="C502" s="2" t="s">
        <v>3319</v>
      </c>
      <c r="D502" t="s">
        <v>6179</v>
      </c>
      <c r="E502" s="2">
        <v>4</v>
      </c>
      <c r="F502" s="2" t="str" cm="1">
        <f t="array" ref="F502">_xlfn.XLOOKUP(C502, customers!$A$1:A1501, customers!$B$1:B1501, 0)</f>
        <v>Alf Housaman</v>
      </c>
      <c r="G502" s="2" t="str">
        <f>IF(_xlfn.XLOOKUP(C502, customers!A501:A1501, customers!C501:C1501, 0)=0, "", _xlfn.XLOOKUP(C502, customers!A501:A1501, customers!C501:C1501, 0))</f>
        <v/>
      </c>
      <c r="H502" s="2" t="str" cm="1">
        <f t="array" ref="H502">_xlfn.XLOOKUP(C502, customers!$A$1:A1501, customers!$G$1:G1501,, 0)</f>
        <v>United States</v>
      </c>
      <c r="I502" t="str" cm="1">
        <f t="array" ref="I502">_xlfn.XLOOKUP(orders!D502, products!$A$1:A549, products!$B$1:B549, 0)</f>
        <v>Rob</v>
      </c>
      <c r="J502" t="str" cm="1">
        <f t="array" ref="J502">_xlfn.XLOOKUP(D502, products!$A$1:A549, products!$C$1:C549, 0)</f>
        <v>L</v>
      </c>
      <c r="K502" s="4" cm="1">
        <f t="array" ref="K502">_xlfn.XLOOKUP(D502, products!$A$1:A549, products!$D$1:D549, 0)</f>
        <v>1</v>
      </c>
      <c r="L502" s="4" cm="1">
        <f t="array" ref="L502">_xlfn.XLOOKUP(D502, products!$A$1:A549, products!$E$1:E549)</f>
        <v>11.95</v>
      </c>
      <c r="M502">
        <f t="shared" si="14"/>
        <v>47.8</v>
      </c>
      <c r="N502" t="str">
        <f t="shared" si="15"/>
        <v>Robusta</v>
      </c>
      <c r="O502" t="str" cm="1">
        <f t="array" ref="O502">_xlfn.IFS(J502="M", "Medium", J502="L", "Light", J502="D", "Dark")</f>
        <v>Light</v>
      </c>
      <c r="P502" t="str">
        <f>_xlfn.XLOOKUP(Orders[[#This Row],[Customer ID]], customers!$A$2:$A$1001, customers!$I$2:$I$1001, 0)</f>
        <v>No</v>
      </c>
    </row>
    <row r="503" spans="1:16" x14ac:dyDescent="0.35">
      <c r="A503" s="2" t="s">
        <v>3323</v>
      </c>
      <c r="B503" s="3">
        <v>43467</v>
      </c>
      <c r="C503" s="2" t="s">
        <v>3324</v>
      </c>
      <c r="D503" t="s">
        <v>6174</v>
      </c>
      <c r="E503" s="2">
        <v>4</v>
      </c>
      <c r="F503" s="2" t="str" cm="1">
        <f t="array" ref="F503">_xlfn.XLOOKUP(C503, customers!$A$1:A1502, customers!$B$1:B1502, 0)</f>
        <v>Gladi Ducker</v>
      </c>
      <c r="G503" s="2" t="str">
        <f>IF(_xlfn.XLOOKUP(C503, customers!A502:A1502, customers!C502:C1502, 0)=0, "", _xlfn.XLOOKUP(C503, customers!A502:A1502, customers!C502:C1502, 0))</f>
        <v>gduckerdx@patch.com</v>
      </c>
      <c r="H503" s="2" t="str" cm="1">
        <f t="array" ref="H503">_xlfn.XLOOKUP(C503, customers!$A$1:A1502, customers!$G$1:G1502,, 0)</f>
        <v>United Kingdom</v>
      </c>
      <c r="I503" t="str" cm="1">
        <f t="array" ref="I503">_xlfn.XLOOKUP(orders!D503, products!$A$1:A550, products!$B$1:B550, 0)</f>
        <v>Rob</v>
      </c>
      <c r="J503" t="str" cm="1">
        <f t="array" ref="J503">_xlfn.XLOOKUP(D503, products!$A$1:A550, products!$C$1:C550, 0)</f>
        <v>M</v>
      </c>
      <c r="K503" s="4" cm="1">
        <f t="array" ref="K503">_xlfn.XLOOKUP(D503, products!$A$1:A550, products!$D$1:D550, 0)</f>
        <v>0.2</v>
      </c>
      <c r="L503" s="4" cm="1">
        <f t="array" ref="L503">_xlfn.XLOOKUP(D503, products!$A$1:A550, products!$E$1:E550)</f>
        <v>2.9849999999999999</v>
      </c>
      <c r="M503">
        <f t="shared" si="14"/>
        <v>11.94</v>
      </c>
      <c r="N503" t="str">
        <f t="shared" si="15"/>
        <v>Robusta</v>
      </c>
      <c r="O503" t="str" cm="1">
        <f t="array" ref="O503">_xlfn.IFS(J503="M", "Medium", J503="L", "Light", J503="D", "Dark")</f>
        <v>Medium</v>
      </c>
      <c r="P503" t="str">
        <f>_xlfn.XLOOKUP(Orders[[#This Row],[Customer ID]], customers!$A$2:$A$1001, customers!$I$2:$I$1001, 0)</f>
        <v>No</v>
      </c>
    </row>
    <row r="504" spans="1:16" x14ac:dyDescent="0.35">
      <c r="A504" s="2" t="s">
        <v>3323</v>
      </c>
      <c r="B504" s="3">
        <v>43467</v>
      </c>
      <c r="C504" s="2" t="s">
        <v>3324</v>
      </c>
      <c r="D504" t="s">
        <v>6156</v>
      </c>
      <c r="E504" s="2">
        <v>4</v>
      </c>
      <c r="F504" s="2" t="str" cm="1">
        <f t="array" ref="F504">_xlfn.XLOOKUP(C504, customers!$A$1:A1503, customers!$B$1:B1503, 0)</f>
        <v>Gladi Ducker</v>
      </c>
      <c r="G504" s="2" t="str">
        <f>IF(_xlfn.XLOOKUP(C504, customers!A503:A1503, customers!C503:C1503, 0)=0, "", _xlfn.XLOOKUP(C504, customers!A503:A1503, customers!C503:C1503, 0))</f>
        <v>gduckerdx@patch.com</v>
      </c>
      <c r="H504" s="2" t="str" cm="1">
        <f t="array" ref="H504">_xlfn.XLOOKUP(C504, customers!$A$1:A1503, customers!$G$1:G1503,, 0)</f>
        <v>United Kingdom</v>
      </c>
      <c r="I504" t="str" cm="1">
        <f t="array" ref="I504">_xlfn.XLOOKUP(orders!D504, products!$A$1:A551, products!$B$1:B551, 0)</f>
        <v>Exc</v>
      </c>
      <c r="J504" t="str" cm="1">
        <f t="array" ref="J504">_xlfn.XLOOKUP(D504, products!$A$1:A551, products!$C$1:C551, 0)</f>
        <v>M</v>
      </c>
      <c r="K504" s="4" cm="1">
        <f t="array" ref="K504">_xlfn.XLOOKUP(D504, products!$A$1:A551, products!$D$1:D551, 0)</f>
        <v>0.2</v>
      </c>
      <c r="L504" s="4" cm="1">
        <f t="array" ref="L504">_xlfn.XLOOKUP(D504, products!$A$1:A551, products!$E$1:E551)</f>
        <v>4.125</v>
      </c>
      <c r="M504">
        <f t="shared" si="14"/>
        <v>16.5</v>
      </c>
      <c r="N504" t="str">
        <f t="shared" si="15"/>
        <v>Excelsa</v>
      </c>
      <c r="O504" t="str" cm="1">
        <f t="array" ref="O504">_xlfn.IFS(J504="M", "Medium", J504="L", "Light", J504="D", "Dark")</f>
        <v>Medium</v>
      </c>
      <c r="P504" t="str">
        <f>_xlfn.XLOOKUP(Orders[[#This Row],[Customer ID]], customers!$A$2:$A$1001, customers!$I$2:$I$1001, 0)</f>
        <v>No</v>
      </c>
    </row>
    <row r="505" spans="1:16" x14ac:dyDescent="0.35">
      <c r="A505" s="2" t="s">
        <v>3323</v>
      </c>
      <c r="B505" s="3">
        <v>43467</v>
      </c>
      <c r="C505" s="2" t="s">
        <v>3324</v>
      </c>
      <c r="D505" t="s">
        <v>6143</v>
      </c>
      <c r="E505" s="2">
        <v>4</v>
      </c>
      <c r="F505" s="2" t="str" cm="1">
        <f t="array" ref="F505">_xlfn.XLOOKUP(C505, customers!$A$1:A1504, customers!$B$1:B1504, 0)</f>
        <v>Gladi Ducker</v>
      </c>
      <c r="G505" s="2" t="str">
        <f>IF(_xlfn.XLOOKUP(C505, customers!A504:A1504, customers!C504:C1504, 0)=0, "", _xlfn.XLOOKUP(C505, customers!A504:A1504, customers!C504:C1504, 0))</f>
        <v/>
      </c>
      <c r="H505" s="2" t="str" cm="1">
        <f t="array" ref="H505">_xlfn.XLOOKUP(C505, customers!$A$1:A1504, customers!$G$1:G1504,, 0)</f>
        <v>United Kingdom</v>
      </c>
      <c r="I505" t="str" cm="1">
        <f t="array" ref="I505">_xlfn.XLOOKUP(orders!D505, products!$A$1:A552, products!$B$1:B552, 0)</f>
        <v>Lib</v>
      </c>
      <c r="J505" t="str" cm="1">
        <f t="array" ref="J505">_xlfn.XLOOKUP(D505, products!$A$1:A552, products!$C$1:C552, 0)</f>
        <v>D</v>
      </c>
      <c r="K505" s="4" cm="1">
        <f t="array" ref="K505">_xlfn.XLOOKUP(D505, products!$A$1:A552, products!$D$1:D552, 0)</f>
        <v>1</v>
      </c>
      <c r="L505" s="4" cm="1">
        <f t="array" ref="L505">_xlfn.XLOOKUP(D505, products!$A$1:A552, products!$E$1:E552)</f>
        <v>12.95</v>
      </c>
      <c r="M505">
        <f t="shared" si="14"/>
        <v>51.8</v>
      </c>
      <c r="N505" t="str">
        <f t="shared" si="15"/>
        <v>Liberica</v>
      </c>
      <c r="O505" t="str" cm="1">
        <f t="array" ref="O505">_xlfn.IFS(J505="M", "Medium", J505="L", "Light", J505="D", "Dark")</f>
        <v>Dark</v>
      </c>
      <c r="P505" t="str">
        <f>_xlfn.XLOOKUP(Orders[[#This Row],[Customer ID]], customers!$A$2:$A$1001, customers!$I$2:$I$1001, 0)</f>
        <v>No</v>
      </c>
    </row>
    <row r="506" spans="1:16" x14ac:dyDescent="0.35">
      <c r="A506" s="2" t="s">
        <v>3323</v>
      </c>
      <c r="B506" s="3">
        <v>43467</v>
      </c>
      <c r="C506" s="2" t="s">
        <v>3324</v>
      </c>
      <c r="D506" t="s">
        <v>6145</v>
      </c>
      <c r="E506" s="2">
        <v>3</v>
      </c>
      <c r="F506" s="2" t="str" cm="1">
        <f t="array" ref="F506">_xlfn.XLOOKUP(C506, customers!$A$1:A1505, customers!$B$1:B1505, 0)</f>
        <v>Gladi Ducker</v>
      </c>
      <c r="G506" s="2" t="str">
        <f>IF(_xlfn.XLOOKUP(C506, customers!A505:A1505, customers!C505:C1505, 0)=0, "", _xlfn.XLOOKUP(C506, customers!A505:A1505, customers!C505:C1505, 0))</f>
        <v/>
      </c>
      <c r="H506" s="2" t="str" cm="1">
        <f t="array" ref="H506">_xlfn.XLOOKUP(C506, customers!$A$1:A1505, customers!$G$1:G1505,, 0)</f>
        <v>United Kingdom</v>
      </c>
      <c r="I506" t="str" cm="1">
        <f t="array" ref="I506">_xlfn.XLOOKUP(orders!D506, products!$A$1:A553, products!$B$1:B553, 0)</f>
        <v>Lib</v>
      </c>
      <c r="J506" t="str" cm="1">
        <f t="array" ref="J506">_xlfn.XLOOKUP(D506, products!$A$1:A553, products!$C$1:C553, 0)</f>
        <v>L</v>
      </c>
      <c r="K506" s="4" cm="1">
        <f t="array" ref="K506">_xlfn.XLOOKUP(D506, products!$A$1:A553, products!$D$1:D553, 0)</f>
        <v>0.2</v>
      </c>
      <c r="L506" s="4" cm="1">
        <f t="array" ref="L506">_xlfn.XLOOKUP(D506, products!$A$1:A553, products!$E$1:E553)</f>
        <v>4.7549999999999999</v>
      </c>
      <c r="M506">
        <f t="shared" si="14"/>
        <v>14.265000000000001</v>
      </c>
      <c r="N506" t="str">
        <f t="shared" si="15"/>
        <v>Liberica</v>
      </c>
      <c r="O506" t="str" cm="1">
        <f t="array" ref="O506">_xlfn.IFS(J506="M", "Medium", J506="L", "Light", J506="D", "Dark")</f>
        <v>Light</v>
      </c>
      <c r="P506" t="str">
        <f>_xlfn.XLOOKUP(Orders[[#This Row],[Customer ID]], customers!$A$2:$A$1001, customers!$I$2:$I$1001, 0)</f>
        <v>No</v>
      </c>
    </row>
    <row r="507" spans="1:16" x14ac:dyDescent="0.35">
      <c r="A507" s="2" t="s">
        <v>3343</v>
      </c>
      <c r="B507" s="3">
        <v>44609</v>
      </c>
      <c r="C507" s="2" t="s">
        <v>3344</v>
      </c>
      <c r="D507" t="s">
        <v>6159</v>
      </c>
      <c r="E507" s="2">
        <v>6</v>
      </c>
      <c r="F507" s="2" t="str" cm="1">
        <f t="array" ref="F507">_xlfn.XLOOKUP(C507, customers!$A$1:A1506, customers!$B$1:B1506, 0)</f>
        <v>Wain Stearley</v>
      </c>
      <c r="G507" s="2" t="str">
        <f>IF(_xlfn.XLOOKUP(C507, customers!A506:A1506, customers!C506:C1506, 0)=0, "", _xlfn.XLOOKUP(C507, customers!A506:A1506, customers!C506:C1506, 0))</f>
        <v>wstearleye1@census.gov</v>
      </c>
      <c r="H507" s="2" t="str" cm="1">
        <f t="array" ref="H507">_xlfn.XLOOKUP(C507, customers!$A$1:A1506, customers!$G$1:G1506,, 0)</f>
        <v>United States</v>
      </c>
      <c r="I507" t="str" cm="1">
        <f t="array" ref="I507">_xlfn.XLOOKUP(orders!D507, products!$A$1:A554, products!$B$1:B554, 0)</f>
        <v>Lib</v>
      </c>
      <c r="J507" t="str" cm="1">
        <f t="array" ref="J507">_xlfn.XLOOKUP(D507, products!$A$1:A554, products!$C$1:C554, 0)</f>
        <v>M</v>
      </c>
      <c r="K507" s="4" cm="1">
        <f t="array" ref="K507">_xlfn.XLOOKUP(D507, products!$A$1:A554, products!$D$1:D554, 0)</f>
        <v>0.2</v>
      </c>
      <c r="L507" s="4" cm="1">
        <f t="array" ref="L507">_xlfn.XLOOKUP(D507, products!$A$1:A554, products!$E$1:E554)</f>
        <v>4.3650000000000002</v>
      </c>
      <c r="M507">
        <f t="shared" si="14"/>
        <v>26.19</v>
      </c>
      <c r="N507" t="str">
        <f t="shared" si="15"/>
        <v>Liberica</v>
      </c>
      <c r="O507" t="str" cm="1">
        <f t="array" ref="O507">_xlfn.IFS(J507="M", "Medium", J507="L", "Light", J507="D", "Dark")</f>
        <v>Medium</v>
      </c>
      <c r="P507" t="str">
        <f>_xlfn.XLOOKUP(Orders[[#This Row],[Customer ID]], customers!$A$2:$A$1001, customers!$I$2:$I$1001, 0)</f>
        <v>No</v>
      </c>
    </row>
    <row r="508" spans="1:16" x14ac:dyDescent="0.35">
      <c r="A508" s="2" t="s">
        <v>3349</v>
      </c>
      <c r="B508" s="3">
        <v>44184</v>
      </c>
      <c r="C508" s="2" t="s">
        <v>3350</v>
      </c>
      <c r="D508" t="s">
        <v>6140</v>
      </c>
      <c r="E508" s="2">
        <v>2</v>
      </c>
      <c r="F508" s="2" t="str" cm="1">
        <f t="array" ref="F508">_xlfn.XLOOKUP(C508, customers!$A$1:A1507, customers!$B$1:B1507, 0)</f>
        <v>Diane-marie Wincer</v>
      </c>
      <c r="G508" s="2" t="str">
        <f>IF(_xlfn.XLOOKUP(C508, customers!A507:A1507, customers!C507:C1507, 0)=0, "", _xlfn.XLOOKUP(C508, customers!A507:A1507, customers!C507:C1507, 0))</f>
        <v>dwincere2@marriott.com</v>
      </c>
      <c r="H508" s="2" t="str" cm="1">
        <f t="array" ref="H508">_xlfn.XLOOKUP(C508, customers!$A$1:A1507, customers!$G$1:G1507,, 0)</f>
        <v>United States</v>
      </c>
      <c r="I508" t="str" cm="1">
        <f t="array" ref="I508">_xlfn.XLOOKUP(orders!D508, products!$A$1:A555, products!$B$1:B555, 0)</f>
        <v>Ara</v>
      </c>
      <c r="J508" t="str" cm="1">
        <f t="array" ref="J508">_xlfn.XLOOKUP(D508, products!$A$1:A555, products!$C$1:C555, 0)</f>
        <v>L</v>
      </c>
      <c r="K508" s="4" cm="1">
        <f t="array" ref="K508">_xlfn.XLOOKUP(D508, products!$A$1:A555, products!$D$1:D555, 0)</f>
        <v>1</v>
      </c>
      <c r="L508" s="4" cm="1">
        <f t="array" ref="L508">_xlfn.XLOOKUP(D508, products!$A$1:A555, products!$E$1:E555)</f>
        <v>12.95</v>
      </c>
      <c r="M508">
        <f t="shared" si="14"/>
        <v>25.9</v>
      </c>
      <c r="N508" t="str">
        <f t="shared" si="15"/>
        <v>Arabica</v>
      </c>
      <c r="O508" t="str" cm="1">
        <f t="array" ref="O508">_xlfn.IFS(J508="M", "Medium", J508="L", "Light", J508="D", "Dark")</f>
        <v>Light</v>
      </c>
      <c r="P508" t="str">
        <f>_xlfn.XLOOKUP(Orders[[#This Row],[Customer ID]], customers!$A$2:$A$1001, customers!$I$2:$I$1001, 0)</f>
        <v>Yes</v>
      </c>
    </row>
    <row r="509" spans="1:16" x14ac:dyDescent="0.35">
      <c r="A509" s="2" t="s">
        <v>3355</v>
      </c>
      <c r="B509" s="3">
        <v>43516</v>
      </c>
      <c r="C509" s="2" t="s">
        <v>3356</v>
      </c>
      <c r="D509" t="s">
        <v>6182</v>
      </c>
      <c r="E509" s="2">
        <v>3</v>
      </c>
      <c r="F509" s="2" t="str" cm="1">
        <f t="array" ref="F509">_xlfn.XLOOKUP(C509, customers!$A$1:A1508, customers!$B$1:B1508, 0)</f>
        <v>Perry Lyfield</v>
      </c>
      <c r="G509" s="2" t="str">
        <f>IF(_xlfn.XLOOKUP(C509, customers!A508:A1508, customers!C508:C1508, 0)=0, "", _xlfn.XLOOKUP(C509, customers!A508:A1508, customers!C508:C1508, 0))</f>
        <v>plyfielde3@baidu.com</v>
      </c>
      <c r="H509" s="2" t="str" cm="1">
        <f t="array" ref="H509">_xlfn.XLOOKUP(C509, customers!$A$1:A1508, customers!$G$1:G1508,, 0)</f>
        <v>United States</v>
      </c>
      <c r="I509" t="str" cm="1">
        <f t="array" ref="I509">_xlfn.XLOOKUP(orders!D509, products!$A$1:A556, products!$B$1:B556, 0)</f>
        <v>Ara</v>
      </c>
      <c r="J509" t="str" cm="1">
        <f t="array" ref="J509">_xlfn.XLOOKUP(D509, products!$A$1:A556, products!$C$1:C556, 0)</f>
        <v>L</v>
      </c>
      <c r="K509" s="4" cm="1">
        <f t="array" ref="K509">_xlfn.XLOOKUP(D509, products!$A$1:A556, products!$D$1:D556, 0)</f>
        <v>2.5</v>
      </c>
      <c r="L509" s="4" cm="1">
        <f t="array" ref="L509">_xlfn.XLOOKUP(D509, products!$A$1:A556, products!$E$1:E556)</f>
        <v>29.784999999999997</v>
      </c>
      <c r="M509">
        <f t="shared" si="14"/>
        <v>89.35499999999999</v>
      </c>
      <c r="N509" t="str">
        <f t="shared" si="15"/>
        <v>Arabica</v>
      </c>
      <c r="O509" t="str" cm="1">
        <f t="array" ref="O509">_xlfn.IFS(J509="M", "Medium", J509="L", "Light", J509="D", "Dark")</f>
        <v>Light</v>
      </c>
      <c r="P509" t="str">
        <f>_xlfn.XLOOKUP(Orders[[#This Row],[Customer ID]], customers!$A$2:$A$1001, customers!$I$2:$I$1001, 0)</f>
        <v>Yes</v>
      </c>
    </row>
    <row r="510" spans="1:16" x14ac:dyDescent="0.35">
      <c r="A510" s="2" t="s">
        <v>3361</v>
      </c>
      <c r="B510" s="3">
        <v>44210</v>
      </c>
      <c r="C510" s="2" t="s">
        <v>3362</v>
      </c>
      <c r="D510" t="s">
        <v>6169</v>
      </c>
      <c r="E510" s="2">
        <v>6</v>
      </c>
      <c r="F510" s="2" t="str" cm="1">
        <f t="array" ref="F510">_xlfn.XLOOKUP(C510, customers!$A$1:A1509, customers!$B$1:B1509, 0)</f>
        <v>Heall Perris</v>
      </c>
      <c r="G510" s="2" t="str">
        <f>IF(_xlfn.XLOOKUP(C510, customers!A509:A1509, customers!C509:C1509, 0)=0, "", _xlfn.XLOOKUP(C510, customers!A509:A1509, customers!C509:C1509, 0))</f>
        <v>hperrise4@studiopress.com</v>
      </c>
      <c r="H510" s="2" t="str" cm="1">
        <f t="array" ref="H510">_xlfn.XLOOKUP(C510, customers!$A$1:A1509, customers!$G$1:G1509,, 0)</f>
        <v>Ireland</v>
      </c>
      <c r="I510" t="str" cm="1">
        <f t="array" ref="I510">_xlfn.XLOOKUP(orders!D510, products!$A$1:A557, products!$B$1:B557, 0)</f>
        <v>Lib</v>
      </c>
      <c r="J510" t="str" cm="1">
        <f t="array" ref="J510">_xlfn.XLOOKUP(D510, products!$A$1:A557, products!$C$1:C557, 0)</f>
        <v>D</v>
      </c>
      <c r="K510" s="4" cm="1">
        <f t="array" ref="K510">_xlfn.XLOOKUP(D510, products!$A$1:A557, products!$D$1:D557, 0)</f>
        <v>0.5</v>
      </c>
      <c r="L510" s="4" cm="1">
        <f t="array" ref="L510">_xlfn.XLOOKUP(D510, products!$A$1:A557, products!$E$1:E557)</f>
        <v>7.77</v>
      </c>
      <c r="M510">
        <f t="shared" si="14"/>
        <v>46.62</v>
      </c>
      <c r="N510" t="str">
        <f t="shared" si="15"/>
        <v>Liberica</v>
      </c>
      <c r="O510" t="str" cm="1">
        <f t="array" ref="O510">_xlfn.IFS(J510="M", "Medium", J510="L", "Light", J510="D", "Dark")</f>
        <v>Dark</v>
      </c>
      <c r="P510" t="str">
        <f>_xlfn.XLOOKUP(Orders[[#This Row],[Customer ID]], customers!$A$2:$A$1001, customers!$I$2:$I$1001, 0)</f>
        <v>No</v>
      </c>
    </row>
    <row r="511" spans="1:16" x14ac:dyDescent="0.35">
      <c r="A511" s="2" t="s">
        <v>3367</v>
      </c>
      <c r="B511" s="3">
        <v>43785</v>
      </c>
      <c r="C511" s="2" t="s">
        <v>3368</v>
      </c>
      <c r="D511" t="s">
        <v>6147</v>
      </c>
      <c r="E511" s="2">
        <v>3</v>
      </c>
      <c r="F511" s="2" t="str" cm="1">
        <f t="array" ref="F511">_xlfn.XLOOKUP(C511, customers!$A$1:A1510, customers!$B$1:B1510, 0)</f>
        <v>Marja Urion</v>
      </c>
      <c r="G511" s="2" t="str">
        <f>IF(_xlfn.XLOOKUP(C511, customers!A510:A1510, customers!C510:C1510, 0)=0, "", _xlfn.XLOOKUP(C511, customers!A510:A1510, customers!C510:C1510, 0))</f>
        <v>murione5@alexa.com</v>
      </c>
      <c r="H511" s="2" t="str" cm="1">
        <f t="array" ref="H511">_xlfn.XLOOKUP(C511, customers!$A$1:A1510, customers!$G$1:G1510,, 0)</f>
        <v>Ireland</v>
      </c>
      <c r="I511" t="str" cm="1">
        <f t="array" ref="I511">_xlfn.XLOOKUP(orders!D511, products!$A$1:A558, products!$B$1:B558, 0)</f>
        <v>Ara</v>
      </c>
      <c r="J511" t="str" cm="1">
        <f t="array" ref="J511">_xlfn.XLOOKUP(D511, products!$A$1:A558, products!$C$1:C558, 0)</f>
        <v>D</v>
      </c>
      <c r="K511" s="4" cm="1">
        <f t="array" ref="K511">_xlfn.XLOOKUP(D511, products!$A$1:A558, products!$D$1:D558, 0)</f>
        <v>1</v>
      </c>
      <c r="L511" s="4" cm="1">
        <f t="array" ref="L511">_xlfn.XLOOKUP(D511, products!$A$1:A558, products!$E$1:E558)</f>
        <v>9.9499999999999993</v>
      </c>
      <c r="M511">
        <f t="shared" si="14"/>
        <v>29.849999999999998</v>
      </c>
      <c r="N511" t="str">
        <f t="shared" si="15"/>
        <v>Arabica</v>
      </c>
      <c r="O511" t="str" cm="1">
        <f t="array" ref="O511">_xlfn.IFS(J511="M", "Medium", J511="L", "Light", J511="D", "Dark")</f>
        <v>Dark</v>
      </c>
      <c r="P511" t="str">
        <f>_xlfn.XLOOKUP(Orders[[#This Row],[Customer ID]], customers!$A$2:$A$1001, customers!$I$2:$I$1001, 0)</f>
        <v>Yes</v>
      </c>
    </row>
    <row r="512" spans="1:16" x14ac:dyDescent="0.35">
      <c r="A512" s="2" t="s">
        <v>3373</v>
      </c>
      <c r="B512" s="3">
        <v>43803</v>
      </c>
      <c r="C512" s="2" t="s">
        <v>3374</v>
      </c>
      <c r="D512" t="s">
        <v>6178</v>
      </c>
      <c r="E512" s="2">
        <v>3</v>
      </c>
      <c r="F512" s="2" t="str" cm="1">
        <f t="array" ref="F512">_xlfn.XLOOKUP(C512, customers!$A$1:A1511, customers!$B$1:B1511, 0)</f>
        <v>Camellia Kid</v>
      </c>
      <c r="G512" s="2" t="str">
        <f>IF(_xlfn.XLOOKUP(C512, customers!A511:A1511, customers!C511:C1511, 0)=0, "", _xlfn.XLOOKUP(C512, customers!A511:A1511, customers!C511:C1511, 0))</f>
        <v>ckide6@narod.ru</v>
      </c>
      <c r="H512" s="2" t="str" cm="1">
        <f t="array" ref="H512">_xlfn.XLOOKUP(C512, customers!$A$1:A1511, customers!$G$1:G1511,, 0)</f>
        <v>Ireland</v>
      </c>
      <c r="I512" t="str" cm="1">
        <f t="array" ref="I512">_xlfn.XLOOKUP(orders!D512, products!$A$1:A559, products!$B$1:B559, 0)</f>
        <v>Rob</v>
      </c>
      <c r="J512" t="str" cm="1">
        <f t="array" ref="J512">_xlfn.XLOOKUP(D512, products!$A$1:A559, products!$C$1:C559, 0)</f>
        <v>L</v>
      </c>
      <c r="K512" s="4" cm="1">
        <f t="array" ref="K512">_xlfn.XLOOKUP(D512, products!$A$1:A559, products!$D$1:D559, 0)</f>
        <v>0.2</v>
      </c>
      <c r="L512" s="4" cm="1">
        <f t="array" ref="L512">_xlfn.XLOOKUP(D512, products!$A$1:A559, products!$E$1:E559)</f>
        <v>3.5849999999999995</v>
      </c>
      <c r="M512">
        <f t="shared" si="14"/>
        <v>10.754999999999999</v>
      </c>
      <c r="N512" t="str">
        <f t="shared" si="15"/>
        <v>Robusta</v>
      </c>
      <c r="O512" t="str" cm="1">
        <f t="array" ref="O512">_xlfn.IFS(J512="M", "Medium", J512="L", "Light", J512="D", "Dark")</f>
        <v>Light</v>
      </c>
      <c r="P512" t="str">
        <f>_xlfn.XLOOKUP(Orders[[#This Row],[Customer ID]], customers!$A$2:$A$1001, customers!$I$2:$I$1001, 0)</f>
        <v>Yes</v>
      </c>
    </row>
    <row r="513" spans="1:16" x14ac:dyDescent="0.35">
      <c r="A513" s="2" t="s">
        <v>3379</v>
      </c>
      <c r="B513" s="3">
        <v>44043</v>
      </c>
      <c r="C513" s="2" t="s">
        <v>3380</v>
      </c>
      <c r="D513" t="s">
        <v>6152</v>
      </c>
      <c r="E513" s="2">
        <v>4</v>
      </c>
      <c r="F513" s="2" t="str" cm="1">
        <f t="array" ref="F513">_xlfn.XLOOKUP(C513, customers!$A$1:A1512, customers!$B$1:B1512, 0)</f>
        <v>Carolann Beine</v>
      </c>
      <c r="G513" s="2" t="str">
        <f>IF(_xlfn.XLOOKUP(C513, customers!A512:A1512, customers!C512:C1512, 0)=0, "", _xlfn.XLOOKUP(C513, customers!A512:A1512, customers!C512:C1512, 0))</f>
        <v>cbeinee7@xinhuanet.com</v>
      </c>
      <c r="H513" s="2" t="str" cm="1">
        <f t="array" ref="H513">_xlfn.XLOOKUP(C513, customers!$A$1:A1512, customers!$G$1:G1512,, 0)</f>
        <v>United States</v>
      </c>
      <c r="I513" t="str" cm="1">
        <f t="array" ref="I513">_xlfn.XLOOKUP(orders!D513, products!$A$1:A560, products!$B$1:B560, 0)</f>
        <v>Ara</v>
      </c>
      <c r="J513" t="str" cm="1">
        <f t="array" ref="J513">_xlfn.XLOOKUP(D513, products!$A$1:A560, products!$C$1:C560, 0)</f>
        <v>M</v>
      </c>
      <c r="K513" s="4" cm="1">
        <f t="array" ref="K513">_xlfn.XLOOKUP(D513, products!$A$1:A560, products!$D$1:D560, 0)</f>
        <v>0.2</v>
      </c>
      <c r="L513" s="4" cm="1">
        <f t="array" ref="L513">_xlfn.XLOOKUP(D513, products!$A$1:A560, products!$E$1:E560)</f>
        <v>3.375</v>
      </c>
      <c r="M513">
        <f t="shared" si="14"/>
        <v>13.5</v>
      </c>
      <c r="N513" t="str">
        <f t="shared" si="15"/>
        <v>Arabica</v>
      </c>
      <c r="O513" t="str" cm="1">
        <f t="array" ref="O513">_xlfn.IFS(J513="M", "Medium", J513="L", "Light", J513="D", "Dark")</f>
        <v>Medium</v>
      </c>
      <c r="P513" t="str">
        <f>_xlfn.XLOOKUP(Orders[[#This Row],[Customer ID]], customers!$A$2:$A$1001, customers!$I$2:$I$1001, 0)</f>
        <v>Yes</v>
      </c>
    </row>
    <row r="514" spans="1:16" x14ac:dyDescent="0.35">
      <c r="A514" s="2" t="s">
        <v>3385</v>
      </c>
      <c r="B514" s="3">
        <v>43535</v>
      </c>
      <c r="C514" s="2" t="s">
        <v>3386</v>
      </c>
      <c r="D514" t="s">
        <v>6170</v>
      </c>
      <c r="E514" s="2">
        <v>3</v>
      </c>
      <c r="F514" s="2" t="str" cm="1">
        <f t="array" ref="F514">_xlfn.XLOOKUP(C514, customers!$A$1:A1513, customers!$B$1:B1513, 0)</f>
        <v>Celia Bakeup</v>
      </c>
      <c r="G514" s="2" t="str">
        <f>IF(_xlfn.XLOOKUP(C514, customers!A513:A1513, customers!C513:C1513, 0)=0, "", _xlfn.XLOOKUP(C514, customers!A513:A1513, customers!C513:C1513, 0))</f>
        <v>cbakeupe8@globo.com</v>
      </c>
      <c r="H514" s="2" t="str" cm="1">
        <f t="array" ref="H514">_xlfn.XLOOKUP(C514, customers!$A$1:A1513, customers!$G$1:G1513,, 0)</f>
        <v>United States</v>
      </c>
      <c r="I514" t="str" cm="1">
        <f t="array" ref="I514">_xlfn.XLOOKUP(orders!D514, products!$A$1:A561, products!$B$1:B561, 0)</f>
        <v>Lib</v>
      </c>
      <c r="J514" t="str" cm="1">
        <f t="array" ref="J514">_xlfn.XLOOKUP(D514, products!$A$1:A561, products!$C$1:C561, 0)</f>
        <v>L</v>
      </c>
      <c r="K514" s="4" cm="1">
        <f t="array" ref="K514">_xlfn.XLOOKUP(D514, products!$A$1:A561, products!$D$1:D561, 0)</f>
        <v>1</v>
      </c>
      <c r="L514" s="4" cm="1">
        <f t="array" ref="L514">_xlfn.XLOOKUP(D514, products!$A$1:A561, products!$E$1:E561)</f>
        <v>15.85</v>
      </c>
      <c r="M514">
        <f t="shared" si="14"/>
        <v>47.55</v>
      </c>
      <c r="N514" t="str">
        <f t="shared" si="15"/>
        <v>Liberica</v>
      </c>
      <c r="O514" t="str" cm="1">
        <f t="array" ref="O514">_xlfn.IFS(J514="M", "Medium", J514="L", "Light", J514="D", "Dark")</f>
        <v>Light</v>
      </c>
      <c r="P514" t="str">
        <f>_xlfn.XLOOKUP(Orders[[#This Row],[Customer ID]], customers!$A$2:$A$1001, customers!$I$2:$I$1001, 0)</f>
        <v>No</v>
      </c>
    </row>
    <row r="515" spans="1:16" x14ac:dyDescent="0.35">
      <c r="A515" s="2" t="s">
        <v>3391</v>
      </c>
      <c r="B515" s="3">
        <v>44691</v>
      </c>
      <c r="C515" s="2" t="s">
        <v>3392</v>
      </c>
      <c r="D515" t="s">
        <v>6170</v>
      </c>
      <c r="E515" s="2">
        <v>5</v>
      </c>
      <c r="F515" s="2" t="str" cm="1">
        <f t="array" ref="F515">_xlfn.XLOOKUP(C515, customers!$A$1:A1514, customers!$B$1:B1514, 0)</f>
        <v>Nataniel Helkin</v>
      </c>
      <c r="G515" s="2" t="str">
        <f>IF(_xlfn.XLOOKUP(C515, customers!A514:A1514, customers!C514:C1514, 0)=0, "", _xlfn.XLOOKUP(C515, customers!A514:A1514, customers!C514:C1514, 0))</f>
        <v>nhelkine9@example.com</v>
      </c>
      <c r="H515" s="2" t="str" cm="1">
        <f t="array" ref="H515">_xlfn.XLOOKUP(C515, customers!$A$1:A1514, customers!$G$1:G1514,, 0)</f>
        <v>United States</v>
      </c>
      <c r="I515" t="str" cm="1">
        <f t="array" ref="I515">_xlfn.XLOOKUP(orders!D515, products!$A$1:A562, products!$B$1:B562, 0)</f>
        <v>Lib</v>
      </c>
      <c r="J515" t="str" cm="1">
        <f t="array" ref="J515">_xlfn.XLOOKUP(D515, products!$A$1:A562, products!$C$1:C562, 0)</f>
        <v>L</v>
      </c>
      <c r="K515" s="4" cm="1">
        <f t="array" ref="K515">_xlfn.XLOOKUP(D515, products!$A$1:A562, products!$D$1:D562, 0)</f>
        <v>1</v>
      </c>
      <c r="L515" s="4" cm="1">
        <f t="array" ref="L515">_xlfn.XLOOKUP(D515, products!$A$1:A562, products!$E$1:E562)</f>
        <v>15.85</v>
      </c>
      <c r="M515">
        <f t="shared" ref="M515:M578" si="16">L515*E515</f>
        <v>79.25</v>
      </c>
      <c r="N515" t="str">
        <f t="shared" ref="N515:N578" si="17">IF(I515="Rob", "Robusta", IF(I515="Exc", "Excelsa", IF(I515="Ara", "Arabica", IF(I515="Lib", "Liberica", ""))))</f>
        <v>Liberica</v>
      </c>
      <c r="O515" t="str" cm="1">
        <f t="array" ref="O515">_xlfn.IFS(J515="M", "Medium", J515="L", "Light", J515="D", "Dark")</f>
        <v>Light</v>
      </c>
      <c r="P515" t="str">
        <f>_xlfn.XLOOKUP(Orders[[#This Row],[Customer ID]], customers!$A$2:$A$1001, customers!$I$2:$I$1001, 0)</f>
        <v>No</v>
      </c>
    </row>
    <row r="516" spans="1:16" x14ac:dyDescent="0.35">
      <c r="A516" s="2" t="s">
        <v>3396</v>
      </c>
      <c r="B516" s="3">
        <v>44555</v>
      </c>
      <c r="C516" s="2" t="s">
        <v>3397</v>
      </c>
      <c r="D516" t="s">
        <v>6159</v>
      </c>
      <c r="E516" s="2">
        <v>6</v>
      </c>
      <c r="F516" s="2" t="str" cm="1">
        <f t="array" ref="F516">_xlfn.XLOOKUP(C516, customers!$A$1:A1515, customers!$B$1:B1515, 0)</f>
        <v>Pippo Witherington</v>
      </c>
      <c r="G516" s="2" t="str">
        <f>IF(_xlfn.XLOOKUP(C516, customers!A515:A1515, customers!C515:C1515, 0)=0, "", _xlfn.XLOOKUP(C516, customers!A515:A1515, customers!C515:C1515, 0))</f>
        <v>pwitheringtonea@networkadvertising.org</v>
      </c>
      <c r="H516" s="2" t="str" cm="1">
        <f t="array" ref="H516">_xlfn.XLOOKUP(C516, customers!$A$1:A1515, customers!$G$1:G1515,, 0)</f>
        <v>United States</v>
      </c>
      <c r="I516" t="str" cm="1">
        <f t="array" ref="I516">_xlfn.XLOOKUP(orders!D516, products!$A$1:A563, products!$B$1:B563, 0)</f>
        <v>Lib</v>
      </c>
      <c r="J516" t="str" cm="1">
        <f t="array" ref="J516">_xlfn.XLOOKUP(D516, products!$A$1:A563, products!$C$1:C563, 0)</f>
        <v>M</v>
      </c>
      <c r="K516" s="4" cm="1">
        <f t="array" ref="K516">_xlfn.XLOOKUP(D516, products!$A$1:A563, products!$D$1:D563, 0)</f>
        <v>0.2</v>
      </c>
      <c r="L516" s="4" cm="1">
        <f t="array" ref="L516">_xlfn.XLOOKUP(D516, products!$A$1:A563, products!$E$1:E563)</f>
        <v>4.3650000000000002</v>
      </c>
      <c r="M516">
        <f t="shared" si="16"/>
        <v>26.19</v>
      </c>
      <c r="N516" t="str">
        <f t="shared" si="17"/>
        <v>Liberica</v>
      </c>
      <c r="O516" t="str" cm="1">
        <f t="array" ref="O516">_xlfn.IFS(J516="M", "Medium", J516="L", "Light", J516="D", "Dark")</f>
        <v>Medium</v>
      </c>
      <c r="P516" t="str">
        <f>_xlfn.XLOOKUP(Orders[[#This Row],[Customer ID]], customers!$A$2:$A$1001, customers!$I$2:$I$1001, 0)</f>
        <v>Yes</v>
      </c>
    </row>
    <row r="517" spans="1:16" x14ac:dyDescent="0.35">
      <c r="A517" s="2" t="s">
        <v>3402</v>
      </c>
      <c r="B517" s="3">
        <v>44673</v>
      </c>
      <c r="C517" s="2" t="s">
        <v>3403</v>
      </c>
      <c r="D517" t="s">
        <v>6173</v>
      </c>
      <c r="E517" s="2">
        <v>3</v>
      </c>
      <c r="F517" s="2" t="str" cm="1">
        <f t="array" ref="F517">_xlfn.XLOOKUP(C517, customers!$A$1:A1516, customers!$B$1:B1516, 0)</f>
        <v>Tildie Tilzey</v>
      </c>
      <c r="G517" s="2" t="str">
        <f>IF(_xlfn.XLOOKUP(C517, customers!A516:A1516, customers!C516:C1516, 0)=0, "", _xlfn.XLOOKUP(C517, customers!A516:A1516, customers!C516:C1516, 0))</f>
        <v>ttilzeyeb@hostgator.com</v>
      </c>
      <c r="H517" s="2" t="str" cm="1">
        <f t="array" ref="H517">_xlfn.XLOOKUP(C517, customers!$A$1:A1516, customers!$G$1:G1516,, 0)</f>
        <v>United States</v>
      </c>
      <c r="I517" t="str" cm="1">
        <f t="array" ref="I517">_xlfn.XLOOKUP(orders!D517, products!$A$1:A564, products!$B$1:B564, 0)</f>
        <v>Rob</v>
      </c>
      <c r="J517" t="str" cm="1">
        <f t="array" ref="J517">_xlfn.XLOOKUP(D517, products!$A$1:A564, products!$C$1:C564, 0)</f>
        <v>L</v>
      </c>
      <c r="K517" s="4" cm="1">
        <f t="array" ref="K517">_xlfn.XLOOKUP(D517, products!$A$1:A564, products!$D$1:D564, 0)</f>
        <v>0.5</v>
      </c>
      <c r="L517" s="4" cm="1">
        <f t="array" ref="L517">_xlfn.XLOOKUP(D517, products!$A$1:A564, products!$E$1:E564)</f>
        <v>7.169999999999999</v>
      </c>
      <c r="M517">
        <f t="shared" si="16"/>
        <v>21.509999999999998</v>
      </c>
      <c r="N517" t="str">
        <f t="shared" si="17"/>
        <v>Robusta</v>
      </c>
      <c r="O517" t="str" cm="1">
        <f t="array" ref="O517">_xlfn.IFS(J517="M", "Medium", J517="L", "Light", J517="D", "Dark")</f>
        <v>Light</v>
      </c>
      <c r="P517" t="str">
        <f>_xlfn.XLOOKUP(Orders[[#This Row],[Customer ID]], customers!$A$2:$A$1001, customers!$I$2:$I$1001, 0)</f>
        <v>No</v>
      </c>
    </row>
    <row r="518" spans="1:16" x14ac:dyDescent="0.35">
      <c r="A518" s="2" t="s">
        <v>3408</v>
      </c>
      <c r="B518" s="3">
        <v>44723</v>
      </c>
      <c r="C518" s="2" t="s">
        <v>3409</v>
      </c>
      <c r="D518" t="s">
        <v>6149</v>
      </c>
      <c r="E518" s="2">
        <v>5</v>
      </c>
      <c r="F518" s="2" t="str" cm="1">
        <f t="array" ref="F518">_xlfn.XLOOKUP(C518, customers!$A$1:A1517, customers!$B$1:B1517, 0)</f>
        <v>Cindra Burling</v>
      </c>
      <c r="G518" s="2" t="str">
        <f>IF(_xlfn.XLOOKUP(C518, customers!A517:A1517, customers!C517:C1517, 0)=0, "", _xlfn.XLOOKUP(C518, customers!A517:A1517, customers!C517:C1517, 0))</f>
        <v/>
      </c>
      <c r="H518" s="2" t="str" cm="1">
        <f t="array" ref="H518">_xlfn.XLOOKUP(C518, customers!$A$1:A1517, customers!$G$1:G1517,, 0)</f>
        <v>United States</v>
      </c>
      <c r="I518" t="str" cm="1">
        <f t="array" ref="I518">_xlfn.XLOOKUP(orders!D518, products!$A$1:A565, products!$B$1:B565, 0)</f>
        <v>Rob</v>
      </c>
      <c r="J518" t="str" cm="1">
        <f t="array" ref="J518">_xlfn.XLOOKUP(D518, products!$A$1:A565, products!$C$1:C565, 0)</f>
        <v>D</v>
      </c>
      <c r="K518" s="4" cm="1">
        <f t="array" ref="K518">_xlfn.XLOOKUP(D518, products!$A$1:A565, products!$D$1:D565, 0)</f>
        <v>2.5</v>
      </c>
      <c r="L518" s="4" cm="1">
        <f t="array" ref="L518">_xlfn.XLOOKUP(D518, products!$A$1:A565, products!$E$1:E565)</f>
        <v>20.584999999999997</v>
      </c>
      <c r="M518">
        <f t="shared" si="16"/>
        <v>102.92499999999998</v>
      </c>
      <c r="N518" t="str">
        <f t="shared" si="17"/>
        <v>Robusta</v>
      </c>
      <c r="O518" t="str" cm="1">
        <f t="array" ref="O518">_xlfn.IFS(J518="M", "Medium", J518="L", "Light", J518="D", "Dark")</f>
        <v>Dark</v>
      </c>
      <c r="P518" t="str">
        <f>_xlfn.XLOOKUP(Orders[[#This Row],[Customer ID]], customers!$A$2:$A$1001, customers!$I$2:$I$1001, 0)</f>
        <v>Yes</v>
      </c>
    </row>
    <row r="519" spans="1:16" x14ac:dyDescent="0.35">
      <c r="A519" s="2" t="s">
        <v>3413</v>
      </c>
      <c r="B519" s="3">
        <v>44678</v>
      </c>
      <c r="C519" s="2" t="s">
        <v>3414</v>
      </c>
      <c r="D519" t="s">
        <v>6150</v>
      </c>
      <c r="E519" s="2">
        <v>2</v>
      </c>
      <c r="F519" s="2" t="str" cm="1">
        <f t="array" ref="F519">_xlfn.XLOOKUP(C519, customers!$A$1:A1518, customers!$B$1:B1518, 0)</f>
        <v>Channa Belamy</v>
      </c>
      <c r="G519" s="2" t="str">
        <f>IF(_xlfn.XLOOKUP(C519, customers!A518:A1518, customers!C518:C1518, 0)=0, "", _xlfn.XLOOKUP(C519, customers!A518:A1518, customers!C518:C1518, 0))</f>
        <v/>
      </c>
      <c r="H519" s="2" t="str" cm="1">
        <f t="array" ref="H519">_xlfn.XLOOKUP(C519, customers!$A$1:A1518, customers!$G$1:G1518,, 0)</f>
        <v>United States</v>
      </c>
      <c r="I519" t="str" cm="1">
        <f t="array" ref="I519">_xlfn.XLOOKUP(orders!D519, products!$A$1:A566, products!$B$1:B566, 0)</f>
        <v>Lib</v>
      </c>
      <c r="J519" t="str" cm="1">
        <f t="array" ref="J519">_xlfn.XLOOKUP(D519, products!$A$1:A566, products!$C$1:C566, 0)</f>
        <v>D</v>
      </c>
      <c r="K519" s="4" cm="1">
        <f t="array" ref="K519">_xlfn.XLOOKUP(D519, products!$A$1:A566, products!$D$1:D566, 0)</f>
        <v>0.2</v>
      </c>
      <c r="L519" s="4" cm="1">
        <f t="array" ref="L519">_xlfn.XLOOKUP(D519, products!$A$1:A566, products!$E$1:E566)</f>
        <v>3.8849999999999998</v>
      </c>
      <c r="M519">
        <f t="shared" si="16"/>
        <v>7.77</v>
      </c>
      <c r="N519" t="str">
        <f t="shared" si="17"/>
        <v>Liberica</v>
      </c>
      <c r="O519" t="str" cm="1">
        <f t="array" ref="O519">_xlfn.IFS(J519="M", "Medium", J519="L", "Light", J519="D", "Dark")</f>
        <v>Dark</v>
      </c>
      <c r="P519" t="str">
        <f>_xlfn.XLOOKUP(Orders[[#This Row],[Customer ID]], customers!$A$2:$A$1001, customers!$I$2:$I$1001, 0)</f>
        <v>No</v>
      </c>
    </row>
    <row r="520" spans="1:16" x14ac:dyDescent="0.35">
      <c r="A520" s="2" t="s">
        <v>3418</v>
      </c>
      <c r="B520" s="3">
        <v>44194</v>
      </c>
      <c r="C520" s="2" t="s">
        <v>3419</v>
      </c>
      <c r="D520" t="s">
        <v>6185</v>
      </c>
      <c r="E520" s="2">
        <v>5</v>
      </c>
      <c r="F520" s="2" t="str" cm="1">
        <f t="array" ref="F520">_xlfn.XLOOKUP(C520, customers!$A$1:A1519, customers!$B$1:B1519, 0)</f>
        <v>Karl Imorts</v>
      </c>
      <c r="G520" s="2" t="str">
        <f>IF(_xlfn.XLOOKUP(C520, customers!A519:A1519, customers!C519:C1519, 0)=0, "", _xlfn.XLOOKUP(C520, customers!A519:A1519, customers!C519:C1519, 0))</f>
        <v>kimortsee@alexa.com</v>
      </c>
      <c r="H520" s="2" t="str" cm="1">
        <f t="array" ref="H520">_xlfn.XLOOKUP(C520, customers!$A$1:A1519, customers!$G$1:G1519,, 0)</f>
        <v>United States</v>
      </c>
      <c r="I520" t="str" cm="1">
        <f t="array" ref="I520">_xlfn.XLOOKUP(orders!D520, products!$A$1:A567, products!$B$1:B567, 0)</f>
        <v>Exc</v>
      </c>
      <c r="J520" t="str" cm="1">
        <f t="array" ref="J520">_xlfn.XLOOKUP(D520, products!$A$1:A567, products!$C$1:C567, 0)</f>
        <v>D</v>
      </c>
      <c r="K520" s="4" cm="1">
        <f t="array" ref="K520">_xlfn.XLOOKUP(D520, products!$A$1:A567, products!$D$1:D567, 0)</f>
        <v>2.5</v>
      </c>
      <c r="L520" s="4" cm="1">
        <f t="array" ref="L520">_xlfn.XLOOKUP(D520, products!$A$1:A567, products!$E$1:E567)</f>
        <v>27.945</v>
      </c>
      <c r="M520">
        <f t="shared" si="16"/>
        <v>139.72499999999999</v>
      </c>
      <c r="N520" t="str">
        <f t="shared" si="17"/>
        <v>Excelsa</v>
      </c>
      <c r="O520" t="str" cm="1">
        <f t="array" ref="O520">_xlfn.IFS(J520="M", "Medium", J520="L", "Light", J520="D", "Dark")</f>
        <v>Dark</v>
      </c>
      <c r="P520" t="str">
        <f>_xlfn.XLOOKUP(Orders[[#This Row],[Customer ID]], customers!$A$2:$A$1001, customers!$I$2:$I$1001, 0)</f>
        <v>No</v>
      </c>
    </row>
    <row r="521" spans="1:16" x14ac:dyDescent="0.35">
      <c r="A521" s="2" t="s">
        <v>3424</v>
      </c>
      <c r="B521" s="3">
        <v>44026</v>
      </c>
      <c r="C521" s="2" t="s">
        <v>3368</v>
      </c>
      <c r="D521" t="s">
        <v>6158</v>
      </c>
      <c r="E521" s="2">
        <v>2</v>
      </c>
      <c r="F521" s="2" t="str" cm="1">
        <f t="array" ref="F521">_xlfn.XLOOKUP(C521, customers!$A$1:A1520, customers!$B$1:B1520, 0)</f>
        <v>Marja Urion</v>
      </c>
      <c r="G521" s="2" t="str">
        <f>IF(_xlfn.XLOOKUP(C521, customers!A520:A1520, customers!C520:C1520, 0)=0, "", _xlfn.XLOOKUP(C521, customers!A520:A1520, customers!C520:C1520, 0))</f>
        <v/>
      </c>
      <c r="H521" s="2" t="str" cm="1">
        <f t="array" ref="H521">_xlfn.XLOOKUP(C521, customers!$A$1:A1520, customers!$G$1:G1520,, 0)</f>
        <v>Ireland</v>
      </c>
      <c r="I521" t="str" cm="1">
        <f t="array" ref="I521">_xlfn.XLOOKUP(orders!D521, products!$A$1:A568, products!$B$1:B568, 0)</f>
        <v>Ara</v>
      </c>
      <c r="J521" t="str" cm="1">
        <f t="array" ref="J521">_xlfn.XLOOKUP(D521, products!$A$1:A568, products!$C$1:C568, 0)</f>
        <v>D</v>
      </c>
      <c r="K521" s="4" cm="1">
        <f t="array" ref="K521">_xlfn.XLOOKUP(D521, products!$A$1:A568, products!$D$1:D568, 0)</f>
        <v>0.5</v>
      </c>
      <c r="L521" s="4" cm="1">
        <f t="array" ref="L521">_xlfn.XLOOKUP(D521, products!$A$1:A568, products!$E$1:E568)</f>
        <v>5.97</v>
      </c>
      <c r="M521">
        <f t="shared" si="16"/>
        <v>11.94</v>
      </c>
      <c r="N521" t="str">
        <f t="shared" si="17"/>
        <v>Arabica</v>
      </c>
      <c r="O521" t="str" cm="1">
        <f t="array" ref="O521">_xlfn.IFS(J521="M", "Medium", J521="L", "Light", J521="D", "Dark")</f>
        <v>Dark</v>
      </c>
      <c r="P521" t="str">
        <f>_xlfn.XLOOKUP(Orders[[#This Row],[Customer ID]], customers!$A$2:$A$1001, customers!$I$2:$I$1001, 0)</f>
        <v>Yes</v>
      </c>
    </row>
    <row r="522" spans="1:16" x14ac:dyDescent="0.35">
      <c r="A522" s="2" t="s">
        <v>3430</v>
      </c>
      <c r="B522" s="3">
        <v>44446</v>
      </c>
      <c r="C522" s="2" t="s">
        <v>3431</v>
      </c>
      <c r="D522" t="s">
        <v>6150</v>
      </c>
      <c r="E522" s="2">
        <v>1</v>
      </c>
      <c r="F522" s="2" t="str" cm="1">
        <f t="array" ref="F522">_xlfn.XLOOKUP(C522, customers!$A$1:A1521, customers!$B$1:B1521, 0)</f>
        <v>Mag Armistead</v>
      </c>
      <c r="G522" s="2" t="str">
        <f>IF(_xlfn.XLOOKUP(C522, customers!A521:A1521, customers!C521:C1521, 0)=0, "", _xlfn.XLOOKUP(C522, customers!A521:A1521, customers!C521:C1521, 0))</f>
        <v>marmisteadeg@blogtalkradio.com</v>
      </c>
      <c r="H522" s="2" t="str" cm="1">
        <f t="array" ref="H522">_xlfn.XLOOKUP(C522, customers!$A$1:A1521, customers!$G$1:G1521,, 0)</f>
        <v>United States</v>
      </c>
      <c r="I522" t="str" cm="1">
        <f t="array" ref="I522">_xlfn.XLOOKUP(orders!D522, products!$A$1:A569, products!$B$1:B569, 0)</f>
        <v>Lib</v>
      </c>
      <c r="J522" t="str" cm="1">
        <f t="array" ref="J522">_xlfn.XLOOKUP(D522, products!$A$1:A569, products!$C$1:C569, 0)</f>
        <v>D</v>
      </c>
      <c r="K522" s="4" cm="1">
        <f t="array" ref="K522">_xlfn.XLOOKUP(D522, products!$A$1:A569, products!$D$1:D569, 0)</f>
        <v>0.2</v>
      </c>
      <c r="L522" s="4" cm="1">
        <f t="array" ref="L522">_xlfn.XLOOKUP(D522, products!$A$1:A569, products!$E$1:E569)</f>
        <v>3.8849999999999998</v>
      </c>
      <c r="M522">
        <f t="shared" si="16"/>
        <v>3.8849999999999998</v>
      </c>
      <c r="N522" t="str">
        <f t="shared" si="17"/>
        <v>Liberica</v>
      </c>
      <c r="O522" t="str" cm="1">
        <f t="array" ref="O522">_xlfn.IFS(J522="M", "Medium", J522="L", "Light", J522="D", "Dark")</f>
        <v>Dark</v>
      </c>
      <c r="P522" t="str">
        <f>_xlfn.XLOOKUP(Orders[[#This Row],[Customer ID]], customers!$A$2:$A$1001, customers!$I$2:$I$1001, 0)</f>
        <v>No</v>
      </c>
    </row>
    <row r="523" spans="1:16" x14ac:dyDescent="0.35">
      <c r="A523" s="2" t="s">
        <v>3430</v>
      </c>
      <c r="B523" s="3">
        <v>44446</v>
      </c>
      <c r="C523" s="2" t="s">
        <v>3431</v>
      </c>
      <c r="D523" t="s">
        <v>6138</v>
      </c>
      <c r="E523" s="2">
        <v>4</v>
      </c>
      <c r="F523" s="2" t="str" cm="1">
        <f t="array" ref="F523">_xlfn.XLOOKUP(C523, customers!$A$1:A1522, customers!$B$1:B1522, 0)</f>
        <v>Mag Armistead</v>
      </c>
      <c r="G523" s="2" t="str">
        <f>IF(_xlfn.XLOOKUP(C523, customers!A522:A1522, customers!C522:C1522, 0)=0, "", _xlfn.XLOOKUP(C523, customers!A522:A1522, customers!C522:C1522, 0))</f>
        <v>marmisteadeg@blogtalkradio.com</v>
      </c>
      <c r="H523" s="2" t="str" cm="1">
        <f t="array" ref="H523">_xlfn.XLOOKUP(C523, customers!$A$1:A1522, customers!$G$1:G1522,, 0)</f>
        <v>United States</v>
      </c>
      <c r="I523" t="str" cm="1">
        <f t="array" ref="I523">_xlfn.XLOOKUP(orders!D523, products!$A$1:A570, products!$B$1:B570, 0)</f>
        <v>Rob</v>
      </c>
      <c r="J523" t="str" cm="1">
        <f t="array" ref="J523">_xlfn.XLOOKUP(D523, products!$A$1:A570, products!$C$1:C570, 0)</f>
        <v>M</v>
      </c>
      <c r="K523" s="4" cm="1">
        <f t="array" ref="K523">_xlfn.XLOOKUP(D523, products!$A$1:A570, products!$D$1:D570, 0)</f>
        <v>1</v>
      </c>
      <c r="L523" s="4" cm="1">
        <f t="array" ref="L523">_xlfn.XLOOKUP(D523, products!$A$1:A570, products!$E$1:E570)</f>
        <v>9.9499999999999993</v>
      </c>
      <c r="M523">
        <f t="shared" si="16"/>
        <v>39.799999999999997</v>
      </c>
      <c r="N523" t="str">
        <f t="shared" si="17"/>
        <v>Robusta</v>
      </c>
      <c r="O523" t="str" cm="1">
        <f t="array" ref="O523">_xlfn.IFS(J523="M", "Medium", J523="L", "Light", J523="D", "Dark")</f>
        <v>Medium</v>
      </c>
      <c r="P523" t="str">
        <f>_xlfn.XLOOKUP(Orders[[#This Row],[Customer ID]], customers!$A$2:$A$1001, customers!$I$2:$I$1001, 0)</f>
        <v>No</v>
      </c>
    </row>
    <row r="524" spans="1:16" x14ac:dyDescent="0.35">
      <c r="A524" s="2" t="s">
        <v>3441</v>
      </c>
      <c r="B524" s="3">
        <v>43625</v>
      </c>
      <c r="C524" s="2" t="s">
        <v>3442</v>
      </c>
      <c r="D524" t="s">
        <v>6146</v>
      </c>
      <c r="E524" s="2">
        <v>5</v>
      </c>
      <c r="F524" s="2" t="str" cm="1">
        <f t="array" ref="F524">_xlfn.XLOOKUP(C524, customers!$A$1:A1523, customers!$B$1:B1523, 0)</f>
        <v>Vasili Upstone</v>
      </c>
      <c r="G524" s="2" t="str">
        <f>IF(_xlfn.XLOOKUP(C524, customers!A523:A1523, customers!C523:C1523, 0)=0, "", _xlfn.XLOOKUP(C524, customers!A523:A1523, customers!C523:C1523, 0))</f>
        <v>vupstoneei@google.pl</v>
      </c>
      <c r="H524" s="2" t="str" cm="1">
        <f t="array" ref="H524">_xlfn.XLOOKUP(C524, customers!$A$1:A1523, customers!$G$1:G1523,, 0)</f>
        <v>United States</v>
      </c>
      <c r="I524" t="str" cm="1">
        <f t="array" ref="I524">_xlfn.XLOOKUP(orders!D524, products!$A$1:A571, products!$B$1:B571, 0)</f>
        <v>Rob</v>
      </c>
      <c r="J524" t="str" cm="1">
        <f t="array" ref="J524">_xlfn.XLOOKUP(D524, products!$A$1:A571, products!$C$1:C571, 0)</f>
        <v>M</v>
      </c>
      <c r="K524" s="4" cm="1">
        <f t="array" ref="K524">_xlfn.XLOOKUP(D524, products!$A$1:A571, products!$D$1:D571, 0)</f>
        <v>0.5</v>
      </c>
      <c r="L524" s="4" cm="1">
        <f t="array" ref="L524">_xlfn.XLOOKUP(D524, products!$A$1:A571, products!$E$1:E571)</f>
        <v>5.97</v>
      </c>
      <c r="M524">
        <f t="shared" si="16"/>
        <v>29.849999999999998</v>
      </c>
      <c r="N524" t="str">
        <f t="shared" si="17"/>
        <v>Robusta</v>
      </c>
      <c r="O524" t="str" cm="1">
        <f t="array" ref="O524">_xlfn.IFS(J524="M", "Medium", J524="L", "Light", J524="D", "Dark")</f>
        <v>Medium</v>
      </c>
      <c r="P524" t="str">
        <f>_xlfn.XLOOKUP(Orders[[#This Row],[Customer ID]], customers!$A$2:$A$1001, customers!$I$2:$I$1001, 0)</f>
        <v>No</v>
      </c>
    </row>
    <row r="525" spans="1:16" x14ac:dyDescent="0.35">
      <c r="A525" s="2" t="s">
        <v>3447</v>
      </c>
      <c r="B525" s="3">
        <v>44129</v>
      </c>
      <c r="C525" s="2" t="s">
        <v>3448</v>
      </c>
      <c r="D525" t="s">
        <v>6165</v>
      </c>
      <c r="E525" s="2">
        <v>1</v>
      </c>
      <c r="F525" s="2" t="str" cm="1">
        <f t="array" ref="F525">_xlfn.XLOOKUP(C525, customers!$A$1:A1524, customers!$B$1:B1524, 0)</f>
        <v>Berty Beelby</v>
      </c>
      <c r="G525" s="2" t="str">
        <f>IF(_xlfn.XLOOKUP(C525, customers!A524:A1524, customers!C524:C1524, 0)=0, "", _xlfn.XLOOKUP(C525, customers!A524:A1524, customers!C524:C1524, 0))</f>
        <v>bbeelbyej@rediff.com</v>
      </c>
      <c r="H525" s="2" t="str" cm="1">
        <f t="array" ref="H525">_xlfn.XLOOKUP(C525, customers!$A$1:A1524, customers!$G$1:G1524,, 0)</f>
        <v>Ireland</v>
      </c>
      <c r="I525" t="str" cm="1">
        <f t="array" ref="I525">_xlfn.XLOOKUP(orders!D525, products!$A$1:A572, products!$B$1:B572, 0)</f>
        <v>Lib</v>
      </c>
      <c r="J525" t="str" cm="1">
        <f t="array" ref="J525">_xlfn.XLOOKUP(D525, products!$A$1:A572, products!$C$1:C572, 0)</f>
        <v>D</v>
      </c>
      <c r="K525" s="4" cm="1">
        <f t="array" ref="K525">_xlfn.XLOOKUP(D525, products!$A$1:A572, products!$D$1:D572, 0)</f>
        <v>2.5</v>
      </c>
      <c r="L525" s="4" cm="1">
        <f t="array" ref="L525">_xlfn.XLOOKUP(D525, products!$A$1:A572, products!$E$1:E572)</f>
        <v>29.784999999999997</v>
      </c>
      <c r="M525">
        <f t="shared" si="16"/>
        <v>29.784999999999997</v>
      </c>
      <c r="N525" t="str">
        <f t="shared" si="17"/>
        <v>Liberica</v>
      </c>
      <c r="O525" t="str" cm="1">
        <f t="array" ref="O525">_xlfn.IFS(J525="M", "Medium", J525="L", "Light", J525="D", "Dark")</f>
        <v>Dark</v>
      </c>
      <c r="P525" t="str">
        <f>_xlfn.XLOOKUP(Orders[[#This Row],[Customer ID]], customers!$A$2:$A$1001, customers!$I$2:$I$1001, 0)</f>
        <v>No</v>
      </c>
    </row>
    <row r="526" spans="1:16" x14ac:dyDescent="0.35">
      <c r="A526" s="2" t="s">
        <v>3453</v>
      </c>
      <c r="B526" s="3">
        <v>44255</v>
      </c>
      <c r="C526" s="2" t="s">
        <v>3454</v>
      </c>
      <c r="D526" t="s">
        <v>6164</v>
      </c>
      <c r="E526" s="2">
        <v>2</v>
      </c>
      <c r="F526" s="2" t="str" cm="1">
        <f t="array" ref="F526">_xlfn.XLOOKUP(C526, customers!$A$1:A1525, customers!$B$1:B1525, 0)</f>
        <v>Erny Stenyng</v>
      </c>
      <c r="G526" s="2" t="str">
        <f>IF(_xlfn.XLOOKUP(C526, customers!A525:A1525, customers!C525:C1525, 0)=0, "", _xlfn.XLOOKUP(C526, customers!A525:A1525, customers!C525:C1525, 0))</f>
        <v/>
      </c>
      <c r="H526" s="2" t="str" cm="1">
        <f t="array" ref="H526">_xlfn.XLOOKUP(C526, customers!$A$1:A1525, customers!$G$1:G1525,, 0)</f>
        <v>United States</v>
      </c>
      <c r="I526" t="str" cm="1">
        <f t="array" ref="I526">_xlfn.XLOOKUP(orders!D526, products!$A$1:A573, products!$B$1:B573, 0)</f>
        <v>Lib</v>
      </c>
      <c r="J526" t="str" cm="1">
        <f t="array" ref="J526">_xlfn.XLOOKUP(D526, products!$A$1:A573, products!$C$1:C573, 0)</f>
        <v>L</v>
      </c>
      <c r="K526" s="4" cm="1">
        <f t="array" ref="K526">_xlfn.XLOOKUP(D526, products!$A$1:A573, products!$D$1:D573, 0)</f>
        <v>2.5</v>
      </c>
      <c r="L526" s="4" cm="1">
        <f t="array" ref="L526">_xlfn.XLOOKUP(D526, products!$A$1:A573, products!$E$1:E573)</f>
        <v>36.454999999999998</v>
      </c>
      <c r="M526">
        <f t="shared" si="16"/>
        <v>72.91</v>
      </c>
      <c r="N526" t="str">
        <f t="shared" si="17"/>
        <v>Liberica</v>
      </c>
      <c r="O526" t="str" cm="1">
        <f t="array" ref="O526">_xlfn.IFS(J526="M", "Medium", J526="L", "Light", J526="D", "Dark")</f>
        <v>Light</v>
      </c>
      <c r="P526" t="str">
        <f>_xlfn.XLOOKUP(Orders[[#This Row],[Customer ID]], customers!$A$2:$A$1001, customers!$I$2:$I$1001, 0)</f>
        <v>No</v>
      </c>
    </row>
    <row r="527" spans="1:16" x14ac:dyDescent="0.35">
      <c r="A527" s="2" t="s">
        <v>3458</v>
      </c>
      <c r="B527" s="3">
        <v>44038</v>
      </c>
      <c r="C527" s="2" t="s">
        <v>3459</v>
      </c>
      <c r="D527" t="s">
        <v>6163</v>
      </c>
      <c r="E527" s="2">
        <v>5</v>
      </c>
      <c r="F527" s="2" t="str" cm="1">
        <f t="array" ref="F527">_xlfn.XLOOKUP(C527, customers!$A$1:A1526, customers!$B$1:B1526, 0)</f>
        <v>Edin Yantsurev</v>
      </c>
      <c r="G527" s="2" t="str">
        <f>IF(_xlfn.XLOOKUP(C527, customers!A526:A1526, customers!C526:C1526, 0)=0, "", _xlfn.XLOOKUP(C527, customers!A526:A1526, customers!C526:C1526, 0))</f>
        <v/>
      </c>
      <c r="H527" s="2" t="str" cm="1">
        <f t="array" ref="H527">_xlfn.XLOOKUP(C527, customers!$A$1:A1526, customers!$G$1:G1526,, 0)</f>
        <v>United States</v>
      </c>
      <c r="I527" t="str" cm="1">
        <f t="array" ref="I527">_xlfn.XLOOKUP(orders!D527, products!$A$1:A574, products!$B$1:B574, 0)</f>
        <v>Rob</v>
      </c>
      <c r="J527" t="str" cm="1">
        <f t="array" ref="J527">_xlfn.XLOOKUP(D527, products!$A$1:A574, products!$C$1:C574, 0)</f>
        <v>D</v>
      </c>
      <c r="K527" s="4" cm="1">
        <f t="array" ref="K527">_xlfn.XLOOKUP(D527, products!$A$1:A574, products!$D$1:D574, 0)</f>
        <v>0.2</v>
      </c>
      <c r="L527" s="4" cm="1">
        <f t="array" ref="L527">_xlfn.XLOOKUP(D527, products!$A$1:A574, products!$E$1:E574)</f>
        <v>2.6849999999999996</v>
      </c>
      <c r="M527">
        <f t="shared" si="16"/>
        <v>13.424999999999997</v>
      </c>
      <c r="N527" t="str">
        <f t="shared" si="17"/>
        <v>Robusta</v>
      </c>
      <c r="O527" t="str" cm="1">
        <f t="array" ref="O527">_xlfn.IFS(J527="M", "Medium", J527="L", "Light", J527="D", "Dark")</f>
        <v>Dark</v>
      </c>
      <c r="P527" t="str">
        <f>_xlfn.XLOOKUP(Orders[[#This Row],[Customer ID]], customers!$A$2:$A$1001, customers!$I$2:$I$1001, 0)</f>
        <v>Yes</v>
      </c>
    </row>
    <row r="528" spans="1:16" x14ac:dyDescent="0.35">
      <c r="A528" s="2" t="s">
        <v>3463</v>
      </c>
      <c r="B528" s="3">
        <v>44717</v>
      </c>
      <c r="C528" s="2" t="s">
        <v>3464</v>
      </c>
      <c r="D528" t="s">
        <v>6166</v>
      </c>
      <c r="E528" s="2">
        <v>4</v>
      </c>
      <c r="F528" s="2" t="str" cm="1">
        <f t="array" ref="F528">_xlfn.XLOOKUP(C528, customers!$A$1:A1527, customers!$B$1:B1527, 0)</f>
        <v>Webb Speechly</v>
      </c>
      <c r="G528" s="2" t="str">
        <f>IF(_xlfn.XLOOKUP(C528, customers!A527:A1527, customers!C527:C1527, 0)=0, "", _xlfn.XLOOKUP(C528, customers!A527:A1527, customers!C527:C1527, 0))</f>
        <v>wspeechlyem@amazon.com</v>
      </c>
      <c r="H528" s="2" t="str" cm="1">
        <f t="array" ref="H528">_xlfn.XLOOKUP(C528, customers!$A$1:A1527, customers!$G$1:G1527,, 0)</f>
        <v>United States</v>
      </c>
      <c r="I528" t="str" cm="1">
        <f t="array" ref="I528">_xlfn.XLOOKUP(orders!D528, products!$A$1:A575, products!$B$1:B575, 0)</f>
        <v>Exc</v>
      </c>
      <c r="J528" t="str" cm="1">
        <f t="array" ref="J528">_xlfn.XLOOKUP(D528, products!$A$1:A575, products!$C$1:C575, 0)</f>
        <v>M</v>
      </c>
      <c r="K528" s="4" cm="1">
        <f t="array" ref="K528">_xlfn.XLOOKUP(D528, products!$A$1:A575, products!$D$1:D575, 0)</f>
        <v>2.5</v>
      </c>
      <c r="L528" s="4" cm="1">
        <f t="array" ref="L528">_xlfn.XLOOKUP(D528, products!$A$1:A575, products!$E$1:E575)</f>
        <v>31.624999999999996</v>
      </c>
      <c r="M528">
        <f t="shared" si="16"/>
        <v>126.49999999999999</v>
      </c>
      <c r="N528" t="str">
        <f t="shared" si="17"/>
        <v>Excelsa</v>
      </c>
      <c r="O528" t="str" cm="1">
        <f t="array" ref="O528">_xlfn.IFS(J528="M", "Medium", J528="L", "Light", J528="D", "Dark")</f>
        <v>Medium</v>
      </c>
      <c r="P528" t="str">
        <f>_xlfn.XLOOKUP(Orders[[#This Row],[Customer ID]], customers!$A$2:$A$1001, customers!$I$2:$I$1001, 0)</f>
        <v>Yes</v>
      </c>
    </row>
    <row r="529" spans="1:16" x14ac:dyDescent="0.35">
      <c r="A529" s="2" t="s">
        <v>3469</v>
      </c>
      <c r="B529" s="3">
        <v>43517</v>
      </c>
      <c r="C529" s="2" t="s">
        <v>3470</v>
      </c>
      <c r="D529" t="s">
        <v>6139</v>
      </c>
      <c r="E529" s="2">
        <v>5</v>
      </c>
      <c r="F529" s="2" t="str" cm="1">
        <f t="array" ref="F529">_xlfn.XLOOKUP(C529, customers!$A$1:A1528, customers!$B$1:B1528, 0)</f>
        <v>Irvine Phillpot</v>
      </c>
      <c r="G529" s="2" t="str">
        <f>IF(_xlfn.XLOOKUP(C529, customers!A528:A1528, customers!C528:C1528, 0)=0, "", _xlfn.XLOOKUP(C529, customers!A528:A1528, customers!C528:C1528, 0))</f>
        <v>iphillpoten@buzzfeed.com</v>
      </c>
      <c r="H529" s="2" t="str" cm="1">
        <f t="array" ref="H529">_xlfn.XLOOKUP(C529, customers!$A$1:A1528, customers!$G$1:G1528,, 0)</f>
        <v>United Kingdom</v>
      </c>
      <c r="I529" t="str" cm="1">
        <f t="array" ref="I529">_xlfn.XLOOKUP(orders!D529, products!$A$1:A576, products!$B$1:B576, 0)</f>
        <v>Exc</v>
      </c>
      <c r="J529" t="str" cm="1">
        <f t="array" ref="J529">_xlfn.XLOOKUP(D529, products!$A$1:A576, products!$C$1:C576, 0)</f>
        <v>M</v>
      </c>
      <c r="K529" s="4" cm="1">
        <f t="array" ref="K529">_xlfn.XLOOKUP(D529, products!$A$1:A576, products!$D$1:D576, 0)</f>
        <v>0.5</v>
      </c>
      <c r="L529" s="4" cm="1">
        <f t="array" ref="L529">_xlfn.XLOOKUP(D529, products!$A$1:A576, products!$E$1:E576)</f>
        <v>8.25</v>
      </c>
      <c r="M529">
        <f t="shared" si="16"/>
        <v>41.25</v>
      </c>
      <c r="N529" t="str">
        <f t="shared" si="17"/>
        <v>Excelsa</v>
      </c>
      <c r="O529" t="str" cm="1">
        <f t="array" ref="O529">_xlfn.IFS(J529="M", "Medium", J529="L", "Light", J529="D", "Dark")</f>
        <v>Medium</v>
      </c>
      <c r="P529" t="str">
        <f>_xlfn.XLOOKUP(Orders[[#This Row],[Customer ID]], customers!$A$2:$A$1001, customers!$I$2:$I$1001, 0)</f>
        <v>No</v>
      </c>
    </row>
    <row r="530" spans="1:16" x14ac:dyDescent="0.35">
      <c r="A530" s="2" t="s">
        <v>3475</v>
      </c>
      <c r="B530" s="3">
        <v>43926</v>
      </c>
      <c r="C530" s="2" t="s">
        <v>3476</v>
      </c>
      <c r="D530" t="s">
        <v>6176</v>
      </c>
      <c r="E530" s="2">
        <v>6</v>
      </c>
      <c r="F530" s="2" t="str" cm="1">
        <f t="array" ref="F530">_xlfn.XLOOKUP(C530, customers!$A$1:A1529, customers!$B$1:B1529, 0)</f>
        <v>Lem Pennacci</v>
      </c>
      <c r="G530" s="2" t="str">
        <f>IF(_xlfn.XLOOKUP(C530, customers!A529:A1529, customers!C529:C1529, 0)=0, "", _xlfn.XLOOKUP(C530, customers!A529:A1529, customers!C529:C1529, 0))</f>
        <v>lpennaccieo@statcounter.com</v>
      </c>
      <c r="H530" s="2" t="str" cm="1">
        <f t="array" ref="H530">_xlfn.XLOOKUP(C530, customers!$A$1:A1529, customers!$G$1:G1529,, 0)</f>
        <v>United States</v>
      </c>
      <c r="I530" t="str" cm="1">
        <f t="array" ref="I530">_xlfn.XLOOKUP(orders!D530, products!$A$1:A577, products!$B$1:B577, 0)</f>
        <v>Exc</v>
      </c>
      <c r="J530" t="str" cm="1">
        <f t="array" ref="J530">_xlfn.XLOOKUP(D530, products!$A$1:A577, products!$C$1:C577, 0)</f>
        <v>L</v>
      </c>
      <c r="K530" s="4" cm="1">
        <f t="array" ref="K530">_xlfn.XLOOKUP(D530, products!$A$1:A577, products!$D$1:D577, 0)</f>
        <v>0.5</v>
      </c>
      <c r="L530" s="4" cm="1">
        <f t="array" ref="L530">_xlfn.XLOOKUP(D530, products!$A$1:A577, products!$E$1:E577)</f>
        <v>8.91</v>
      </c>
      <c r="M530">
        <f t="shared" si="16"/>
        <v>53.46</v>
      </c>
      <c r="N530" t="str">
        <f t="shared" si="17"/>
        <v>Excelsa</v>
      </c>
      <c r="O530" t="str" cm="1">
        <f t="array" ref="O530">_xlfn.IFS(J530="M", "Medium", J530="L", "Light", J530="D", "Dark")</f>
        <v>Light</v>
      </c>
      <c r="P530" t="str">
        <f>_xlfn.XLOOKUP(Orders[[#This Row],[Customer ID]], customers!$A$2:$A$1001, customers!$I$2:$I$1001, 0)</f>
        <v>No</v>
      </c>
    </row>
    <row r="531" spans="1:16" x14ac:dyDescent="0.35">
      <c r="A531" s="2" t="s">
        <v>3481</v>
      </c>
      <c r="B531" s="3">
        <v>43475</v>
      </c>
      <c r="C531" s="2" t="s">
        <v>3482</v>
      </c>
      <c r="D531" t="s">
        <v>6138</v>
      </c>
      <c r="E531" s="2">
        <v>6</v>
      </c>
      <c r="F531" s="2" t="str" cm="1">
        <f t="array" ref="F531">_xlfn.XLOOKUP(C531, customers!$A$1:A1530, customers!$B$1:B1530, 0)</f>
        <v>Starr Arpin</v>
      </c>
      <c r="G531" s="2" t="str">
        <f>IF(_xlfn.XLOOKUP(C531, customers!A530:A1530, customers!C530:C1530, 0)=0, "", _xlfn.XLOOKUP(C531, customers!A530:A1530, customers!C530:C1530, 0))</f>
        <v>sarpinep@moonfruit.com</v>
      </c>
      <c r="H531" s="2" t="str" cm="1">
        <f t="array" ref="H531">_xlfn.XLOOKUP(C531, customers!$A$1:A1530, customers!$G$1:G1530,, 0)</f>
        <v>United States</v>
      </c>
      <c r="I531" t="str" cm="1">
        <f t="array" ref="I531">_xlfn.XLOOKUP(orders!D531, products!$A$1:A578, products!$B$1:B578, 0)</f>
        <v>Rob</v>
      </c>
      <c r="J531" t="str" cm="1">
        <f t="array" ref="J531">_xlfn.XLOOKUP(D531, products!$A$1:A578, products!$C$1:C578, 0)</f>
        <v>M</v>
      </c>
      <c r="K531" s="4" cm="1">
        <f t="array" ref="K531">_xlfn.XLOOKUP(D531, products!$A$1:A578, products!$D$1:D578, 0)</f>
        <v>1</v>
      </c>
      <c r="L531" s="4" cm="1">
        <f t="array" ref="L531">_xlfn.XLOOKUP(D531, products!$A$1:A578, products!$E$1:E578)</f>
        <v>9.9499999999999993</v>
      </c>
      <c r="M531">
        <f t="shared" si="16"/>
        <v>59.699999999999996</v>
      </c>
      <c r="N531" t="str">
        <f t="shared" si="17"/>
        <v>Robusta</v>
      </c>
      <c r="O531" t="str" cm="1">
        <f t="array" ref="O531">_xlfn.IFS(J531="M", "Medium", J531="L", "Light", J531="D", "Dark")</f>
        <v>Medium</v>
      </c>
      <c r="P531" t="str">
        <f>_xlfn.XLOOKUP(Orders[[#This Row],[Customer ID]], customers!$A$2:$A$1001, customers!$I$2:$I$1001, 0)</f>
        <v>No</v>
      </c>
    </row>
    <row r="532" spans="1:16" x14ac:dyDescent="0.35">
      <c r="A532" s="2" t="s">
        <v>3487</v>
      </c>
      <c r="B532" s="3">
        <v>44663</v>
      </c>
      <c r="C532" s="2" t="s">
        <v>3488</v>
      </c>
      <c r="D532" t="s">
        <v>6138</v>
      </c>
      <c r="E532" s="2">
        <v>6</v>
      </c>
      <c r="F532" s="2" t="str" cm="1">
        <f t="array" ref="F532">_xlfn.XLOOKUP(C532, customers!$A$1:A1531, customers!$B$1:B1531, 0)</f>
        <v>Donny Fries</v>
      </c>
      <c r="G532" s="2" t="str">
        <f>IF(_xlfn.XLOOKUP(C532, customers!A531:A1531, customers!C531:C1531, 0)=0, "", _xlfn.XLOOKUP(C532, customers!A531:A1531, customers!C531:C1531, 0))</f>
        <v>dfrieseq@cargocollective.com</v>
      </c>
      <c r="H532" s="2" t="str" cm="1">
        <f t="array" ref="H532">_xlfn.XLOOKUP(C532, customers!$A$1:A1531, customers!$G$1:G1531,, 0)</f>
        <v>United States</v>
      </c>
      <c r="I532" t="str" cm="1">
        <f t="array" ref="I532">_xlfn.XLOOKUP(orders!D532, products!$A$1:A579, products!$B$1:B579, 0)</f>
        <v>Rob</v>
      </c>
      <c r="J532" t="str" cm="1">
        <f t="array" ref="J532">_xlfn.XLOOKUP(D532, products!$A$1:A579, products!$C$1:C579, 0)</f>
        <v>M</v>
      </c>
      <c r="K532" s="4" cm="1">
        <f t="array" ref="K532">_xlfn.XLOOKUP(D532, products!$A$1:A579, products!$D$1:D579, 0)</f>
        <v>1</v>
      </c>
      <c r="L532" s="4" cm="1">
        <f t="array" ref="L532">_xlfn.XLOOKUP(D532, products!$A$1:A579, products!$E$1:E579)</f>
        <v>9.9499999999999993</v>
      </c>
      <c r="M532">
        <f t="shared" si="16"/>
        <v>59.699999999999996</v>
      </c>
      <c r="N532" t="str">
        <f t="shared" si="17"/>
        <v>Robusta</v>
      </c>
      <c r="O532" t="str" cm="1">
        <f t="array" ref="O532">_xlfn.IFS(J532="M", "Medium", J532="L", "Light", J532="D", "Dark")</f>
        <v>Medium</v>
      </c>
      <c r="P532" t="str">
        <f>_xlfn.XLOOKUP(Orders[[#This Row],[Customer ID]], customers!$A$2:$A$1001, customers!$I$2:$I$1001, 0)</f>
        <v>No</v>
      </c>
    </row>
    <row r="533" spans="1:16" x14ac:dyDescent="0.35">
      <c r="A533" s="2" t="s">
        <v>3493</v>
      </c>
      <c r="B533" s="3">
        <v>44591</v>
      </c>
      <c r="C533" s="2" t="s">
        <v>3494</v>
      </c>
      <c r="D533" t="s">
        <v>6177</v>
      </c>
      <c r="E533" s="2">
        <v>5</v>
      </c>
      <c r="F533" s="2" t="str" cm="1">
        <f t="array" ref="F533">_xlfn.XLOOKUP(C533, customers!$A$1:A1532, customers!$B$1:B1532, 0)</f>
        <v>Rana Sharer</v>
      </c>
      <c r="G533" s="2" t="str">
        <f>IF(_xlfn.XLOOKUP(C533, customers!A532:A1532, customers!C532:C1532, 0)=0, "", _xlfn.XLOOKUP(C533, customers!A532:A1532, customers!C532:C1532, 0))</f>
        <v>rsharerer@flavors.me</v>
      </c>
      <c r="H533" s="2" t="str" cm="1">
        <f t="array" ref="H533">_xlfn.XLOOKUP(C533, customers!$A$1:A1532, customers!$G$1:G1532,, 0)</f>
        <v>United States</v>
      </c>
      <c r="I533" t="str" cm="1">
        <f t="array" ref="I533">_xlfn.XLOOKUP(orders!D533, products!$A$1:A580, products!$B$1:B580, 0)</f>
        <v>Rob</v>
      </c>
      <c r="J533" t="str" cm="1">
        <f t="array" ref="J533">_xlfn.XLOOKUP(D533, products!$A$1:A580, products!$C$1:C580, 0)</f>
        <v>D</v>
      </c>
      <c r="K533" s="4" cm="1">
        <f t="array" ref="K533">_xlfn.XLOOKUP(D533, products!$A$1:A580, products!$D$1:D580, 0)</f>
        <v>1</v>
      </c>
      <c r="L533" s="4" cm="1">
        <f t="array" ref="L533">_xlfn.XLOOKUP(D533, products!$A$1:A580, products!$E$1:E580)</f>
        <v>8.9499999999999993</v>
      </c>
      <c r="M533">
        <f t="shared" si="16"/>
        <v>44.75</v>
      </c>
      <c r="N533" t="str">
        <f t="shared" si="17"/>
        <v>Robusta</v>
      </c>
      <c r="O533" t="str" cm="1">
        <f t="array" ref="O533">_xlfn.IFS(J533="M", "Medium", J533="L", "Light", J533="D", "Dark")</f>
        <v>Dark</v>
      </c>
      <c r="P533" t="str">
        <f>_xlfn.XLOOKUP(Orders[[#This Row],[Customer ID]], customers!$A$2:$A$1001, customers!$I$2:$I$1001, 0)</f>
        <v>No</v>
      </c>
    </row>
    <row r="534" spans="1:16" x14ac:dyDescent="0.35">
      <c r="A534" s="2" t="s">
        <v>3499</v>
      </c>
      <c r="B534" s="3">
        <v>44330</v>
      </c>
      <c r="C534" s="2" t="s">
        <v>3500</v>
      </c>
      <c r="D534" t="s">
        <v>6139</v>
      </c>
      <c r="E534" s="2">
        <v>2</v>
      </c>
      <c r="F534" s="2" t="str" cm="1">
        <f t="array" ref="F534">_xlfn.XLOOKUP(C534, customers!$A$1:A1533, customers!$B$1:B1533, 0)</f>
        <v>Nannie Naseby</v>
      </c>
      <c r="G534" s="2" t="str">
        <f>IF(_xlfn.XLOOKUP(C534, customers!A533:A1533, customers!C533:C1533, 0)=0, "", _xlfn.XLOOKUP(C534, customers!A533:A1533, customers!C533:C1533, 0))</f>
        <v>nnasebyes@umich.edu</v>
      </c>
      <c r="H534" s="2" t="str" cm="1">
        <f t="array" ref="H534">_xlfn.XLOOKUP(C534, customers!$A$1:A1533, customers!$G$1:G1533,, 0)</f>
        <v>United States</v>
      </c>
      <c r="I534" t="str" cm="1">
        <f t="array" ref="I534">_xlfn.XLOOKUP(orders!D534, products!$A$1:A581, products!$B$1:B581, 0)</f>
        <v>Exc</v>
      </c>
      <c r="J534" t="str" cm="1">
        <f t="array" ref="J534">_xlfn.XLOOKUP(D534, products!$A$1:A581, products!$C$1:C581, 0)</f>
        <v>M</v>
      </c>
      <c r="K534" s="4" cm="1">
        <f t="array" ref="K534">_xlfn.XLOOKUP(D534, products!$A$1:A581, products!$D$1:D581, 0)</f>
        <v>0.5</v>
      </c>
      <c r="L534" s="4" cm="1">
        <f t="array" ref="L534">_xlfn.XLOOKUP(D534, products!$A$1:A581, products!$E$1:E581)</f>
        <v>8.25</v>
      </c>
      <c r="M534">
        <f t="shared" si="16"/>
        <v>16.5</v>
      </c>
      <c r="N534" t="str">
        <f t="shared" si="17"/>
        <v>Excelsa</v>
      </c>
      <c r="O534" t="str" cm="1">
        <f t="array" ref="O534">_xlfn.IFS(J534="M", "Medium", J534="L", "Light", J534="D", "Dark")</f>
        <v>Medium</v>
      </c>
      <c r="P534" t="str">
        <f>_xlfn.XLOOKUP(Orders[[#This Row],[Customer ID]], customers!$A$2:$A$1001, customers!$I$2:$I$1001, 0)</f>
        <v>Yes</v>
      </c>
    </row>
    <row r="535" spans="1:16" x14ac:dyDescent="0.35">
      <c r="A535" s="2" t="s">
        <v>3505</v>
      </c>
      <c r="B535" s="3">
        <v>44724</v>
      </c>
      <c r="C535" s="2" t="s">
        <v>3506</v>
      </c>
      <c r="D535" t="s">
        <v>6172</v>
      </c>
      <c r="E535" s="2">
        <v>4</v>
      </c>
      <c r="F535" s="2" t="str" cm="1">
        <f t="array" ref="F535">_xlfn.XLOOKUP(C535, customers!$A$1:A1534, customers!$B$1:B1534, 0)</f>
        <v>Rea Offell</v>
      </c>
      <c r="G535" s="2" t="str">
        <f>IF(_xlfn.XLOOKUP(C535, customers!A534:A1534, customers!C534:C1534, 0)=0, "", _xlfn.XLOOKUP(C535, customers!A534:A1534, customers!C534:C1534, 0))</f>
        <v/>
      </c>
      <c r="H535" s="2" t="str" cm="1">
        <f t="array" ref="H535">_xlfn.XLOOKUP(C535, customers!$A$1:A1534, customers!$G$1:G1534,, 0)</f>
        <v>United States</v>
      </c>
      <c r="I535" t="str" cm="1">
        <f t="array" ref="I535">_xlfn.XLOOKUP(orders!D535, products!$A$1:A582, products!$B$1:B582, 0)</f>
        <v>Rob</v>
      </c>
      <c r="J535" t="str" cm="1">
        <f t="array" ref="J535">_xlfn.XLOOKUP(D535, products!$A$1:A582, products!$C$1:C582, 0)</f>
        <v>D</v>
      </c>
      <c r="K535" s="4" cm="1">
        <f t="array" ref="K535">_xlfn.XLOOKUP(D535, products!$A$1:A582, products!$D$1:D582, 0)</f>
        <v>0.5</v>
      </c>
      <c r="L535" s="4" cm="1">
        <f t="array" ref="L535">_xlfn.XLOOKUP(D535, products!$A$1:A582, products!$E$1:E582)</f>
        <v>5.3699999999999992</v>
      </c>
      <c r="M535">
        <f t="shared" si="16"/>
        <v>21.479999999999997</v>
      </c>
      <c r="N535" t="str">
        <f t="shared" si="17"/>
        <v>Robusta</v>
      </c>
      <c r="O535" t="str" cm="1">
        <f t="array" ref="O535">_xlfn.IFS(J535="M", "Medium", J535="L", "Light", J535="D", "Dark")</f>
        <v>Dark</v>
      </c>
      <c r="P535" t="str">
        <f>_xlfn.XLOOKUP(Orders[[#This Row],[Customer ID]], customers!$A$2:$A$1001, customers!$I$2:$I$1001, 0)</f>
        <v>No</v>
      </c>
    </row>
    <row r="536" spans="1:16" x14ac:dyDescent="0.35">
      <c r="A536" s="2" t="s">
        <v>3510</v>
      </c>
      <c r="B536" s="3">
        <v>44563</v>
      </c>
      <c r="C536" s="2" t="s">
        <v>3511</v>
      </c>
      <c r="D536" t="s">
        <v>6151</v>
      </c>
      <c r="E536" s="2">
        <v>2</v>
      </c>
      <c r="F536" s="2" t="str" cm="1">
        <f t="array" ref="F536">_xlfn.XLOOKUP(C536, customers!$A$1:A1535, customers!$B$1:B1535, 0)</f>
        <v>Kris O'Cullen</v>
      </c>
      <c r="G536" s="2" t="str">
        <f>IF(_xlfn.XLOOKUP(C536, customers!A535:A1535, customers!C535:C1535, 0)=0, "", _xlfn.XLOOKUP(C536, customers!A535:A1535, customers!C535:C1535, 0))</f>
        <v>koculleneu@ca.gov</v>
      </c>
      <c r="H536" s="2" t="str" cm="1">
        <f t="array" ref="H536">_xlfn.XLOOKUP(C536, customers!$A$1:A1535, customers!$G$1:G1535,, 0)</f>
        <v>Ireland</v>
      </c>
      <c r="I536" t="str" cm="1">
        <f t="array" ref="I536">_xlfn.XLOOKUP(orders!D536, products!$A$1:A583, products!$B$1:B583, 0)</f>
        <v>Rob</v>
      </c>
      <c r="J536" t="str" cm="1">
        <f t="array" ref="J536">_xlfn.XLOOKUP(D536, products!$A$1:A583, products!$C$1:C583, 0)</f>
        <v>M</v>
      </c>
      <c r="K536" s="4" cm="1">
        <f t="array" ref="K536">_xlfn.XLOOKUP(D536, products!$A$1:A583, products!$D$1:D583, 0)</f>
        <v>2.5</v>
      </c>
      <c r="L536" s="4" cm="1">
        <f t="array" ref="L536">_xlfn.XLOOKUP(D536, products!$A$1:A583, products!$E$1:E583)</f>
        <v>22.884999999999998</v>
      </c>
      <c r="M536">
        <f t="shared" si="16"/>
        <v>45.769999999999996</v>
      </c>
      <c r="N536" t="str">
        <f t="shared" si="17"/>
        <v>Robusta</v>
      </c>
      <c r="O536" t="str" cm="1">
        <f t="array" ref="O536">_xlfn.IFS(J536="M", "Medium", J536="L", "Light", J536="D", "Dark")</f>
        <v>Medium</v>
      </c>
      <c r="P536" t="str">
        <f>_xlfn.XLOOKUP(Orders[[#This Row],[Customer ID]], customers!$A$2:$A$1001, customers!$I$2:$I$1001, 0)</f>
        <v>Yes</v>
      </c>
    </row>
    <row r="537" spans="1:16" x14ac:dyDescent="0.35">
      <c r="A537" s="2" t="s">
        <v>3516</v>
      </c>
      <c r="B537" s="3">
        <v>44585</v>
      </c>
      <c r="C537" s="2" t="s">
        <v>3517</v>
      </c>
      <c r="D537" t="s">
        <v>6145</v>
      </c>
      <c r="E537" s="2">
        <v>2</v>
      </c>
      <c r="F537" s="2" t="str" cm="1">
        <f t="array" ref="F537">_xlfn.XLOOKUP(C537, customers!$A$1:A1536, customers!$B$1:B1536, 0)</f>
        <v>Timoteo Glisane</v>
      </c>
      <c r="G537" s="2" t="str">
        <f>IF(_xlfn.XLOOKUP(C537, customers!A536:A1536, customers!C536:C1536, 0)=0, "", _xlfn.XLOOKUP(C537, customers!A536:A1536, customers!C536:C1536, 0))</f>
        <v/>
      </c>
      <c r="H537" s="2" t="str" cm="1">
        <f t="array" ref="H537">_xlfn.XLOOKUP(C537, customers!$A$1:A1536, customers!$G$1:G1536,, 0)</f>
        <v>Ireland</v>
      </c>
      <c r="I537" t="str" cm="1">
        <f t="array" ref="I537">_xlfn.XLOOKUP(orders!D537, products!$A$1:A584, products!$B$1:B584, 0)</f>
        <v>Lib</v>
      </c>
      <c r="J537" t="str" cm="1">
        <f t="array" ref="J537">_xlfn.XLOOKUP(D537, products!$A$1:A584, products!$C$1:C584, 0)</f>
        <v>L</v>
      </c>
      <c r="K537" s="4" cm="1">
        <f t="array" ref="K537">_xlfn.XLOOKUP(D537, products!$A$1:A584, products!$D$1:D584, 0)</f>
        <v>0.2</v>
      </c>
      <c r="L537" s="4" cm="1">
        <f t="array" ref="L537">_xlfn.XLOOKUP(D537, products!$A$1:A584, products!$E$1:E584)</f>
        <v>4.7549999999999999</v>
      </c>
      <c r="M537">
        <f t="shared" si="16"/>
        <v>9.51</v>
      </c>
      <c r="N537" t="str">
        <f t="shared" si="17"/>
        <v>Liberica</v>
      </c>
      <c r="O537" t="str" cm="1">
        <f t="array" ref="O537">_xlfn.IFS(J537="M", "Medium", J537="L", "Light", J537="D", "Dark")</f>
        <v>Light</v>
      </c>
      <c r="P537" t="str">
        <f>_xlfn.XLOOKUP(Orders[[#This Row],[Customer ID]], customers!$A$2:$A$1001, customers!$I$2:$I$1001, 0)</f>
        <v>No</v>
      </c>
    </row>
    <row r="538" spans="1:16" x14ac:dyDescent="0.35">
      <c r="A538" s="2" t="s">
        <v>3521</v>
      </c>
      <c r="B538" s="3">
        <v>43544</v>
      </c>
      <c r="C538" s="2" t="s">
        <v>3368</v>
      </c>
      <c r="D538" t="s">
        <v>6163</v>
      </c>
      <c r="E538" s="2">
        <v>3</v>
      </c>
      <c r="F538" s="2" t="str" cm="1">
        <f t="array" ref="F538">_xlfn.XLOOKUP(C538, customers!$A$1:A1537, customers!$B$1:B1537, 0)</f>
        <v>Marja Urion</v>
      </c>
      <c r="G538" s="2" t="str">
        <f>IF(_xlfn.XLOOKUP(C538, customers!A537:A1537, customers!C537:C1537, 0)=0, "", _xlfn.XLOOKUP(C538, customers!A537:A1537, customers!C537:C1537, 0))</f>
        <v/>
      </c>
      <c r="H538" s="2" t="str" cm="1">
        <f t="array" ref="H538">_xlfn.XLOOKUP(C538, customers!$A$1:A1537, customers!$G$1:G1537,, 0)</f>
        <v>Ireland</v>
      </c>
      <c r="I538" t="str" cm="1">
        <f t="array" ref="I538">_xlfn.XLOOKUP(orders!D538, products!$A$1:A585, products!$B$1:B585, 0)</f>
        <v>Rob</v>
      </c>
      <c r="J538" t="str" cm="1">
        <f t="array" ref="J538">_xlfn.XLOOKUP(D538, products!$A$1:A585, products!$C$1:C585, 0)</f>
        <v>D</v>
      </c>
      <c r="K538" s="4" cm="1">
        <f t="array" ref="K538">_xlfn.XLOOKUP(D538, products!$A$1:A585, products!$D$1:D585, 0)</f>
        <v>0.2</v>
      </c>
      <c r="L538" s="4" cm="1">
        <f t="array" ref="L538">_xlfn.XLOOKUP(D538, products!$A$1:A585, products!$E$1:E585)</f>
        <v>2.6849999999999996</v>
      </c>
      <c r="M538">
        <f t="shared" si="16"/>
        <v>8.0549999999999997</v>
      </c>
      <c r="N538" t="str">
        <f t="shared" si="17"/>
        <v>Robusta</v>
      </c>
      <c r="O538" t="str" cm="1">
        <f t="array" ref="O538">_xlfn.IFS(J538="M", "Medium", J538="L", "Light", J538="D", "Dark")</f>
        <v>Dark</v>
      </c>
      <c r="P538" t="str">
        <f>_xlfn.XLOOKUP(Orders[[#This Row],[Customer ID]], customers!$A$2:$A$1001, customers!$I$2:$I$1001, 0)</f>
        <v>Yes</v>
      </c>
    </row>
    <row r="539" spans="1:16" x14ac:dyDescent="0.35">
      <c r="A539" s="2" t="s">
        <v>3527</v>
      </c>
      <c r="B539" s="3">
        <v>44156</v>
      </c>
      <c r="C539" s="2" t="s">
        <v>3528</v>
      </c>
      <c r="D539" t="s">
        <v>6185</v>
      </c>
      <c r="E539" s="2">
        <v>4</v>
      </c>
      <c r="F539" s="2" t="str" cm="1">
        <f t="array" ref="F539">_xlfn.XLOOKUP(C539, customers!$A$1:A1538, customers!$B$1:B1538, 0)</f>
        <v>Hildegarde Brangan</v>
      </c>
      <c r="G539" s="2" t="str">
        <f>IF(_xlfn.XLOOKUP(C539, customers!A538:A1538, customers!C538:C1538, 0)=0, "", _xlfn.XLOOKUP(C539, customers!A538:A1538, customers!C538:C1538, 0))</f>
        <v>hbranganex@woothemes.com</v>
      </c>
      <c r="H539" s="2" t="str" cm="1">
        <f t="array" ref="H539">_xlfn.XLOOKUP(C539, customers!$A$1:A1538, customers!$G$1:G1538,, 0)</f>
        <v>United States</v>
      </c>
      <c r="I539" t="str" cm="1">
        <f t="array" ref="I539">_xlfn.XLOOKUP(orders!D539, products!$A$1:A586, products!$B$1:B586, 0)</f>
        <v>Exc</v>
      </c>
      <c r="J539" t="str" cm="1">
        <f t="array" ref="J539">_xlfn.XLOOKUP(D539, products!$A$1:A586, products!$C$1:C586, 0)</f>
        <v>D</v>
      </c>
      <c r="K539" s="4" cm="1">
        <f t="array" ref="K539">_xlfn.XLOOKUP(D539, products!$A$1:A586, products!$D$1:D586, 0)</f>
        <v>2.5</v>
      </c>
      <c r="L539" s="4" cm="1">
        <f t="array" ref="L539">_xlfn.XLOOKUP(D539, products!$A$1:A586, products!$E$1:E586)</f>
        <v>27.945</v>
      </c>
      <c r="M539">
        <f t="shared" si="16"/>
        <v>111.78</v>
      </c>
      <c r="N539" t="str">
        <f t="shared" si="17"/>
        <v>Excelsa</v>
      </c>
      <c r="O539" t="str" cm="1">
        <f t="array" ref="O539">_xlfn.IFS(J539="M", "Medium", J539="L", "Light", J539="D", "Dark")</f>
        <v>Dark</v>
      </c>
      <c r="P539" t="str">
        <f>_xlfn.XLOOKUP(Orders[[#This Row],[Customer ID]], customers!$A$2:$A$1001, customers!$I$2:$I$1001, 0)</f>
        <v>Yes</v>
      </c>
    </row>
    <row r="540" spans="1:16" x14ac:dyDescent="0.35">
      <c r="A540" s="2" t="s">
        <v>3532</v>
      </c>
      <c r="B540" s="3">
        <v>44482</v>
      </c>
      <c r="C540" s="2" t="s">
        <v>3533</v>
      </c>
      <c r="D540" t="s">
        <v>6163</v>
      </c>
      <c r="E540" s="2">
        <v>4</v>
      </c>
      <c r="F540" s="2" t="str" cm="1">
        <f t="array" ref="F540">_xlfn.XLOOKUP(C540, customers!$A$1:A1539, customers!$B$1:B1539, 0)</f>
        <v>Amii Gallyon</v>
      </c>
      <c r="G540" s="2" t="str">
        <f>IF(_xlfn.XLOOKUP(C540, customers!A539:A1539, customers!C539:C1539, 0)=0, "", _xlfn.XLOOKUP(C540, customers!A539:A1539, customers!C539:C1539, 0))</f>
        <v>agallyoney@engadget.com</v>
      </c>
      <c r="H540" s="2" t="str" cm="1">
        <f t="array" ref="H540">_xlfn.XLOOKUP(C540, customers!$A$1:A1539, customers!$G$1:G1539,, 0)</f>
        <v>United States</v>
      </c>
      <c r="I540" t="str" cm="1">
        <f t="array" ref="I540">_xlfn.XLOOKUP(orders!D540, products!$A$1:A587, products!$B$1:B587, 0)</f>
        <v>Rob</v>
      </c>
      <c r="J540" t="str" cm="1">
        <f t="array" ref="J540">_xlfn.XLOOKUP(D540, products!$A$1:A587, products!$C$1:C587, 0)</f>
        <v>D</v>
      </c>
      <c r="K540" s="4" cm="1">
        <f t="array" ref="K540">_xlfn.XLOOKUP(D540, products!$A$1:A587, products!$D$1:D587, 0)</f>
        <v>0.2</v>
      </c>
      <c r="L540" s="4" cm="1">
        <f t="array" ref="L540">_xlfn.XLOOKUP(D540, products!$A$1:A587, products!$E$1:E587)</f>
        <v>2.6849999999999996</v>
      </c>
      <c r="M540">
        <f t="shared" si="16"/>
        <v>10.739999999999998</v>
      </c>
      <c r="N540" t="str">
        <f t="shared" si="17"/>
        <v>Robusta</v>
      </c>
      <c r="O540" t="str" cm="1">
        <f t="array" ref="O540">_xlfn.IFS(J540="M", "Medium", J540="L", "Light", J540="D", "Dark")</f>
        <v>Dark</v>
      </c>
      <c r="P540" t="str">
        <f>_xlfn.XLOOKUP(Orders[[#This Row],[Customer ID]], customers!$A$2:$A$1001, customers!$I$2:$I$1001, 0)</f>
        <v>Yes</v>
      </c>
    </row>
    <row r="541" spans="1:16" x14ac:dyDescent="0.35">
      <c r="A541" s="2" t="s">
        <v>3537</v>
      </c>
      <c r="B541" s="3">
        <v>44488</v>
      </c>
      <c r="C541" s="2" t="s">
        <v>3538</v>
      </c>
      <c r="D541" t="s">
        <v>6172</v>
      </c>
      <c r="E541" s="2">
        <v>5</v>
      </c>
      <c r="F541" s="2" t="str" cm="1">
        <f t="array" ref="F541">_xlfn.XLOOKUP(C541, customers!$A$1:A1540, customers!$B$1:B1540, 0)</f>
        <v>Birgit Domange</v>
      </c>
      <c r="G541" s="2" t="str">
        <f>IF(_xlfn.XLOOKUP(C541, customers!A540:A1540, customers!C540:C1540, 0)=0, "", _xlfn.XLOOKUP(C541, customers!A540:A1540, customers!C540:C1540, 0))</f>
        <v>bdomangeez@yahoo.co.jp</v>
      </c>
      <c r="H541" s="2" t="str" cm="1">
        <f t="array" ref="H541">_xlfn.XLOOKUP(C541, customers!$A$1:A1540, customers!$G$1:G1540,, 0)</f>
        <v>United States</v>
      </c>
      <c r="I541" t="str" cm="1">
        <f t="array" ref="I541">_xlfn.XLOOKUP(orders!D541, products!$A$1:A588, products!$B$1:B588, 0)</f>
        <v>Rob</v>
      </c>
      <c r="J541" t="str" cm="1">
        <f t="array" ref="J541">_xlfn.XLOOKUP(D541, products!$A$1:A588, products!$C$1:C588, 0)</f>
        <v>D</v>
      </c>
      <c r="K541" s="4" cm="1">
        <f t="array" ref="K541">_xlfn.XLOOKUP(D541, products!$A$1:A588, products!$D$1:D588, 0)</f>
        <v>0.5</v>
      </c>
      <c r="L541" s="4" cm="1">
        <f t="array" ref="L541">_xlfn.XLOOKUP(D541, products!$A$1:A588, products!$E$1:E588)</f>
        <v>5.3699999999999992</v>
      </c>
      <c r="M541">
        <f t="shared" si="16"/>
        <v>26.849999999999994</v>
      </c>
      <c r="N541" t="str">
        <f t="shared" si="17"/>
        <v>Robusta</v>
      </c>
      <c r="O541" t="str" cm="1">
        <f t="array" ref="O541">_xlfn.IFS(J541="M", "Medium", J541="L", "Light", J541="D", "Dark")</f>
        <v>Dark</v>
      </c>
      <c r="P541" t="str">
        <f>_xlfn.XLOOKUP(Orders[[#This Row],[Customer ID]], customers!$A$2:$A$1001, customers!$I$2:$I$1001, 0)</f>
        <v>No</v>
      </c>
    </row>
    <row r="542" spans="1:16" x14ac:dyDescent="0.35">
      <c r="A542" s="2" t="s">
        <v>3542</v>
      </c>
      <c r="B542" s="3">
        <v>43584</v>
      </c>
      <c r="C542" s="2" t="s">
        <v>3543</v>
      </c>
      <c r="D542" t="s">
        <v>6170</v>
      </c>
      <c r="E542" s="2">
        <v>4</v>
      </c>
      <c r="F542" s="2" t="str" cm="1">
        <f t="array" ref="F542">_xlfn.XLOOKUP(C542, customers!$A$1:A1541, customers!$B$1:B1541, 0)</f>
        <v>Killian Osler</v>
      </c>
      <c r="G542" s="2" t="str">
        <f>IF(_xlfn.XLOOKUP(C542, customers!A541:A1541, customers!C541:C1541, 0)=0, "", _xlfn.XLOOKUP(C542, customers!A541:A1541, customers!C541:C1541, 0))</f>
        <v>koslerf0@gmpg.org</v>
      </c>
      <c r="H542" s="2" t="str" cm="1">
        <f t="array" ref="H542">_xlfn.XLOOKUP(C542, customers!$A$1:A1541, customers!$G$1:G1541,, 0)</f>
        <v>United States</v>
      </c>
      <c r="I542" t="str" cm="1">
        <f t="array" ref="I542">_xlfn.XLOOKUP(orders!D542, products!$A$1:A589, products!$B$1:B589, 0)</f>
        <v>Lib</v>
      </c>
      <c r="J542" t="str" cm="1">
        <f t="array" ref="J542">_xlfn.XLOOKUP(D542, products!$A$1:A589, products!$C$1:C589, 0)</f>
        <v>L</v>
      </c>
      <c r="K542" s="4" cm="1">
        <f t="array" ref="K542">_xlfn.XLOOKUP(D542, products!$A$1:A589, products!$D$1:D589, 0)</f>
        <v>1</v>
      </c>
      <c r="L542" s="4" cm="1">
        <f t="array" ref="L542">_xlfn.XLOOKUP(D542, products!$A$1:A589, products!$E$1:E589)</f>
        <v>15.85</v>
      </c>
      <c r="M542">
        <f t="shared" si="16"/>
        <v>63.4</v>
      </c>
      <c r="N542" t="str">
        <f t="shared" si="17"/>
        <v>Liberica</v>
      </c>
      <c r="O542" t="str" cm="1">
        <f t="array" ref="O542">_xlfn.IFS(J542="M", "Medium", J542="L", "Light", J542="D", "Dark")</f>
        <v>Light</v>
      </c>
      <c r="P542" t="str">
        <f>_xlfn.XLOOKUP(Orders[[#This Row],[Customer ID]], customers!$A$2:$A$1001, customers!$I$2:$I$1001, 0)</f>
        <v>Yes</v>
      </c>
    </row>
    <row r="543" spans="1:16" x14ac:dyDescent="0.35">
      <c r="A543" s="2" t="s">
        <v>3548</v>
      </c>
      <c r="B543" s="3">
        <v>43750</v>
      </c>
      <c r="C543" s="2" t="s">
        <v>3549</v>
      </c>
      <c r="D543" t="s">
        <v>6168</v>
      </c>
      <c r="E543" s="2">
        <v>1</v>
      </c>
      <c r="F543" s="2" t="str" cm="1">
        <f t="array" ref="F543">_xlfn.XLOOKUP(C543, customers!$A$1:A1542, customers!$B$1:B1542, 0)</f>
        <v>Lora Dukes</v>
      </c>
      <c r="G543" s="2" t="str">
        <f>IF(_xlfn.XLOOKUP(C543, customers!A542:A1542, customers!C542:C1542, 0)=0, "", _xlfn.XLOOKUP(C543, customers!A542:A1542, customers!C542:C1542, 0))</f>
        <v/>
      </c>
      <c r="H543" s="2" t="str" cm="1">
        <f t="array" ref="H543">_xlfn.XLOOKUP(C543, customers!$A$1:A1542, customers!$G$1:G1542,, 0)</f>
        <v>Ireland</v>
      </c>
      <c r="I543" t="str" cm="1">
        <f t="array" ref="I543">_xlfn.XLOOKUP(orders!D543, products!$A$1:A590, products!$B$1:B590, 0)</f>
        <v>Ara</v>
      </c>
      <c r="J543" t="str" cm="1">
        <f t="array" ref="J543">_xlfn.XLOOKUP(D543, products!$A$1:A590, products!$C$1:C590, 0)</f>
        <v>D</v>
      </c>
      <c r="K543" s="4" cm="1">
        <f t="array" ref="K543">_xlfn.XLOOKUP(D543, products!$A$1:A590, products!$D$1:D590, 0)</f>
        <v>2.5</v>
      </c>
      <c r="L543" s="4" cm="1">
        <f t="array" ref="L543">_xlfn.XLOOKUP(D543, products!$A$1:A590, products!$E$1:E590)</f>
        <v>22.884999999999998</v>
      </c>
      <c r="M543">
        <f t="shared" si="16"/>
        <v>22.884999999999998</v>
      </c>
      <c r="N543" t="str">
        <f t="shared" si="17"/>
        <v>Arabica</v>
      </c>
      <c r="O543" t="str" cm="1">
        <f t="array" ref="O543">_xlfn.IFS(J543="M", "Medium", J543="L", "Light", J543="D", "Dark")</f>
        <v>Dark</v>
      </c>
      <c r="P543" t="str">
        <f>_xlfn.XLOOKUP(Orders[[#This Row],[Customer ID]], customers!$A$2:$A$1001, customers!$I$2:$I$1001, 0)</f>
        <v>Yes</v>
      </c>
    </row>
    <row r="544" spans="1:16" x14ac:dyDescent="0.35">
      <c r="A544" s="2" t="s">
        <v>3553</v>
      </c>
      <c r="B544" s="3">
        <v>44335</v>
      </c>
      <c r="C544" s="2" t="s">
        <v>3554</v>
      </c>
      <c r="D544" t="s">
        <v>6175</v>
      </c>
      <c r="E544" s="2">
        <v>4</v>
      </c>
      <c r="F544" s="2" t="str" cm="1">
        <f t="array" ref="F544">_xlfn.XLOOKUP(C544, customers!$A$1:A1543, customers!$B$1:B1543, 0)</f>
        <v>Zack Pellett</v>
      </c>
      <c r="G544" s="2" t="str">
        <f>IF(_xlfn.XLOOKUP(C544, customers!A543:A1543, customers!C543:C1543, 0)=0, "", _xlfn.XLOOKUP(C544, customers!A543:A1543, customers!C543:C1543, 0))</f>
        <v>zpellettf2@dailymotion.com</v>
      </c>
      <c r="H544" s="2" t="str" cm="1">
        <f t="array" ref="H544">_xlfn.XLOOKUP(C544, customers!$A$1:A1543, customers!$G$1:G1543,, 0)</f>
        <v>United States</v>
      </c>
      <c r="I544" t="str" cm="1">
        <f t="array" ref="I544">_xlfn.XLOOKUP(orders!D544, products!$A$1:A591, products!$B$1:B591, 0)</f>
        <v>Ara</v>
      </c>
      <c r="J544" t="str" cm="1">
        <f t="array" ref="J544">_xlfn.XLOOKUP(D544, products!$A$1:A591, products!$C$1:C591, 0)</f>
        <v>M</v>
      </c>
      <c r="K544" s="4" cm="1">
        <f t="array" ref="K544">_xlfn.XLOOKUP(D544, products!$A$1:A591, products!$D$1:D591, 0)</f>
        <v>2.5</v>
      </c>
      <c r="L544" s="4" cm="1">
        <f t="array" ref="L544">_xlfn.XLOOKUP(D544, products!$A$1:A591, products!$E$1:E591)</f>
        <v>25.874999999999996</v>
      </c>
      <c r="M544">
        <f t="shared" si="16"/>
        <v>103.49999999999999</v>
      </c>
      <c r="N544" t="str">
        <f t="shared" si="17"/>
        <v>Arabica</v>
      </c>
      <c r="O544" t="str" cm="1">
        <f t="array" ref="O544">_xlfn.IFS(J544="M", "Medium", J544="L", "Light", J544="D", "Dark")</f>
        <v>Medium</v>
      </c>
      <c r="P544" t="str">
        <f>_xlfn.XLOOKUP(Orders[[#This Row],[Customer ID]], customers!$A$2:$A$1001, customers!$I$2:$I$1001, 0)</f>
        <v>No</v>
      </c>
    </row>
    <row r="545" spans="1:16" x14ac:dyDescent="0.35">
      <c r="A545" s="2" t="s">
        <v>3559</v>
      </c>
      <c r="B545" s="3">
        <v>44380</v>
      </c>
      <c r="C545" s="2" t="s">
        <v>3560</v>
      </c>
      <c r="D545" t="s">
        <v>6142</v>
      </c>
      <c r="E545" s="2">
        <v>2</v>
      </c>
      <c r="F545" s="2" t="str" cm="1">
        <f t="array" ref="F545">_xlfn.XLOOKUP(C545, customers!$A$1:A1544, customers!$B$1:B1544, 0)</f>
        <v>Ilaire Sprakes</v>
      </c>
      <c r="G545" s="2" t="str">
        <f>IF(_xlfn.XLOOKUP(C545, customers!A544:A1544, customers!C544:C1544, 0)=0, "", _xlfn.XLOOKUP(C545, customers!A544:A1544, customers!C544:C1544, 0))</f>
        <v>isprakesf3@spiegel.de</v>
      </c>
      <c r="H545" s="2" t="str" cm="1">
        <f t="array" ref="H545">_xlfn.XLOOKUP(C545, customers!$A$1:A1544, customers!$G$1:G1544,, 0)</f>
        <v>United States</v>
      </c>
      <c r="I545" t="str" cm="1">
        <f t="array" ref="I545">_xlfn.XLOOKUP(orders!D545, products!$A$1:A592, products!$B$1:B592, 0)</f>
        <v>Rob</v>
      </c>
      <c r="J545" t="str" cm="1">
        <f t="array" ref="J545">_xlfn.XLOOKUP(D545, products!$A$1:A592, products!$C$1:C592, 0)</f>
        <v>L</v>
      </c>
      <c r="K545" s="4" cm="1">
        <f t="array" ref="K545">_xlfn.XLOOKUP(D545, products!$A$1:A592, products!$D$1:D592, 0)</f>
        <v>2.5</v>
      </c>
      <c r="L545" s="4" cm="1">
        <f t="array" ref="L545">_xlfn.XLOOKUP(D545, products!$A$1:A592, products!$E$1:E592)</f>
        <v>27.484999999999996</v>
      </c>
      <c r="M545">
        <f t="shared" si="16"/>
        <v>54.969999999999992</v>
      </c>
      <c r="N545" t="str">
        <f t="shared" si="17"/>
        <v>Robusta</v>
      </c>
      <c r="O545" t="str" cm="1">
        <f t="array" ref="O545">_xlfn.IFS(J545="M", "Medium", J545="L", "Light", J545="D", "Dark")</f>
        <v>Light</v>
      </c>
      <c r="P545" t="str">
        <f>_xlfn.XLOOKUP(Orders[[#This Row],[Customer ID]], customers!$A$2:$A$1001, customers!$I$2:$I$1001, 0)</f>
        <v>No</v>
      </c>
    </row>
    <row r="546" spans="1:16" x14ac:dyDescent="0.35">
      <c r="A546" s="2" t="s">
        <v>3565</v>
      </c>
      <c r="B546" s="3">
        <v>43869</v>
      </c>
      <c r="C546" s="2" t="s">
        <v>3566</v>
      </c>
      <c r="D546" t="s">
        <v>6180</v>
      </c>
      <c r="E546" s="2">
        <v>2</v>
      </c>
      <c r="F546" s="2" t="str" cm="1">
        <f t="array" ref="F546">_xlfn.XLOOKUP(C546, customers!$A$1:A1545, customers!$B$1:B1545, 0)</f>
        <v>Heda Fromant</v>
      </c>
      <c r="G546" s="2" t="str">
        <f>IF(_xlfn.XLOOKUP(C546, customers!A545:A1545, customers!C545:C1545, 0)=0, "", _xlfn.XLOOKUP(C546, customers!A545:A1545, customers!C545:C1545, 0))</f>
        <v>hfromantf4@ucsd.edu</v>
      </c>
      <c r="H546" s="2" t="str" cm="1">
        <f t="array" ref="H546">_xlfn.XLOOKUP(C546, customers!$A$1:A1545, customers!$G$1:G1545,, 0)</f>
        <v>United States</v>
      </c>
      <c r="I546" t="str" cm="1">
        <f t="array" ref="I546">_xlfn.XLOOKUP(orders!D546, products!$A$1:A593, products!$B$1:B593, 0)</f>
        <v>Ara</v>
      </c>
      <c r="J546" t="str" cm="1">
        <f t="array" ref="J546">_xlfn.XLOOKUP(D546, products!$A$1:A593, products!$C$1:C593, 0)</f>
        <v>L</v>
      </c>
      <c r="K546" s="4" cm="1">
        <f t="array" ref="K546">_xlfn.XLOOKUP(D546, products!$A$1:A593, products!$D$1:D593, 0)</f>
        <v>0.5</v>
      </c>
      <c r="L546" s="4" cm="1">
        <f t="array" ref="L546">_xlfn.XLOOKUP(D546, products!$A$1:A593, products!$E$1:E593)</f>
        <v>7.77</v>
      </c>
      <c r="M546">
        <f t="shared" si="16"/>
        <v>15.54</v>
      </c>
      <c r="N546" t="str">
        <f t="shared" si="17"/>
        <v>Arabica</v>
      </c>
      <c r="O546" t="str" cm="1">
        <f t="array" ref="O546">_xlfn.IFS(J546="M", "Medium", J546="L", "Light", J546="D", "Dark")</f>
        <v>Light</v>
      </c>
      <c r="P546" t="str">
        <f>_xlfn.XLOOKUP(Orders[[#This Row],[Customer ID]], customers!$A$2:$A$1001, customers!$I$2:$I$1001, 0)</f>
        <v>No</v>
      </c>
    </row>
    <row r="547" spans="1:16" x14ac:dyDescent="0.35">
      <c r="A547" s="2" t="s">
        <v>3571</v>
      </c>
      <c r="B547" s="3">
        <v>44120</v>
      </c>
      <c r="C547" s="2" t="s">
        <v>3572</v>
      </c>
      <c r="D547" t="s">
        <v>6150</v>
      </c>
      <c r="E547" s="2">
        <v>4</v>
      </c>
      <c r="F547" s="2" t="str" cm="1">
        <f t="array" ref="F547">_xlfn.XLOOKUP(C547, customers!$A$1:A1546, customers!$B$1:B1546, 0)</f>
        <v>Rufus Flear</v>
      </c>
      <c r="G547" s="2" t="str">
        <f>IF(_xlfn.XLOOKUP(C547, customers!A546:A1546, customers!C546:C1546, 0)=0, "", _xlfn.XLOOKUP(C547, customers!A546:A1546, customers!C546:C1546, 0))</f>
        <v>rflearf5@artisteer.com</v>
      </c>
      <c r="H547" s="2" t="str" cm="1">
        <f t="array" ref="H547">_xlfn.XLOOKUP(C547, customers!$A$1:A1546, customers!$G$1:G1546,, 0)</f>
        <v>United Kingdom</v>
      </c>
      <c r="I547" t="str" cm="1">
        <f t="array" ref="I547">_xlfn.XLOOKUP(orders!D547, products!$A$1:A594, products!$B$1:B594, 0)</f>
        <v>Lib</v>
      </c>
      <c r="J547" t="str" cm="1">
        <f t="array" ref="J547">_xlfn.XLOOKUP(D547, products!$A$1:A594, products!$C$1:C594, 0)</f>
        <v>D</v>
      </c>
      <c r="K547" s="4" cm="1">
        <f t="array" ref="K547">_xlfn.XLOOKUP(D547, products!$A$1:A594, products!$D$1:D594, 0)</f>
        <v>0.2</v>
      </c>
      <c r="L547" s="4" cm="1">
        <f t="array" ref="L547">_xlfn.XLOOKUP(D547, products!$A$1:A594, products!$E$1:E594)</f>
        <v>3.8849999999999998</v>
      </c>
      <c r="M547">
        <f t="shared" si="16"/>
        <v>15.54</v>
      </c>
      <c r="N547" t="str">
        <f t="shared" si="17"/>
        <v>Liberica</v>
      </c>
      <c r="O547" t="str" cm="1">
        <f t="array" ref="O547">_xlfn.IFS(J547="M", "Medium", J547="L", "Light", J547="D", "Dark")</f>
        <v>Dark</v>
      </c>
      <c r="P547" t="str">
        <f>_xlfn.XLOOKUP(Orders[[#This Row],[Customer ID]], customers!$A$2:$A$1001, customers!$I$2:$I$1001, 0)</f>
        <v>No</v>
      </c>
    </row>
    <row r="548" spans="1:16" x14ac:dyDescent="0.35">
      <c r="A548" s="2" t="s">
        <v>3577</v>
      </c>
      <c r="B548" s="3">
        <v>44127</v>
      </c>
      <c r="C548" s="2" t="s">
        <v>3578</v>
      </c>
      <c r="D548" t="s">
        <v>6185</v>
      </c>
      <c r="E548" s="2">
        <v>3</v>
      </c>
      <c r="F548" s="2" t="str" cm="1">
        <f t="array" ref="F548">_xlfn.XLOOKUP(C548, customers!$A$1:A1547, customers!$B$1:B1547, 0)</f>
        <v>Dom Milella</v>
      </c>
      <c r="G548" s="2" t="str">
        <f>IF(_xlfn.XLOOKUP(C548, customers!A547:A1547, customers!C547:C1547, 0)=0, "", _xlfn.XLOOKUP(C548, customers!A547:A1547, customers!C547:C1547, 0))</f>
        <v/>
      </c>
      <c r="H548" s="2" t="str" cm="1">
        <f t="array" ref="H548">_xlfn.XLOOKUP(C548, customers!$A$1:A1547, customers!$G$1:G1547,, 0)</f>
        <v>Ireland</v>
      </c>
      <c r="I548" t="str" cm="1">
        <f t="array" ref="I548">_xlfn.XLOOKUP(orders!D548, products!$A$1:A595, products!$B$1:B595, 0)</f>
        <v>Exc</v>
      </c>
      <c r="J548" t="str" cm="1">
        <f t="array" ref="J548">_xlfn.XLOOKUP(D548, products!$A$1:A595, products!$C$1:C595, 0)</f>
        <v>D</v>
      </c>
      <c r="K548" s="4" cm="1">
        <f t="array" ref="K548">_xlfn.XLOOKUP(D548, products!$A$1:A595, products!$D$1:D595, 0)</f>
        <v>2.5</v>
      </c>
      <c r="L548" s="4" cm="1">
        <f t="array" ref="L548">_xlfn.XLOOKUP(D548, products!$A$1:A595, products!$E$1:E595)</f>
        <v>27.945</v>
      </c>
      <c r="M548">
        <f t="shared" si="16"/>
        <v>83.835000000000008</v>
      </c>
      <c r="N548" t="str">
        <f t="shared" si="17"/>
        <v>Excelsa</v>
      </c>
      <c r="O548" t="str" cm="1">
        <f t="array" ref="O548">_xlfn.IFS(J548="M", "Medium", J548="L", "Light", J548="D", "Dark")</f>
        <v>Dark</v>
      </c>
      <c r="P548" t="str">
        <f>_xlfn.XLOOKUP(Orders[[#This Row],[Customer ID]], customers!$A$2:$A$1001, customers!$I$2:$I$1001, 0)</f>
        <v>No</v>
      </c>
    </row>
    <row r="549" spans="1:16" x14ac:dyDescent="0.35">
      <c r="A549" s="2" t="s">
        <v>3582</v>
      </c>
      <c r="B549" s="3">
        <v>44265</v>
      </c>
      <c r="C549" s="2" t="s">
        <v>3594</v>
      </c>
      <c r="D549" t="s">
        <v>6178</v>
      </c>
      <c r="E549" s="2">
        <v>3</v>
      </c>
      <c r="F549" s="2" t="str" cm="1">
        <f t="array" ref="F549">_xlfn.XLOOKUP(C549, customers!$A$1:A1548, customers!$B$1:B1548, 0)</f>
        <v>Wilek Lightollers</v>
      </c>
      <c r="G549" s="2" t="str">
        <f>IF(_xlfn.XLOOKUP(C549, customers!A548:A1548, customers!C548:C1548, 0)=0, "", _xlfn.XLOOKUP(C549, customers!A548:A1548, customers!C548:C1548, 0))</f>
        <v>wlightollersf9@baidu.com</v>
      </c>
      <c r="H549" s="2" t="str" cm="1">
        <f t="array" ref="H549">_xlfn.XLOOKUP(C549, customers!$A$1:A1548, customers!$G$1:G1548,, 0)</f>
        <v>United States</v>
      </c>
      <c r="I549" t="str" cm="1">
        <f t="array" ref="I549">_xlfn.XLOOKUP(orders!D549, products!$A$1:A596, products!$B$1:B596, 0)</f>
        <v>Rob</v>
      </c>
      <c r="J549" t="str" cm="1">
        <f t="array" ref="J549">_xlfn.XLOOKUP(D549, products!$A$1:A596, products!$C$1:C596, 0)</f>
        <v>L</v>
      </c>
      <c r="K549" s="4" cm="1">
        <f t="array" ref="K549">_xlfn.XLOOKUP(D549, products!$A$1:A596, products!$D$1:D596, 0)</f>
        <v>0.2</v>
      </c>
      <c r="L549" s="4" cm="1">
        <f t="array" ref="L549">_xlfn.XLOOKUP(D549, products!$A$1:A596, products!$E$1:E596)</f>
        <v>3.5849999999999995</v>
      </c>
      <c r="M549">
        <f t="shared" si="16"/>
        <v>10.754999999999999</v>
      </c>
      <c r="N549" t="str">
        <f t="shared" si="17"/>
        <v>Robusta</v>
      </c>
      <c r="O549" t="str" cm="1">
        <f t="array" ref="O549">_xlfn.IFS(J549="M", "Medium", J549="L", "Light", J549="D", "Dark")</f>
        <v>Light</v>
      </c>
      <c r="P549" t="str">
        <f>_xlfn.XLOOKUP(Orders[[#This Row],[Customer ID]], customers!$A$2:$A$1001, customers!$I$2:$I$1001, 0)</f>
        <v>Yes</v>
      </c>
    </row>
    <row r="550" spans="1:16" x14ac:dyDescent="0.35">
      <c r="A550" s="2" t="s">
        <v>3587</v>
      </c>
      <c r="B550" s="3">
        <v>44384</v>
      </c>
      <c r="C550" s="2" t="s">
        <v>3588</v>
      </c>
      <c r="D550" t="s">
        <v>6184</v>
      </c>
      <c r="E550" s="2">
        <v>3</v>
      </c>
      <c r="F550" s="2" t="str" cm="1">
        <f t="array" ref="F550">_xlfn.XLOOKUP(C550, customers!$A$1:A1549, customers!$B$1:B1549, 0)</f>
        <v>Bette-ann Munden</v>
      </c>
      <c r="G550" s="2" t="str">
        <f>IF(_xlfn.XLOOKUP(C550, customers!A549:A1549, customers!C549:C1549, 0)=0, "", _xlfn.XLOOKUP(C550, customers!A549:A1549, customers!C549:C1549, 0))</f>
        <v>bmundenf8@elpais.com</v>
      </c>
      <c r="H550" s="2" t="str" cm="1">
        <f t="array" ref="H550">_xlfn.XLOOKUP(C550, customers!$A$1:A1549, customers!$G$1:G1549,, 0)</f>
        <v>United States</v>
      </c>
      <c r="I550" t="str" cm="1">
        <f t="array" ref="I550">_xlfn.XLOOKUP(orders!D550, products!$A$1:A597, products!$B$1:B597, 0)</f>
        <v>Exc</v>
      </c>
      <c r="J550" t="str" cm="1">
        <f t="array" ref="J550">_xlfn.XLOOKUP(D550, products!$A$1:A597, products!$C$1:C597, 0)</f>
        <v>L</v>
      </c>
      <c r="K550" s="4" cm="1">
        <f t="array" ref="K550">_xlfn.XLOOKUP(D550, products!$A$1:A597, products!$D$1:D597, 0)</f>
        <v>0.2</v>
      </c>
      <c r="L550" s="4" cm="1">
        <f t="array" ref="L550">_xlfn.XLOOKUP(D550, products!$A$1:A597, products!$E$1:E597)</f>
        <v>4.4550000000000001</v>
      </c>
      <c r="M550">
        <f t="shared" si="16"/>
        <v>13.365</v>
      </c>
      <c r="N550" t="str">
        <f t="shared" si="17"/>
        <v>Excelsa</v>
      </c>
      <c r="O550" t="str" cm="1">
        <f t="array" ref="O550">_xlfn.IFS(J550="M", "Medium", J550="L", "Light", J550="D", "Dark")</f>
        <v>Light</v>
      </c>
      <c r="P550" t="str">
        <f>_xlfn.XLOOKUP(Orders[[#This Row],[Customer ID]], customers!$A$2:$A$1001, customers!$I$2:$I$1001, 0)</f>
        <v>Yes</v>
      </c>
    </row>
    <row r="551" spans="1:16" x14ac:dyDescent="0.35">
      <c r="A551" s="2" t="s">
        <v>3593</v>
      </c>
      <c r="B551" s="3">
        <v>44232</v>
      </c>
      <c r="C551" s="2" t="s">
        <v>3594</v>
      </c>
      <c r="D551" t="s">
        <v>6184</v>
      </c>
      <c r="E551" s="2">
        <v>4</v>
      </c>
      <c r="F551" s="2" t="str" cm="1">
        <f t="array" ref="F551">_xlfn.XLOOKUP(C551, customers!$A$1:A1550, customers!$B$1:B1550, 0)</f>
        <v>Wilek Lightollers</v>
      </c>
      <c r="G551" s="2" t="str">
        <f>IF(_xlfn.XLOOKUP(C551, customers!A550:A1550, customers!C550:C1550, 0)=0, "", _xlfn.XLOOKUP(C551, customers!A550:A1550, customers!C550:C1550, 0))</f>
        <v>wlightollersf9@baidu.com</v>
      </c>
      <c r="H551" s="2" t="str" cm="1">
        <f t="array" ref="H551">_xlfn.XLOOKUP(C551, customers!$A$1:A1550, customers!$G$1:G1550,, 0)</f>
        <v>United States</v>
      </c>
      <c r="I551" t="str" cm="1">
        <f t="array" ref="I551">_xlfn.XLOOKUP(orders!D551, products!$A$1:A598, products!$B$1:B598, 0)</f>
        <v>Exc</v>
      </c>
      <c r="J551" t="str" cm="1">
        <f t="array" ref="J551">_xlfn.XLOOKUP(D551, products!$A$1:A598, products!$C$1:C598, 0)</f>
        <v>L</v>
      </c>
      <c r="K551" s="4" cm="1">
        <f t="array" ref="K551">_xlfn.XLOOKUP(D551, products!$A$1:A598, products!$D$1:D598, 0)</f>
        <v>0.2</v>
      </c>
      <c r="L551" s="4" cm="1">
        <f t="array" ref="L551">_xlfn.XLOOKUP(D551, products!$A$1:A598, products!$E$1:E598)</f>
        <v>4.4550000000000001</v>
      </c>
      <c r="M551">
        <f t="shared" si="16"/>
        <v>17.82</v>
      </c>
      <c r="N551" t="str">
        <f t="shared" si="17"/>
        <v>Excelsa</v>
      </c>
      <c r="O551" t="str" cm="1">
        <f t="array" ref="O551">_xlfn.IFS(J551="M", "Medium", J551="L", "Light", J551="D", "Dark")</f>
        <v>Light</v>
      </c>
      <c r="P551" t="str">
        <f>_xlfn.XLOOKUP(Orders[[#This Row],[Customer ID]], customers!$A$2:$A$1001, customers!$I$2:$I$1001, 0)</f>
        <v>Yes</v>
      </c>
    </row>
    <row r="552" spans="1:16" x14ac:dyDescent="0.35">
      <c r="A552" s="2" t="s">
        <v>3599</v>
      </c>
      <c r="B552" s="3">
        <v>44176</v>
      </c>
      <c r="C552" s="2" t="s">
        <v>3600</v>
      </c>
      <c r="D552" t="s">
        <v>6150</v>
      </c>
      <c r="E552" s="2">
        <v>6</v>
      </c>
      <c r="F552" s="2" t="str" cm="1">
        <f t="array" ref="F552">_xlfn.XLOOKUP(C552, customers!$A$1:A1551, customers!$B$1:B1551, 0)</f>
        <v>Nick Brakespear</v>
      </c>
      <c r="G552" s="2" t="str">
        <f>IF(_xlfn.XLOOKUP(C552, customers!A551:A1551, customers!C551:C1551, 0)=0, "", _xlfn.XLOOKUP(C552, customers!A551:A1551, customers!C551:C1551, 0))</f>
        <v>nbrakespearfa@rediff.com</v>
      </c>
      <c r="H552" s="2" t="str" cm="1">
        <f t="array" ref="H552">_xlfn.XLOOKUP(C552, customers!$A$1:A1551, customers!$G$1:G1551,, 0)</f>
        <v>United States</v>
      </c>
      <c r="I552" t="str" cm="1">
        <f t="array" ref="I552">_xlfn.XLOOKUP(orders!D552, products!$A$1:A599, products!$B$1:B599, 0)</f>
        <v>Lib</v>
      </c>
      <c r="J552" t="str" cm="1">
        <f t="array" ref="J552">_xlfn.XLOOKUP(D552, products!$A$1:A599, products!$C$1:C599, 0)</f>
        <v>D</v>
      </c>
      <c r="K552" s="4" cm="1">
        <f t="array" ref="K552">_xlfn.XLOOKUP(D552, products!$A$1:A599, products!$D$1:D599, 0)</f>
        <v>0.2</v>
      </c>
      <c r="L552" s="4" cm="1">
        <f t="array" ref="L552">_xlfn.XLOOKUP(D552, products!$A$1:A599, products!$E$1:E599)</f>
        <v>3.8849999999999998</v>
      </c>
      <c r="M552">
        <f t="shared" si="16"/>
        <v>23.31</v>
      </c>
      <c r="N552" t="str">
        <f t="shared" si="17"/>
        <v>Liberica</v>
      </c>
      <c r="O552" t="str" cm="1">
        <f t="array" ref="O552">_xlfn.IFS(J552="M", "Medium", J552="L", "Light", J552="D", "Dark")</f>
        <v>Dark</v>
      </c>
      <c r="P552" t="str">
        <f>_xlfn.XLOOKUP(Orders[[#This Row],[Customer ID]], customers!$A$2:$A$1001, customers!$I$2:$I$1001, 0)</f>
        <v>Yes</v>
      </c>
    </row>
    <row r="553" spans="1:16" x14ac:dyDescent="0.35">
      <c r="A553" s="2" t="s">
        <v>3605</v>
      </c>
      <c r="B553" s="3">
        <v>44694</v>
      </c>
      <c r="C553" s="2" t="s">
        <v>3606</v>
      </c>
      <c r="D553" t="s">
        <v>6153</v>
      </c>
      <c r="E553" s="2">
        <v>2</v>
      </c>
      <c r="F553" s="2" t="str" cm="1">
        <f t="array" ref="F553">_xlfn.XLOOKUP(C553, customers!$A$1:A1552, customers!$B$1:B1552, 0)</f>
        <v>Malynda Glawsop</v>
      </c>
      <c r="G553" s="2" t="str">
        <f>IF(_xlfn.XLOOKUP(C553, customers!A552:A1552, customers!C552:C1552, 0)=0, "", _xlfn.XLOOKUP(C553, customers!A552:A1552, customers!C552:C1552, 0))</f>
        <v>mglawsopfb@reverbnation.com</v>
      </c>
      <c r="H553" s="2" t="str" cm="1">
        <f t="array" ref="H553">_xlfn.XLOOKUP(C553, customers!$A$1:A1552, customers!$G$1:G1552,, 0)</f>
        <v>United States</v>
      </c>
      <c r="I553" t="str" cm="1">
        <f t="array" ref="I553">_xlfn.XLOOKUP(orders!D553, products!$A$1:A600, products!$B$1:B600, 0)</f>
        <v>Exc</v>
      </c>
      <c r="J553" t="str" cm="1">
        <f t="array" ref="J553">_xlfn.XLOOKUP(D553, products!$A$1:A600, products!$C$1:C600, 0)</f>
        <v>D</v>
      </c>
      <c r="K553" s="4" cm="1">
        <f t="array" ref="K553">_xlfn.XLOOKUP(D553, products!$A$1:A600, products!$D$1:D600, 0)</f>
        <v>0.2</v>
      </c>
      <c r="L553" s="4" cm="1">
        <f t="array" ref="L553">_xlfn.XLOOKUP(D553, products!$A$1:A600, products!$E$1:E600)</f>
        <v>3.645</v>
      </c>
      <c r="M553">
        <f t="shared" si="16"/>
        <v>7.29</v>
      </c>
      <c r="N553" t="str">
        <f t="shared" si="17"/>
        <v>Excelsa</v>
      </c>
      <c r="O553" t="str" cm="1">
        <f t="array" ref="O553">_xlfn.IFS(J553="M", "Medium", J553="L", "Light", J553="D", "Dark")</f>
        <v>Dark</v>
      </c>
      <c r="P553" t="str">
        <f>_xlfn.XLOOKUP(Orders[[#This Row],[Customer ID]], customers!$A$2:$A$1001, customers!$I$2:$I$1001, 0)</f>
        <v>No</v>
      </c>
    </row>
    <row r="554" spans="1:16" x14ac:dyDescent="0.35">
      <c r="A554" s="2" t="s">
        <v>3611</v>
      </c>
      <c r="B554" s="3">
        <v>43761</v>
      </c>
      <c r="C554" s="2" t="s">
        <v>3612</v>
      </c>
      <c r="D554" t="s">
        <v>6184</v>
      </c>
      <c r="E554" s="2">
        <v>4</v>
      </c>
      <c r="F554" s="2" t="str" cm="1">
        <f t="array" ref="F554">_xlfn.XLOOKUP(C554, customers!$A$1:A1553, customers!$B$1:B1553, 0)</f>
        <v>Granville Alberts</v>
      </c>
      <c r="G554" s="2" t="str">
        <f>IF(_xlfn.XLOOKUP(C554, customers!A553:A1553, customers!C553:C1553, 0)=0, "", _xlfn.XLOOKUP(C554, customers!A553:A1553, customers!C553:C1553, 0))</f>
        <v>galbertsfc@etsy.com</v>
      </c>
      <c r="H554" s="2" t="str" cm="1">
        <f t="array" ref="H554">_xlfn.XLOOKUP(C554, customers!$A$1:A1553, customers!$G$1:G1553,, 0)</f>
        <v>United Kingdom</v>
      </c>
      <c r="I554" t="str" cm="1">
        <f t="array" ref="I554">_xlfn.XLOOKUP(orders!D554, products!$A$1:A601, products!$B$1:B601, 0)</f>
        <v>Exc</v>
      </c>
      <c r="J554" t="str" cm="1">
        <f t="array" ref="J554">_xlfn.XLOOKUP(D554, products!$A$1:A601, products!$C$1:C601, 0)</f>
        <v>L</v>
      </c>
      <c r="K554" s="4" cm="1">
        <f t="array" ref="K554">_xlfn.XLOOKUP(D554, products!$A$1:A601, products!$D$1:D601, 0)</f>
        <v>0.2</v>
      </c>
      <c r="L554" s="4" cm="1">
        <f t="array" ref="L554">_xlfn.XLOOKUP(D554, products!$A$1:A601, products!$E$1:E601)</f>
        <v>4.4550000000000001</v>
      </c>
      <c r="M554">
        <f t="shared" si="16"/>
        <v>17.82</v>
      </c>
      <c r="N554" t="str">
        <f t="shared" si="17"/>
        <v>Excelsa</v>
      </c>
      <c r="O554" t="str" cm="1">
        <f t="array" ref="O554">_xlfn.IFS(J554="M", "Medium", J554="L", "Light", J554="D", "Dark")</f>
        <v>Light</v>
      </c>
      <c r="P554" t="str">
        <f>_xlfn.XLOOKUP(Orders[[#This Row],[Customer ID]], customers!$A$2:$A$1001, customers!$I$2:$I$1001, 0)</f>
        <v>Yes</v>
      </c>
    </row>
    <row r="555" spans="1:16" x14ac:dyDescent="0.35">
      <c r="A555" s="2" t="s">
        <v>3617</v>
      </c>
      <c r="B555" s="3">
        <v>44085</v>
      </c>
      <c r="C555" s="2" t="s">
        <v>3618</v>
      </c>
      <c r="D555" t="s">
        <v>6141</v>
      </c>
      <c r="E555" s="2">
        <v>5</v>
      </c>
      <c r="F555" s="2" t="str" cm="1">
        <f t="array" ref="F555">_xlfn.XLOOKUP(C555, customers!$A$1:A1554, customers!$B$1:B1554, 0)</f>
        <v>Vasily Polglase</v>
      </c>
      <c r="G555" s="2" t="str">
        <f>IF(_xlfn.XLOOKUP(C555, customers!A554:A1554, customers!C554:C1554, 0)=0, "", _xlfn.XLOOKUP(C555, customers!A554:A1554, customers!C554:C1554, 0))</f>
        <v>vpolglasefd@about.me</v>
      </c>
      <c r="H555" s="2" t="str" cm="1">
        <f t="array" ref="H555">_xlfn.XLOOKUP(C555, customers!$A$1:A1554, customers!$G$1:G1554,, 0)</f>
        <v>United States</v>
      </c>
      <c r="I555" t="str" cm="1">
        <f t="array" ref="I555">_xlfn.XLOOKUP(orders!D555, products!$A$1:A602, products!$B$1:B602, 0)</f>
        <v>Exc</v>
      </c>
      <c r="J555" t="str" cm="1">
        <f t="array" ref="J555">_xlfn.XLOOKUP(D555, products!$A$1:A602, products!$C$1:C602, 0)</f>
        <v>M</v>
      </c>
      <c r="K555" s="4" cm="1">
        <f t="array" ref="K555">_xlfn.XLOOKUP(D555, products!$A$1:A602, products!$D$1:D602, 0)</f>
        <v>1</v>
      </c>
      <c r="L555" s="4" cm="1">
        <f t="array" ref="L555">_xlfn.XLOOKUP(D555, products!$A$1:A602, products!$E$1:E602)</f>
        <v>13.75</v>
      </c>
      <c r="M555">
        <f t="shared" si="16"/>
        <v>68.75</v>
      </c>
      <c r="N555" t="str">
        <f t="shared" si="17"/>
        <v>Excelsa</v>
      </c>
      <c r="O555" t="str" cm="1">
        <f t="array" ref="O555">_xlfn.IFS(J555="M", "Medium", J555="L", "Light", J555="D", "Dark")</f>
        <v>Medium</v>
      </c>
      <c r="P555" t="str">
        <f>_xlfn.XLOOKUP(Orders[[#This Row],[Customer ID]], customers!$A$2:$A$1001, customers!$I$2:$I$1001, 0)</f>
        <v>No</v>
      </c>
    </row>
    <row r="556" spans="1:16" x14ac:dyDescent="0.35">
      <c r="A556" s="2" t="s">
        <v>3622</v>
      </c>
      <c r="B556" s="3">
        <v>43737</v>
      </c>
      <c r="C556" s="2" t="s">
        <v>3623</v>
      </c>
      <c r="D556" t="s">
        <v>6142</v>
      </c>
      <c r="E556" s="2">
        <v>2</v>
      </c>
      <c r="F556" s="2" t="str" cm="1">
        <f t="array" ref="F556">_xlfn.XLOOKUP(C556, customers!$A$1:A1555, customers!$B$1:B1555, 0)</f>
        <v>Madelaine Sharples</v>
      </c>
      <c r="G556" s="2" t="str">
        <f>IF(_xlfn.XLOOKUP(C556, customers!A555:A1555, customers!C555:C1555, 0)=0, "", _xlfn.XLOOKUP(C556, customers!A555:A1555, customers!C555:C1555, 0))</f>
        <v/>
      </c>
      <c r="H556" s="2" t="str" cm="1">
        <f t="array" ref="H556">_xlfn.XLOOKUP(C556, customers!$A$1:A1555, customers!$G$1:G1555,, 0)</f>
        <v>United Kingdom</v>
      </c>
      <c r="I556" t="str" cm="1">
        <f t="array" ref="I556">_xlfn.XLOOKUP(orders!D556, products!$A$1:A603, products!$B$1:B603, 0)</f>
        <v>Rob</v>
      </c>
      <c r="J556" t="str" cm="1">
        <f t="array" ref="J556">_xlfn.XLOOKUP(D556, products!$A$1:A603, products!$C$1:C603, 0)</f>
        <v>L</v>
      </c>
      <c r="K556" s="4" cm="1">
        <f t="array" ref="K556">_xlfn.XLOOKUP(D556, products!$A$1:A603, products!$D$1:D603, 0)</f>
        <v>2.5</v>
      </c>
      <c r="L556" s="4" cm="1">
        <f t="array" ref="L556">_xlfn.XLOOKUP(D556, products!$A$1:A603, products!$E$1:E603)</f>
        <v>27.484999999999996</v>
      </c>
      <c r="M556">
        <f t="shared" si="16"/>
        <v>54.969999999999992</v>
      </c>
      <c r="N556" t="str">
        <f t="shared" si="17"/>
        <v>Robusta</v>
      </c>
      <c r="O556" t="str" cm="1">
        <f t="array" ref="O556">_xlfn.IFS(J556="M", "Medium", J556="L", "Light", J556="D", "Dark")</f>
        <v>Light</v>
      </c>
      <c r="P556" t="str">
        <f>_xlfn.XLOOKUP(Orders[[#This Row],[Customer ID]], customers!$A$2:$A$1001, customers!$I$2:$I$1001, 0)</f>
        <v>Yes</v>
      </c>
    </row>
    <row r="557" spans="1:16" x14ac:dyDescent="0.35">
      <c r="A557" s="2" t="s">
        <v>3627</v>
      </c>
      <c r="B557" s="3">
        <v>44258</v>
      </c>
      <c r="C557" s="2" t="s">
        <v>3628</v>
      </c>
      <c r="D557" t="s">
        <v>6141</v>
      </c>
      <c r="E557" s="2">
        <v>6</v>
      </c>
      <c r="F557" s="2" t="str" cm="1">
        <f t="array" ref="F557">_xlfn.XLOOKUP(C557, customers!$A$1:A1556, customers!$B$1:B1556, 0)</f>
        <v>Sigfrid Busch</v>
      </c>
      <c r="G557" s="2" t="str">
        <f>IF(_xlfn.XLOOKUP(C557, customers!A556:A1556, customers!C556:C1556, 0)=0, "", _xlfn.XLOOKUP(C557, customers!A556:A1556, customers!C556:C1556, 0))</f>
        <v>sbuschff@so-net.ne.jp</v>
      </c>
      <c r="H557" s="2" t="str" cm="1">
        <f t="array" ref="H557">_xlfn.XLOOKUP(C557, customers!$A$1:A1556, customers!$G$1:G1556,, 0)</f>
        <v>Ireland</v>
      </c>
      <c r="I557" t="str" cm="1">
        <f t="array" ref="I557">_xlfn.XLOOKUP(orders!D557, products!$A$1:A604, products!$B$1:B604, 0)</f>
        <v>Exc</v>
      </c>
      <c r="J557" t="str" cm="1">
        <f t="array" ref="J557">_xlfn.XLOOKUP(D557, products!$A$1:A604, products!$C$1:C604, 0)</f>
        <v>M</v>
      </c>
      <c r="K557" s="4" cm="1">
        <f t="array" ref="K557">_xlfn.XLOOKUP(D557, products!$A$1:A604, products!$D$1:D604, 0)</f>
        <v>1</v>
      </c>
      <c r="L557" s="4" cm="1">
        <f t="array" ref="L557">_xlfn.XLOOKUP(D557, products!$A$1:A604, products!$E$1:E604)</f>
        <v>13.75</v>
      </c>
      <c r="M557">
        <f t="shared" si="16"/>
        <v>82.5</v>
      </c>
      <c r="N557" t="str">
        <f t="shared" si="17"/>
        <v>Excelsa</v>
      </c>
      <c r="O557" t="str" cm="1">
        <f t="array" ref="O557">_xlfn.IFS(J557="M", "Medium", J557="L", "Light", J557="D", "Dark")</f>
        <v>Medium</v>
      </c>
      <c r="P557" t="str">
        <f>_xlfn.XLOOKUP(Orders[[#This Row],[Customer ID]], customers!$A$2:$A$1001, customers!$I$2:$I$1001, 0)</f>
        <v>No</v>
      </c>
    </row>
    <row r="558" spans="1:16" x14ac:dyDescent="0.35">
      <c r="A558" s="2" t="s">
        <v>3633</v>
      </c>
      <c r="B558" s="3">
        <v>44523</v>
      </c>
      <c r="C558" s="2" t="s">
        <v>3634</v>
      </c>
      <c r="D558" t="s">
        <v>6159</v>
      </c>
      <c r="E558" s="2">
        <v>2</v>
      </c>
      <c r="F558" s="2" t="str" cm="1">
        <f t="array" ref="F558">_xlfn.XLOOKUP(C558, customers!$A$1:A1557, customers!$B$1:B1557, 0)</f>
        <v>Cissiee Raisbeck</v>
      </c>
      <c r="G558" s="2" t="str">
        <f>IF(_xlfn.XLOOKUP(C558, customers!A557:A1557, customers!C557:C1557, 0)=0, "", _xlfn.XLOOKUP(C558, customers!A557:A1557, customers!C557:C1557, 0))</f>
        <v>craisbeckfg@webnode.com</v>
      </c>
      <c r="H558" s="2" t="str" cm="1">
        <f t="array" ref="H558">_xlfn.XLOOKUP(C558, customers!$A$1:A1557, customers!$G$1:G1557,, 0)</f>
        <v>United States</v>
      </c>
      <c r="I558" t="str" cm="1">
        <f t="array" ref="I558">_xlfn.XLOOKUP(orders!D558, products!$A$1:A605, products!$B$1:B605, 0)</f>
        <v>Lib</v>
      </c>
      <c r="J558" t="str" cm="1">
        <f t="array" ref="J558">_xlfn.XLOOKUP(D558, products!$A$1:A605, products!$C$1:C605, 0)</f>
        <v>M</v>
      </c>
      <c r="K558" s="4" cm="1">
        <f t="array" ref="K558">_xlfn.XLOOKUP(D558, products!$A$1:A605, products!$D$1:D605, 0)</f>
        <v>0.2</v>
      </c>
      <c r="L558" s="4" cm="1">
        <f t="array" ref="L558">_xlfn.XLOOKUP(D558, products!$A$1:A605, products!$E$1:E605)</f>
        <v>4.3650000000000002</v>
      </c>
      <c r="M558">
        <f t="shared" si="16"/>
        <v>8.73</v>
      </c>
      <c r="N558" t="str">
        <f t="shared" si="17"/>
        <v>Liberica</v>
      </c>
      <c r="O558" t="str" cm="1">
        <f t="array" ref="O558">_xlfn.IFS(J558="M", "Medium", J558="L", "Light", J558="D", "Dark")</f>
        <v>Medium</v>
      </c>
      <c r="P558" t="str">
        <f>_xlfn.XLOOKUP(Orders[[#This Row],[Customer ID]], customers!$A$2:$A$1001, customers!$I$2:$I$1001, 0)</f>
        <v>Yes</v>
      </c>
    </row>
    <row r="559" spans="1:16" x14ac:dyDescent="0.35">
      <c r="A559" s="2" t="s">
        <v>3638</v>
      </c>
      <c r="B559" s="3">
        <v>44506</v>
      </c>
      <c r="C559" s="2" t="s">
        <v>3368</v>
      </c>
      <c r="D559" t="s">
        <v>6171</v>
      </c>
      <c r="E559" s="2">
        <v>4</v>
      </c>
      <c r="F559" s="2" t="str" cm="1">
        <f t="array" ref="F559">_xlfn.XLOOKUP(C559, customers!$A$1:A1558, customers!$B$1:B1558, 0)</f>
        <v>Marja Urion</v>
      </c>
      <c r="G559" s="2" t="str">
        <f>IF(_xlfn.XLOOKUP(C559, customers!A558:A1558, customers!C558:C1558, 0)=0, "", _xlfn.XLOOKUP(C559, customers!A558:A1558, customers!C558:C1558, 0))</f>
        <v/>
      </c>
      <c r="H559" s="2" t="str" cm="1">
        <f t="array" ref="H559">_xlfn.XLOOKUP(C559, customers!$A$1:A1558, customers!$G$1:G1558,, 0)</f>
        <v>Ireland</v>
      </c>
      <c r="I559" t="str" cm="1">
        <f t="array" ref="I559">_xlfn.XLOOKUP(orders!D559, products!$A$1:A606, products!$B$1:B606, 0)</f>
        <v>Exc</v>
      </c>
      <c r="J559" t="str" cm="1">
        <f t="array" ref="J559">_xlfn.XLOOKUP(D559, products!$A$1:A606, products!$C$1:C606, 0)</f>
        <v>L</v>
      </c>
      <c r="K559" s="4" cm="1">
        <f t="array" ref="K559">_xlfn.XLOOKUP(D559, products!$A$1:A606, products!$D$1:D606, 0)</f>
        <v>1</v>
      </c>
      <c r="L559" s="4" cm="1">
        <f t="array" ref="L559">_xlfn.XLOOKUP(D559, products!$A$1:A606, products!$E$1:E606)</f>
        <v>14.85</v>
      </c>
      <c r="M559">
        <f t="shared" si="16"/>
        <v>59.4</v>
      </c>
      <c r="N559" t="str">
        <f t="shared" si="17"/>
        <v>Excelsa</v>
      </c>
      <c r="O559" t="str" cm="1">
        <f t="array" ref="O559">_xlfn.IFS(J559="M", "Medium", J559="L", "Light", J559="D", "Dark")</f>
        <v>Light</v>
      </c>
      <c r="P559" t="str">
        <f>_xlfn.XLOOKUP(Orders[[#This Row],[Customer ID]], customers!$A$2:$A$1001, customers!$I$2:$I$1001, 0)</f>
        <v>Yes</v>
      </c>
    </row>
    <row r="560" spans="1:16" x14ac:dyDescent="0.35">
      <c r="A560" s="2" t="s">
        <v>3643</v>
      </c>
      <c r="B560" s="3">
        <v>44225</v>
      </c>
      <c r="C560" s="2" t="s">
        <v>3644</v>
      </c>
      <c r="D560" t="s">
        <v>6150</v>
      </c>
      <c r="E560" s="2">
        <v>4</v>
      </c>
      <c r="F560" s="2" t="str" cm="1">
        <f t="array" ref="F560">_xlfn.XLOOKUP(C560, customers!$A$1:A1559, customers!$B$1:B1559, 0)</f>
        <v>Kenton Wetherick</v>
      </c>
      <c r="G560" s="2" t="str">
        <f>IF(_xlfn.XLOOKUP(C560, customers!A559:A1559, customers!C559:C1559, 0)=0, "", _xlfn.XLOOKUP(C560, customers!A559:A1559, customers!C559:C1559, 0))</f>
        <v/>
      </c>
      <c r="H560" s="2" t="str" cm="1">
        <f t="array" ref="H560">_xlfn.XLOOKUP(C560, customers!$A$1:A1559, customers!$G$1:G1559,, 0)</f>
        <v>United States</v>
      </c>
      <c r="I560" t="str" cm="1">
        <f t="array" ref="I560">_xlfn.XLOOKUP(orders!D560, products!$A$1:A607, products!$B$1:B607, 0)</f>
        <v>Lib</v>
      </c>
      <c r="J560" t="str" cm="1">
        <f t="array" ref="J560">_xlfn.XLOOKUP(D560, products!$A$1:A607, products!$C$1:C607, 0)</f>
        <v>D</v>
      </c>
      <c r="K560" s="4" cm="1">
        <f t="array" ref="K560">_xlfn.XLOOKUP(D560, products!$A$1:A607, products!$D$1:D607, 0)</f>
        <v>0.2</v>
      </c>
      <c r="L560" s="4" cm="1">
        <f t="array" ref="L560">_xlfn.XLOOKUP(D560, products!$A$1:A607, products!$E$1:E607)</f>
        <v>3.8849999999999998</v>
      </c>
      <c r="M560">
        <f t="shared" si="16"/>
        <v>15.54</v>
      </c>
      <c r="N560" t="str">
        <f t="shared" si="17"/>
        <v>Liberica</v>
      </c>
      <c r="O560" t="str" cm="1">
        <f t="array" ref="O560">_xlfn.IFS(J560="M", "Medium", J560="L", "Light", J560="D", "Dark")</f>
        <v>Dark</v>
      </c>
      <c r="P560" t="str">
        <f>_xlfn.XLOOKUP(Orders[[#This Row],[Customer ID]], customers!$A$2:$A$1001, customers!$I$2:$I$1001, 0)</f>
        <v>Yes</v>
      </c>
    </row>
    <row r="561" spans="1:16" x14ac:dyDescent="0.35">
      <c r="A561" s="2" t="s">
        <v>3648</v>
      </c>
      <c r="B561" s="3">
        <v>44667</v>
      </c>
      <c r="C561" s="2" t="s">
        <v>3649</v>
      </c>
      <c r="D561" t="s">
        <v>6140</v>
      </c>
      <c r="E561" s="2">
        <v>3</v>
      </c>
      <c r="F561" s="2" t="str" cm="1">
        <f t="array" ref="F561">_xlfn.XLOOKUP(C561, customers!$A$1:A1560, customers!$B$1:B1560, 0)</f>
        <v>Reamonn Aynold</v>
      </c>
      <c r="G561" s="2" t="str">
        <f>IF(_xlfn.XLOOKUP(C561, customers!A560:A1560, customers!C560:C1560, 0)=0, "", _xlfn.XLOOKUP(C561, customers!A560:A1560, customers!C560:C1560, 0))</f>
        <v>raynoldfj@ustream.tv</v>
      </c>
      <c r="H561" s="2" t="str" cm="1">
        <f t="array" ref="H561">_xlfn.XLOOKUP(C561, customers!$A$1:A1560, customers!$G$1:G1560,, 0)</f>
        <v>United States</v>
      </c>
      <c r="I561" t="str" cm="1">
        <f t="array" ref="I561">_xlfn.XLOOKUP(orders!D561, products!$A$1:A608, products!$B$1:B608, 0)</f>
        <v>Ara</v>
      </c>
      <c r="J561" t="str" cm="1">
        <f t="array" ref="J561">_xlfn.XLOOKUP(D561, products!$A$1:A608, products!$C$1:C608, 0)</f>
        <v>L</v>
      </c>
      <c r="K561" s="4" cm="1">
        <f t="array" ref="K561">_xlfn.XLOOKUP(D561, products!$A$1:A608, products!$D$1:D608, 0)</f>
        <v>1</v>
      </c>
      <c r="L561" s="4" cm="1">
        <f t="array" ref="L561">_xlfn.XLOOKUP(D561, products!$A$1:A608, products!$E$1:E608)</f>
        <v>12.95</v>
      </c>
      <c r="M561">
        <f t="shared" si="16"/>
        <v>38.849999999999994</v>
      </c>
      <c r="N561" t="str">
        <f t="shared" si="17"/>
        <v>Arabica</v>
      </c>
      <c r="O561" t="str" cm="1">
        <f t="array" ref="O561">_xlfn.IFS(J561="M", "Medium", J561="L", "Light", J561="D", "Dark")</f>
        <v>Light</v>
      </c>
      <c r="P561" t="str">
        <f>_xlfn.XLOOKUP(Orders[[#This Row],[Customer ID]], customers!$A$2:$A$1001, customers!$I$2:$I$1001, 0)</f>
        <v>Yes</v>
      </c>
    </row>
    <row r="562" spans="1:16" x14ac:dyDescent="0.35">
      <c r="A562" s="2" t="s">
        <v>3654</v>
      </c>
      <c r="B562" s="3">
        <v>44401</v>
      </c>
      <c r="C562" s="2" t="s">
        <v>3655</v>
      </c>
      <c r="D562" t="s">
        <v>6166</v>
      </c>
      <c r="E562" s="2">
        <v>6</v>
      </c>
      <c r="F562" s="2" t="str" cm="1">
        <f t="array" ref="F562">_xlfn.XLOOKUP(C562, customers!$A$1:A1561, customers!$B$1:B1561, 0)</f>
        <v>Hatty Dovydenas</v>
      </c>
      <c r="G562" s="2" t="str">
        <f>IF(_xlfn.XLOOKUP(C562, customers!A561:A1561, customers!C561:C1561, 0)=0, "", _xlfn.XLOOKUP(C562, customers!A561:A1561, customers!C561:C1561, 0))</f>
        <v/>
      </c>
      <c r="H562" s="2" t="str" cm="1">
        <f t="array" ref="H562">_xlfn.XLOOKUP(C562, customers!$A$1:A1561, customers!$G$1:G1561,, 0)</f>
        <v>United States</v>
      </c>
      <c r="I562" t="str" cm="1">
        <f t="array" ref="I562">_xlfn.XLOOKUP(orders!D562, products!$A$1:A609, products!$B$1:B609, 0)</f>
        <v>Exc</v>
      </c>
      <c r="J562" t="str" cm="1">
        <f t="array" ref="J562">_xlfn.XLOOKUP(D562, products!$A$1:A609, products!$C$1:C609, 0)</f>
        <v>M</v>
      </c>
      <c r="K562" s="4" cm="1">
        <f t="array" ref="K562">_xlfn.XLOOKUP(D562, products!$A$1:A609, products!$D$1:D609, 0)</f>
        <v>2.5</v>
      </c>
      <c r="L562" s="4" cm="1">
        <f t="array" ref="L562">_xlfn.XLOOKUP(D562, products!$A$1:A609, products!$E$1:E609)</f>
        <v>31.624999999999996</v>
      </c>
      <c r="M562">
        <f t="shared" si="16"/>
        <v>189.74999999999997</v>
      </c>
      <c r="N562" t="str">
        <f t="shared" si="17"/>
        <v>Excelsa</v>
      </c>
      <c r="O562" t="str" cm="1">
        <f t="array" ref="O562">_xlfn.IFS(J562="M", "Medium", J562="L", "Light", J562="D", "Dark")</f>
        <v>Medium</v>
      </c>
      <c r="P562" t="str">
        <f>_xlfn.XLOOKUP(Orders[[#This Row],[Customer ID]], customers!$A$2:$A$1001, customers!$I$2:$I$1001, 0)</f>
        <v>Yes</v>
      </c>
    </row>
    <row r="563" spans="1:16" x14ac:dyDescent="0.35">
      <c r="A563" s="2" t="s">
        <v>3659</v>
      </c>
      <c r="B563" s="3">
        <v>43688</v>
      </c>
      <c r="C563" s="2" t="s">
        <v>3660</v>
      </c>
      <c r="D563" t="s">
        <v>6154</v>
      </c>
      <c r="E563" s="2">
        <v>6</v>
      </c>
      <c r="F563" s="2" t="str" cm="1">
        <f t="array" ref="F563">_xlfn.XLOOKUP(C563, customers!$A$1:A1562, customers!$B$1:B1562, 0)</f>
        <v>Nathaniel Bloxland</v>
      </c>
      <c r="G563" s="2" t="str">
        <f>IF(_xlfn.XLOOKUP(C563, customers!A562:A1562, customers!C562:C1562, 0)=0, "", _xlfn.XLOOKUP(C563, customers!A562:A1562, customers!C562:C1562, 0))</f>
        <v/>
      </c>
      <c r="H563" s="2" t="str" cm="1">
        <f t="array" ref="H563">_xlfn.XLOOKUP(C563, customers!$A$1:A1562, customers!$G$1:G1562,, 0)</f>
        <v>Ireland</v>
      </c>
      <c r="I563" t="str" cm="1">
        <f t="array" ref="I563">_xlfn.XLOOKUP(orders!D563, products!$A$1:A610, products!$B$1:B610, 0)</f>
        <v>Ara</v>
      </c>
      <c r="J563" t="str" cm="1">
        <f t="array" ref="J563">_xlfn.XLOOKUP(D563, products!$A$1:A610, products!$C$1:C610, 0)</f>
        <v>D</v>
      </c>
      <c r="K563" s="4" cm="1">
        <f t="array" ref="K563">_xlfn.XLOOKUP(D563, products!$A$1:A610, products!$D$1:D610, 0)</f>
        <v>0.2</v>
      </c>
      <c r="L563" s="4" cm="1">
        <f t="array" ref="L563">_xlfn.XLOOKUP(D563, products!$A$1:A610, products!$E$1:E610)</f>
        <v>2.9849999999999999</v>
      </c>
      <c r="M563">
        <f t="shared" si="16"/>
        <v>17.91</v>
      </c>
      <c r="N563" t="str">
        <f t="shared" si="17"/>
        <v>Arabica</v>
      </c>
      <c r="O563" t="str" cm="1">
        <f t="array" ref="O563">_xlfn.IFS(J563="M", "Medium", J563="L", "Light", J563="D", "Dark")</f>
        <v>Dark</v>
      </c>
      <c r="P563" t="str">
        <f>_xlfn.XLOOKUP(Orders[[#This Row],[Customer ID]], customers!$A$2:$A$1001, customers!$I$2:$I$1001, 0)</f>
        <v>Yes</v>
      </c>
    </row>
    <row r="564" spans="1:16" x14ac:dyDescent="0.35">
      <c r="A564" s="2" t="s">
        <v>3665</v>
      </c>
      <c r="B564" s="3">
        <v>43669</v>
      </c>
      <c r="C564" s="2" t="s">
        <v>3666</v>
      </c>
      <c r="D564" t="s">
        <v>6145</v>
      </c>
      <c r="E564" s="2">
        <v>6</v>
      </c>
      <c r="F564" s="2" t="str" cm="1">
        <f t="array" ref="F564">_xlfn.XLOOKUP(C564, customers!$A$1:A1563, customers!$B$1:B1563, 0)</f>
        <v>Brendan Grece</v>
      </c>
      <c r="G564" s="2" t="str">
        <f>IF(_xlfn.XLOOKUP(C564, customers!A563:A1563, customers!C563:C1563, 0)=0, "", _xlfn.XLOOKUP(C564, customers!A563:A1563, customers!C563:C1563, 0))</f>
        <v>bgrecefm@naver.com</v>
      </c>
      <c r="H564" s="2" t="str" cm="1">
        <f t="array" ref="H564">_xlfn.XLOOKUP(C564, customers!$A$1:A1563, customers!$G$1:G1563,, 0)</f>
        <v>United Kingdom</v>
      </c>
      <c r="I564" t="str" cm="1">
        <f t="array" ref="I564">_xlfn.XLOOKUP(orders!D564, products!$A$1:A611, products!$B$1:B611, 0)</f>
        <v>Lib</v>
      </c>
      <c r="J564" t="str" cm="1">
        <f t="array" ref="J564">_xlfn.XLOOKUP(D564, products!$A$1:A611, products!$C$1:C611, 0)</f>
        <v>L</v>
      </c>
      <c r="K564" s="4" cm="1">
        <f t="array" ref="K564">_xlfn.XLOOKUP(D564, products!$A$1:A611, products!$D$1:D611, 0)</f>
        <v>0.2</v>
      </c>
      <c r="L564" s="4" cm="1">
        <f t="array" ref="L564">_xlfn.XLOOKUP(D564, products!$A$1:A611, products!$E$1:E611)</f>
        <v>4.7549999999999999</v>
      </c>
      <c r="M564">
        <f t="shared" si="16"/>
        <v>28.53</v>
      </c>
      <c r="N564" t="str">
        <f t="shared" si="17"/>
        <v>Liberica</v>
      </c>
      <c r="O564" t="str" cm="1">
        <f t="array" ref="O564">_xlfn.IFS(J564="M", "Medium", J564="L", "Light", J564="D", "Dark")</f>
        <v>Light</v>
      </c>
      <c r="P564" t="str">
        <f>_xlfn.XLOOKUP(Orders[[#This Row],[Customer ID]], customers!$A$2:$A$1001, customers!$I$2:$I$1001, 0)</f>
        <v>No</v>
      </c>
    </row>
    <row r="565" spans="1:16" x14ac:dyDescent="0.35">
      <c r="A565" s="2" t="s">
        <v>3671</v>
      </c>
      <c r="B565" s="3">
        <v>43991</v>
      </c>
      <c r="C565" s="2" t="s">
        <v>3752</v>
      </c>
      <c r="D565" t="s">
        <v>6141</v>
      </c>
      <c r="E565" s="2">
        <v>6</v>
      </c>
      <c r="F565" s="2" t="str" cm="1">
        <f t="array" ref="F565">_xlfn.XLOOKUP(C565, customers!$A$1:A1564, customers!$B$1:B1564, 0)</f>
        <v>Don Flintiff</v>
      </c>
      <c r="G565" s="2" t="str">
        <f>IF(_xlfn.XLOOKUP(C565, customers!A564:A1564, customers!C564:C1564, 0)=0, "", _xlfn.XLOOKUP(C565, customers!A564:A1564, customers!C564:C1564, 0))</f>
        <v>dflintiffg1@e-recht24.de</v>
      </c>
      <c r="H565" s="2" t="str" cm="1">
        <f t="array" ref="H565">_xlfn.XLOOKUP(C565, customers!$A$1:A1564, customers!$G$1:G1564,, 0)</f>
        <v>United Kingdom</v>
      </c>
      <c r="I565" t="str" cm="1">
        <f t="array" ref="I565">_xlfn.XLOOKUP(orders!D565, products!$A$1:A612, products!$B$1:B612, 0)</f>
        <v>Exc</v>
      </c>
      <c r="J565" t="str" cm="1">
        <f t="array" ref="J565">_xlfn.XLOOKUP(D565, products!$A$1:A612, products!$C$1:C612, 0)</f>
        <v>M</v>
      </c>
      <c r="K565" s="4" cm="1">
        <f t="array" ref="K565">_xlfn.XLOOKUP(D565, products!$A$1:A612, products!$D$1:D612, 0)</f>
        <v>1</v>
      </c>
      <c r="L565" s="4" cm="1">
        <f t="array" ref="L565">_xlfn.XLOOKUP(D565, products!$A$1:A612, products!$E$1:E612)</f>
        <v>13.75</v>
      </c>
      <c r="M565">
        <f t="shared" si="16"/>
        <v>82.5</v>
      </c>
      <c r="N565" t="str">
        <f t="shared" si="17"/>
        <v>Excelsa</v>
      </c>
      <c r="O565" t="str" cm="1">
        <f t="array" ref="O565">_xlfn.IFS(J565="M", "Medium", J565="L", "Light", J565="D", "Dark")</f>
        <v>Medium</v>
      </c>
      <c r="P565" t="str">
        <f>_xlfn.XLOOKUP(Orders[[#This Row],[Customer ID]], customers!$A$2:$A$1001, customers!$I$2:$I$1001, 0)</f>
        <v>No</v>
      </c>
    </row>
    <row r="566" spans="1:16" x14ac:dyDescent="0.35">
      <c r="A566" s="2" t="s">
        <v>3677</v>
      </c>
      <c r="B566" s="3">
        <v>43883</v>
      </c>
      <c r="C566" s="2" t="s">
        <v>3678</v>
      </c>
      <c r="D566" t="s">
        <v>6173</v>
      </c>
      <c r="E566" s="2">
        <v>2</v>
      </c>
      <c r="F566" s="2" t="str" cm="1">
        <f t="array" ref="F566">_xlfn.XLOOKUP(C566, customers!$A$1:A1565, customers!$B$1:B1565, 0)</f>
        <v>Abbe Thys</v>
      </c>
      <c r="G566" s="2" t="str">
        <f>IF(_xlfn.XLOOKUP(C566, customers!A565:A1565, customers!C565:C1565, 0)=0, "", _xlfn.XLOOKUP(C566, customers!A565:A1565, customers!C565:C1565, 0))</f>
        <v>athysfo@cdc.gov</v>
      </c>
      <c r="H566" s="2" t="str" cm="1">
        <f t="array" ref="H566">_xlfn.XLOOKUP(C566, customers!$A$1:A1565, customers!$G$1:G1565,, 0)</f>
        <v>United States</v>
      </c>
      <c r="I566" t="str" cm="1">
        <f t="array" ref="I566">_xlfn.XLOOKUP(orders!D566, products!$A$1:A613, products!$B$1:B613, 0)</f>
        <v>Rob</v>
      </c>
      <c r="J566" t="str" cm="1">
        <f t="array" ref="J566">_xlfn.XLOOKUP(D566, products!$A$1:A613, products!$C$1:C613, 0)</f>
        <v>L</v>
      </c>
      <c r="K566" s="4" cm="1">
        <f t="array" ref="K566">_xlfn.XLOOKUP(D566, products!$A$1:A613, products!$D$1:D613, 0)</f>
        <v>0.5</v>
      </c>
      <c r="L566" s="4" cm="1">
        <f t="array" ref="L566">_xlfn.XLOOKUP(D566, products!$A$1:A613, products!$E$1:E613)</f>
        <v>7.169999999999999</v>
      </c>
      <c r="M566">
        <f t="shared" si="16"/>
        <v>14.339999999999998</v>
      </c>
      <c r="N566" t="str">
        <f t="shared" si="17"/>
        <v>Robusta</v>
      </c>
      <c r="O566" t="str" cm="1">
        <f t="array" ref="O566">_xlfn.IFS(J566="M", "Medium", J566="L", "Light", J566="D", "Dark")</f>
        <v>Light</v>
      </c>
      <c r="P566" t="str">
        <f>_xlfn.XLOOKUP(Orders[[#This Row],[Customer ID]], customers!$A$2:$A$1001, customers!$I$2:$I$1001, 0)</f>
        <v>No</v>
      </c>
    </row>
    <row r="567" spans="1:16" x14ac:dyDescent="0.35">
      <c r="A567" s="2" t="s">
        <v>3683</v>
      </c>
      <c r="B567" s="3">
        <v>44031</v>
      </c>
      <c r="C567" s="2" t="s">
        <v>3684</v>
      </c>
      <c r="D567" t="s">
        <v>6149</v>
      </c>
      <c r="E567" s="2">
        <v>4</v>
      </c>
      <c r="F567" s="2" t="str" cm="1">
        <f t="array" ref="F567">_xlfn.XLOOKUP(C567, customers!$A$1:A1566, customers!$B$1:B1566, 0)</f>
        <v>Jackquelin Chugg</v>
      </c>
      <c r="G567" s="2" t="str">
        <f>IF(_xlfn.XLOOKUP(C567, customers!A566:A1566, customers!C566:C1566, 0)=0, "", _xlfn.XLOOKUP(C567, customers!A566:A1566, customers!C566:C1566, 0))</f>
        <v>jchuggfp@about.me</v>
      </c>
      <c r="H567" s="2" t="str" cm="1">
        <f t="array" ref="H567">_xlfn.XLOOKUP(C567, customers!$A$1:A1566, customers!$G$1:G1566,, 0)</f>
        <v>United States</v>
      </c>
      <c r="I567" t="str" cm="1">
        <f t="array" ref="I567">_xlfn.XLOOKUP(orders!D567, products!$A$1:A614, products!$B$1:B614, 0)</f>
        <v>Rob</v>
      </c>
      <c r="J567" t="str" cm="1">
        <f t="array" ref="J567">_xlfn.XLOOKUP(D567, products!$A$1:A614, products!$C$1:C614, 0)</f>
        <v>D</v>
      </c>
      <c r="K567" s="4" cm="1">
        <f t="array" ref="K567">_xlfn.XLOOKUP(D567, products!$A$1:A614, products!$D$1:D614, 0)</f>
        <v>2.5</v>
      </c>
      <c r="L567" s="4" cm="1">
        <f t="array" ref="L567">_xlfn.XLOOKUP(D567, products!$A$1:A614, products!$E$1:E614)</f>
        <v>20.584999999999997</v>
      </c>
      <c r="M567">
        <f t="shared" si="16"/>
        <v>82.339999999999989</v>
      </c>
      <c r="N567" t="str">
        <f t="shared" si="17"/>
        <v>Robusta</v>
      </c>
      <c r="O567" t="str" cm="1">
        <f t="array" ref="O567">_xlfn.IFS(J567="M", "Medium", J567="L", "Light", J567="D", "Dark")</f>
        <v>Dark</v>
      </c>
      <c r="P567" t="str">
        <f>_xlfn.XLOOKUP(Orders[[#This Row],[Customer ID]], customers!$A$2:$A$1001, customers!$I$2:$I$1001, 0)</f>
        <v>No</v>
      </c>
    </row>
    <row r="568" spans="1:16" x14ac:dyDescent="0.35">
      <c r="A568" s="2" t="s">
        <v>3689</v>
      </c>
      <c r="B568" s="3">
        <v>44459</v>
      </c>
      <c r="C568" s="2" t="s">
        <v>3690</v>
      </c>
      <c r="D568" t="s">
        <v>6152</v>
      </c>
      <c r="E568" s="2">
        <v>6</v>
      </c>
      <c r="F568" s="2" t="str" cm="1">
        <f t="array" ref="F568">_xlfn.XLOOKUP(C568, customers!$A$1:A1567, customers!$B$1:B1567, 0)</f>
        <v>Audra Kelston</v>
      </c>
      <c r="G568" s="2" t="str">
        <f>IF(_xlfn.XLOOKUP(C568, customers!A567:A1567, customers!C567:C1567, 0)=0, "", _xlfn.XLOOKUP(C568, customers!A567:A1567, customers!C567:C1567, 0))</f>
        <v>akelstonfq@sakura.ne.jp</v>
      </c>
      <c r="H568" s="2" t="str" cm="1">
        <f t="array" ref="H568">_xlfn.XLOOKUP(C568, customers!$A$1:A1567, customers!$G$1:G1567,, 0)</f>
        <v>United States</v>
      </c>
      <c r="I568" t="str" cm="1">
        <f t="array" ref="I568">_xlfn.XLOOKUP(orders!D568, products!$A$1:A615, products!$B$1:B615, 0)</f>
        <v>Ara</v>
      </c>
      <c r="J568" t="str" cm="1">
        <f t="array" ref="J568">_xlfn.XLOOKUP(D568, products!$A$1:A615, products!$C$1:C615, 0)</f>
        <v>M</v>
      </c>
      <c r="K568" s="4" cm="1">
        <f t="array" ref="K568">_xlfn.XLOOKUP(D568, products!$A$1:A615, products!$D$1:D615, 0)</f>
        <v>0.2</v>
      </c>
      <c r="L568" s="4" cm="1">
        <f t="array" ref="L568">_xlfn.XLOOKUP(D568, products!$A$1:A615, products!$E$1:E615)</f>
        <v>3.375</v>
      </c>
      <c r="M568">
        <f t="shared" si="16"/>
        <v>20.25</v>
      </c>
      <c r="N568" t="str">
        <f t="shared" si="17"/>
        <v>Arabica</v>
      </c>
      <c r="O568" t="str" cm="1">
        <f t="array" ref="O568">_xlfn.IFS(J568="M", "Medium", J568="L", "Light", J568="D", "Dark")</f>
        <v>Medium</v>
      </c>
      <c r="P568" t="str">
        <f>_xlfn.XLOOKUP(Orders[[#This Row],[Customer ID]], customers!$A$2:$A$1001, customers!$I$2:$I$1001, 0)</f>
        <v>Yes</v>
      </c>
    </row>
    <row r="569" spans="1:16" x14ac:dyDescent="0.35">
      <c r="A569" s="2" t="s">
        <v>3695</v>
      </c>
      <c r="B569" s="3">
        <v>44318</v>
      </c>
      <c r="C569" s="2" t="s">
        <v>3696</v>
      </c>
      <c r="D569" t="s">
        <v>6142</v>
      </c>
      <c r="E569" s="2">
        <v>6</v>
      </c>
      <c r="F569" s="2" t="str" cm="1">
        <f t="array" ref="F569">_xlfn.XLOOKUP(C569, customers!$A$1:A1568, customers!$B$1:B1568, 0)</f>
        <v>Elvina Angel</v>
      </c>
      <c r="G569" s="2" t="str">
        <f>IF(_xlfn.XLOOKUP(C569, customers!A568:A1568, customers!C568:C1568, 0)=0, "", _xlfn.XLOOKUP(C569, customers!A568:A1568, customers!C568:C1568, 0))</f>
        <v/>
      </c>
      <c r="H569" s="2" t="str" cm="1">
        <f t="array" ref="H569">_xlfn.XLOOKUP(C569, customers!$A$1:A1568, customers!$G$1:G1568,, 0)</f>
        <v>Ireland</v>
      </c>
      <c r="I569" t="str" cm="1">
        <f t="array" ref="I569">_xlfn.XLOOKUP(orders!D569, products!$A$1:A616, products!$B$1:B616, 0)</f>
        <v>Rob</v>
      </c>
      <c r="J569" t="str" cm="1">
        <f t="array" ref="J569">_xlfn.XLOOKUP(D569, products!$A$1:A616, products!$C$1:C616, 0)</f>
        <v>L</v>
      </c>
      <c r="K569" s="4" cm="1">
        <f t="array" ref="K569">_xlfn.XLOOKUP(D569, products!$A$1:A616, products!$D$1:D616, 0)</f>
        <v>2.5</v>
      </c>
      <c r="L569" s="4" cm="1">
        <f t="array" ref="L569">_xlfn.XLOOKUP(D569, products!$A$1:A616, products!$E$1:E616)</f>
        <v>27.484999999999996</v>
      </c>
      <c r="M569">
        <f t="shared" si="16"/>
        <v>164.90999999999997</v>
      </c>
      <c r="N569" t="str">
        <f t="shared" si="17"/>
        <v>Robusta</v>
      </c>
      <c r="O569" t="str" cm="1">
        <f t="array" ref="O569">_xlfn.IFS(J569="M", "Medium", J569="L", "Light", J569="D", "Dark")</f>
        <v>Light</v>
      </c>
      <c r="P569" t="str">
        <f>_xlfn.XLOOKUP(Orders[[#This Row],[Customer ID]], customers!$A$2:$A$1001, customers!$I$2:$I$1001, 0)</f>
        <v>No</v>
      </c>
    </row>
    <row r="570" spans="1:16" x14ac:dyDescent="0.35">
      <c r="A570" s="2" t="s">
        <v>3700</v>
      </c>
      <c r="B570" s="3">
        <v>44526</v>
      </c>
      <c r="C570" s="2" t="s">
        <v>3701</v>
      </c>
      <c r="D570" t="s">
        <v>6145</v>
      </c>
      <c r="E570" s="2">
        <v>4</v>
      </c>
      <c r="F570" s="2" t="str" cm="1">
        <f t="array" ref="F570">_xlfn.XLOOKUP(C570, customers!$A$1:A1569, customers!$B$1:B1569, 0)</f>
        <v>Claiborne Mottram</v>
      </c>
      <c r="G570" s="2" t="str">
        <f>IF(_xlfn.XLOOKUP(C570, customers!A569:A1569, customers!C569:C1569, 0)=0, "", _xlfn.XLOOKUP(C570, customers!A569:A1569, customers!C569:C1569, 0))</f>
        <v>cmottramfs@harvard.edu</v>
      </c>
      <c r="H570" s="2" t="str" cm="1">
        <f t="array" ref="H570">_xlfn.XLOOKUP(C570, customers!$A$1:A1569, customers!$G$1:G1569,, 0)</f>
        <v>United States</v>
      </c>
      <c r="I570" t="str" cm="1">
        <f t="array" ref="I570">_xlfn.XLOOKUP(orders!D570, products!$A$1:A617, products!$B$1:B617, 0)</f>
        <v>Lib</v>
      </c>
      <c r="J570" t="str" cm="1">
        <f t="array" ref="J570">_xlfn.XLOOKUP(D570, products!$A$1:A617, products!$C$1:C617, 0)</f>
        <v>L</v>
      </c>
      <c r="K570" s="4" cm="1">
        <f t="array" ref="K570">_xlfn.XLOOKUP(D570, products!$A$1:A617, products!$D$1:D617, 0)</f>
        <v>0.2</v>
      </c>
      <c r="L570" s="4" cm="1">
        <f t="array" ref="L570">_xlfn.XLOOKUP(D570, products!$A$1:A617, products!$E$1:E617)</f>
        <v>4.7549999999999999</v>
      </c>
      <c r="M570">
        <f t="shared" si="16"/>
        <v>19.02</v>
      </c>
      <c r="N570" t="str">
        <f t="shared" si="17"/>
        <v>Liberica</v>
      </c>
      <c r="O570" t="str" cm="1">
        <f t="array" ref="O570">_xlfn.IFS(J570="M", "Medium", J570="L", "Light", J570="D", "Dark")</f>
        <v>Light</v>
      </c>
      <c r="P570" t="str">
        <f>_xlfn.XLOOKUP(Orders[[#This Row],[Customer ID]], customers!$A$2:$A$1001, customers!$I$2:$I$1001, 0)</f>
        <v>Yes</v>
      </c>
    </row>
    <row r="571" spans="1:16" x14ac:dyDescent="0.35">
      <c r="A571" s="2" t="s">
        <v>3706</v>
      </c>
      <c r="B571" s="3">
        <v>43879</v>
      </c>
      <c r="C571" s="2" t="s">
        <v>3752</v>
      </c>
      <c r="D571" t="s">
        <v>6168</v>
      </c>
      <c r="E571" s="2">
        <v>6</v>
      </c>
      <c r="F571" s="2" t="str" cm="1">
        <f t="array" ref="F571">_xlfn.XLOOKUP(C571, customers!$A$1:A1570, customers!$B$1:B1570, 0)</f>
        <v>Don Flintiff</v>
      </c>
      <c r="G571" s="2" t="str">
        <f>IF(_xlfn.XLOOKUP(C571, customers!A570:A1570, customers!C570:C1570, 0)=0, "", _xlfn.XLOOKUP(C571, customers!A570:A1570, customers!C570:C1570, 0))</f>
        <v>dflintiffg1@e-recht24.de</v>
      </c>
      <c r="H571" s="2" t="str" cm="1">
        <f t="array" ref="H571">_xlfn.XLOOKUP(C571, customers!$A$1:A1570, customers!$G$1:G1570,, 0)</f>
        <v>United Kingdom</v>
      </c>
      <c r="I571" t="str" cm="1">
        <f t="array" ref="I571">_xlfn.XLOOKUP(orders!D571, products!$A$1:A618, products!$B$1:B618, 0)</f>
        <v>Ara</v>
      </c>
      <c r="J571" t="str" cm="1">
        <f t="array" ref="J571">_xlfn.XLOOKUP(D571, products!$A$1:A618, products!$C$1:C618, 0)</f>
        <v>D</v>
      </c>
      <c r="K571" s="4" cm="1">
        <f t="array" ref="K571">_xlfn.XLOOKUP(D571, products!$A$1:A618, products!$D$1:D618, 0)</f>
        <v>2.5</v>
      </c>
      <c r="L571" s="4" cm="1">
        <f t="array" ref="L571">_xlfn.XLOOKUP(D571, products!$A$1:A618, products!$E$1:E618)</f>
        <v>22.884999999999998</v>
      </c>
      <c r="M571">
        <f t="shared" si="16"/>
        <v>137.31</v>
      </c>
      <c r="N571" t="str">
        <f t="shared" si="17"/>
        <v>Arabica</v>
      </c>
      <c r="O571" t="str" cm="1">
        <f t="array" ref="O571">_xlfn.IFS(J571="M", "Medium", J571="L", "Light", J571="D", "Dark")</f>
        <v>Dark</v>
      </c>
      <c r="P571" t="str">
        <f>_xlfn.XLOOKUP(Orders[[#This Row],[Customer ID]], customers!$A$2:$A$1001, customers!$I$2:$I$1001, 0)</f>
        <v>No</v>
      </c>
    </row>
    <row r="572" spans="1:16" x14ac:dyDescent="0.35">
      <c r="A572" s="2" t="s">
        <v>3712</v>
      </c>
      <c r="B572" s="3">
        <v>43928</v>
      </c>
      <c r="C572" s="2" t="s">
        <v>3713</v>
      </c>
      <c r="D572" t="s">
        <v>6157</v>
      </c>
      <c r="E572" s="2">
        <v>4</v>
      </c>
      <c r="F572" s="2" t="str" cm="1">
        <f t="array" ref="F572">_xlfn.XLOOKUP(C572, customers!$A$1:A1571, customers!$B$1:B1571, 0)</f>
        <v>Donalt Sangwin</v>
      </c>
      <c r="G572" s="2" t="str">
        <f>IF(_xlfn.XLOOKUP(C572, customers!A571:A1571, customers!C571:C1571, 0)=0, "", _xlfn.XLOOKUP(C572, customers!A571:A1571, customers!C571:C1571, 0))</f>
        <v>dsangwinfu@weebly.com</v>
      </c>
      <c r="H572" s="2" t="str" cm="1">
        <f t="array" ref="H572">_xlfn.XLOOKUP(C572, customers!$A$1:A1571, customers!$G$1:G1571,, 0)</f>
        <v>United States</v>
      </c>
      <c r="I572" t="str" cm="1">
        <f t="array" ref="I572">_xlfn.XLOOKUP(orders!D572, products!$A$1:A619, products!$B$1:B619, 0)</f>
        <v>Ara</v>
      </c>
      <c r="J572" t="str" cm="1">
        <f t="array" ref="J572">_xlfn.XLOOKUP(D572, products!$A$1:A619, products!$C$1:C619, 0)</f>
        <v>M</v>
      </c>
      <c r="K572" s="4" cm="1">
        <f t="array" ref="K572">_xlfn.XLOOKUP(D572, products!$A$1:A619, products!$D$1:D619, 0)</f>
        <v>0.5</v>
      </c>
      <c r="L572" s="4" cm="1">
        <f t="array" ref="L572">_xlfn.XLOOKUP(D572, products!$A$1:A619, products!$E$1:E619)</f>
        <v>6.75</v>
      </c>
      <c r="M572">
        <f t="shared" si="16"/>
        <v>27</v>
      </c>
      <c r="N572" t="str">
        <f t="shared" si="17"/>
        <v>Arabica</v>
      </c>
      <c r="O572" t="str" cm="1">
        <f t="array" ref="O572">_xlfn.IFS(J572="M", "Medium", J572="L", "Light", J572="D", "Dark")</f>
        <v>Medium</v>
      </c>
      <c r="P572" t="str">
        <f>_xlfn.XLOOKUP(Orders[[#This Row],[Customer ID]], customers!$A$2:$A$1001, customers!$I$2:$I$1001, 0)</f>
        <v>No</v>
      </c>
    </row>
    <row r="573" spans="1:16" x14ac:dyDescent="0.35">
      <c r="A573" s="2" t="s">
        <v>3718</v>
      </c>
      <c r="B573" s="3">
        <v>44592</v>
      </c>
      <c r="C573" s="2" t="s">
        <v>3719</v>
      </c>
      <c r="D573" t="s">
        <v>6176</v>
      </c>
      <c r="E573" s="2">
        <v>4</v>
      </c>
      <c r="F573" s="2" t="str" cm="1">
        <f t="array" ref="F573">_xlfn.XLOOKUP(C573, customers!$A$1:A1572, customers!$B$1:B1572, 0)</f>
        <v>Elizabet Aizikowitz</v>
      </c>
      <c r="G573" s="2" t="str">
        <f>IF(_xlfn.XLOOKUP(C573, customers!A572:A1572, customers!C572:C1572, 0)=0, "", _xlfn.XLOOKUP(C573, customers!A572:A1572, customers!C572:C1572, 0))</f>
        <v>eaizikowitzfv@virginia.edu</v>
      </c>
      <c r="H573" s="2" t="str" cm="1">
        <f t="array" ref="H573">_xlfn.XLOOKUP(C573, customers!$A$1:A1572, customers!$G$1:G1572,, 0)</f>
        <v>United Kingdom</v>
      </c>
      <c r="I573" t="str" cm="1">
        <f t="array" ref="I573">_xlfn.XLOOKUP(orders!D573, products!$A$1:A620, products!$B$1:B620, 0)</f>
        <v>Exc</v>
      </c>
      <c r="J573" t="str" cm="1">
        <f t="array" ref="J573">_xlfn.XLOOKUP(D573, products!$A$1:A620, products!$C$1:C620, 0)</f>
        <v>L</v>
      </c>
      <c r="K573" s="4" cm="1">
        <f t="array" ref="K573">_xlfn.XLOOKUP(D573, products!$A$1:A620, products!$D$1:D620, 0)</f>
        <v>0.5</v>
      </c>
      <c r="L573" s="4" cm="1">
        <f t="array" ref="L573">_xlfn.XLOOKUP(D573, products!$A$1:A620, products!$E$1:E620)</f>
        <v>8.91</v>
      </c>
      <c r="M573">
        <f t="shared" si="16"/>
        <v>35.64</v>
      </c>
      <c r="N573" t="str">
        <f t="shared" si="17"/>
        <v>Excelsa</v>
      </c>
      <c r="O573" t="str" cm="1">
        <f t="array" ref="O573">_xlfn.IFS(J573="M", "Medium", J573="L", "Light", J573="D", "Dark")</f>
        <v>Light</v>
      </c>
      <c r="P573" t="str">
        <f>_xlfn.XLOOKUP(Orders[[#This Row],[Customer ID]], customers!$A$2:$A$1001, customers!$I$2:$I$1001, 0)</f>
        <v>No</v>
      </c>
    </row>
    <row r="574" spans="1:16" x14ac:dyDescent="0.35">
      <c r="A574" s="2" t="s">
        <v>3724</v>
      </c>
      <c r="B574" s="3">
        <v>43515</v>
      </c>
      <c r="C574" s="2" t="s">
        <v>3725</v>
      </c>
      <c r="D574" t="s">
        <v>6154</v>
      </c>
      <c r="E574" s="2">
        <v>2</v>
      </c>
      <c r="F574" s="2" t="str" cm="1">
        <f t="array" ref="F574">_xlfn.XLOOKUP(C574, customers!$A$1:A1573, customers!$B$1:B1573, 0)</f>
        <v>Herbie Peppard</v>
      </c>
      <c r="G574" s="2" t="str">
        <f>IF(_xlfn.XLOOKUP(C574, customers!A573:A1573, customers!C573:C1573, 0)=0, "", _xlfn.XLOOKUP(C574, customers!A573:A1573, customers!C573:C1573, 0))</f>
        <v/>
      </c>
      <c r="H574" s="2" t="str" cm="1">
        <f t="array" ref="H574">_xlfn.XLOOKUP(C574, customers!$A$1:A1573, customers!$G$1:G1573,, 0)</f>
        <v>United States</v>
      </c>
      <c r="I574" t="str" cm="1">
        <f t="array" ref="I574">_xlfn.XLOOKUP(orders!D574, products!$A$1:A621, products!$B$1:B621, 0)</f>
        <v>Ara</v>
      </c>
      <c r="J574" t="str" cm="1">
        <f t="array" ref="J574">_xlfn.XLOOKUP(D574, products!$A$1:A621, products!$C$1:C621, 0)</f>
        <v>D</v>
      </c>
      <c r="K574" s="4" cm="1">
        <f t="array" ref="K574">_xlfn.XLOOKUP(D574, products!$A$1:A621, products!$D$1:D621, 0)</f>
        <v>0.2</v>
      </c>
      <c r="L574" s="4" cm="1">
        <f t="array" ref="L574">_xlfn.XLOOKUP(D574, products!$A$1:A621, products!$E$1:E621)</f>
        <v>2.9849999999999999</v>
      </c>
      <c r="M574">
        <f t="shared" si="16"/>
        <v>5.97</v>
      </c>
      <c r="N574" t="str">
        <f t="shared" si="17"/>
        <v>Arabica</v>
      </c>
      <c r="O574" t="str" cm="1">
        <f t="array" ref="O574">_xlfn.IFS(J574="M", "Medium", J574="L", "Light", J574="D", "Dark")</f>
        <v>Dark</v>
      </c>
      <c r="P574" t="str">
        <f>_xlfn.XLOOKUP(Orders[[#This Row],[Customer ID]], customers!$A$2:$A$1001, customers!$I$2:$I$1001, 0)</f>
        <v>Yes</v>
      </c>
    </row>
    <row r="575" spans="1:16" x14ac:dyDescent="0.35">
      <c r="A575" s="2" t="s">
        <v>3728</v>
      </c>
      <c r="B575" s="3">
        <v>43781</v>
      </c>
      <c r="C575" s="2" t="s">
        <v>3729</v>
      </c>
      <c r="D575" t="s">
        <v>6155</v>
      </c>
      <c r="E575" s="2">
        <v>6</v>
      </c>
      <c r="F575" s="2" t="str" cm="1">
        <f t="array" ref="F575">_xlfn.XLOOKUP(C575, customers!$A$1:A1574, customers!$B$1:B1574, 0)</f>
        <v>Cornie Venour</v>
      </c>
      <c r="G575" s="2" t="str">
        <f>IF(_xlfn.XLOOKUP(C575, customers!A574:A1574, customers!C574:C1574, 0)=0, "", _xlfn.XLOOKUP(C575, customers!A574:A1574, customers!C574:C1574, 0))</f>
        <v>cvenourfx@ask.com</v>
      </c>
      <c r="H575" s="2" t="str" cm="1">
        <f t="array" ref="H575">_xlfn.XLOOKUP(C575, customers!$A$1:A1574, customers!$G$1:G1574,, 0)</f>
        <v>United States</v>
      </c>
      <c r="I575" t="str" cm="1">
        <f t="array" ref="I575">_xlfn.XLOOKUP(orders!D575, products!$A$1:A622, products!$B$1:B622, 0)</f>
        <v>Ara</v>
      </c>
      <c r="J575" t="str" cm="1">
        <f t="array" ref="J575">_xlfn.XLOOKUP(D575, products!$A$1:A622, products!$C$1:C622, 0)</f>
        <v>M</v>
      </c>
      <c r="K575" s="4" cm="1">
        <f t="array" ref="K575">_xlfn.XLOOKUP(D575, products!$A$1:A622, products!$D$1:D622, 0)</f>
        <v>1</v>
      </c>
      <c r="L575" s="4" cm="1">
        <f t="array" ref="L575">_xlfn.XLOOKUP(D575, products!$A$1:A622, products!$E$1:E622)</f>
        <v>11.25</v>
      </c>
      <c r="M575">
        <f t="shared" si="16"/>
        <v>67.5</v>
      </c>
      <c r="N575" t="str">
        <f t="shared" si="17"/>
        <v>Arabica</v>
      </c>
      <c r="O575" t="str" cm="1">
        <f t="array" ref="O575">_xlfn.IFS(J575="M", "Medium", J575="L", "Light", J575="D", "Dark")</f>
        <v>Medium</v>
      </c>
      <c r="P575" t="str">
        <f>_xlfn.XLOOKUP(Orders[[#This Row],[Customer ID]], customers!$A$2:$A$1001, customers!$I$2:$I$1001, 0)</f>
        <v>No</v>
      </c>
    </row>
    <row r="576" spans="1:16" x14ac:dyDescent="0.35">
      <c r="A576" s="2" t="s">
        <v>3734</v>
      </c>
      <c r="B576" s="3">
        <v>44697</v>
      </c>
      <c r="C576" s="2" t="s">
        <v>3735</v>
      </c>
      <c r="D576" t="s">
        <v>6178</v>
      </c>
      <c r="E576" s="2">
        <v>6</v>
      </c>
      <c r="F576" s="2" t="str" cm="1">
        <f t="array" ref="F576">_xlfn.XLOOKUP(C576, customers!$A$1:A1575, customers!$B$1:B1575, 0)</f>
        <v>Maggy Harby</v>
      </c>
      <c r="G576" s="2" t="str">
        <f>IF(_xlfn.XLOOKUP(C576, customers!A575:A1575, customers!C575:C1575, 0)=0, "", _xlfn.XLOOKUP(C576, customers!A575:A1575, customers!C575:C1575, 0))</f>
        <v>mharbyfy@163.com</v>
      </c>
      <c r="H576" s="2" t="str" cm="1">
        <f t="array" ref="H576">_xlfn.XLOOKUP(C576, customers!$A$1:A1575, customers!$G$1:G1575,, 0)</f>
        <v>United States</v>
      </c>
      <c r="I576" t="str" cm="1">
        <f t="array" ref="I576">_xlfn.XLOOKUP(orders!D576, products!$A$1:A623, products!$B$1:B623, 0)</f>
        <v>Rob</v>
      </c>
      <c r="J576" t="str" cm="1">
        <f t="array" ref="J576">_xlfn.XLOOKUP(D576, products!$A$1:A623, products!$C$1:C623, 0)</f>
        <v>L</v>
      </c>
      <c r="K576" s="4" cm="1">
        <f t="array" ref="K576">_xlfn.XLOOKUP(D576, products!$A$1:A623, products!$D$1:D623, 0)</f>
        <v>0.2</v>
      </c>
      <c r="L576" s="4" cm="1">
        <f t="array" ref="L576">_xlfn.XLOOKUP(D576, products!$A$1:A623, products!$E$1:E623)</f>
        <v>3.5849999999999995</v>
      </c>
      <c r="M576">
        <f t="shared" si="16"/>
        <v>21.509999999999998</v>
      </c>
      <c r="N576" t="str">
        <f t="shared" si="17"/>
        <v>Robusta</v>
      </c>
      <c r="O576" t="str" cm="1">
        <f t="array" ref="O576">_xlfn.IFS(J576="M", "Medium", J576="L", "Light", J576="D", "Dark")</f>
        <v>Light</v>
      </c>
      <c r="P576" t="str">
        <f>_xlfn.XLOOKUP(Orders[[#This Row],[Customer ID]], customers!$A$2:$A$1001, customers!$I$2:$I$1001, 0)</f>
        <v>Yes</v>
      </c>
    </row>
    <row r="577" spans="1:16" x14ac:dyDescent="0.35">
      <c r="A577" s="2" t="s">
        <v>3739</v>
      </c>
      <c r="B577" s="3">
        <v>44239</v>
      </c>
      <c r="C577" s="2" t="s">
        <v>3740</v>
      </c>
      <c r="D577" t="s">
        <v>6181</v>
      </c>
      <c r="E577" s="2">
        <v>2</v>
      </c>
      <c r="F577" s="2" t="str" cm="1">
        <f t="array" ref="F577">_xlfn.XLOOKUP(C577, customers!$A$1:A1576, customers!$B$1:B1576, 0)</f>
        <v>Reggie Thickpenny</v>
      </c>
      <c r="G577" s="2" t="str">
        <f>IF(_xlfn.XLOOKUP(C577, customers!A576:A1576, customers!C576:C1576, 0)=0, "", _xlfn.XLOOKUP(C577, customers!A576:A1576, customers!C576:C1576, 0))</f>
        <v>rthickpennyfz@cafepress.com</v>
      </c>
      <c r="H577" s="2" t="str" cm="1">
        <f t="array" ref="H577">_xlfn.XLOOKUP(C577, customers!$A$1:A1576, customers!$G$1:G1576,, 0)</f>
        <v>United States</v>
      </c>
      <c r="I577" t="str" cm="1">
        <f t="array" ref="I577">_xlfn.XLOOKUP(orders!D577, products!$A$1:A624, products!$B$1:B624, 0)</f>
        <v>Lib</v>
      </c>
      <c r="J577" t="str" cm="1">
        <f t="array" ref="J577">_xlfn.XLOOKUP(D577, products!$A$1:A624, products!$C$1:C624, 0)</f>
        <v>M</v>
      </c>
      <c r="K577" s="4" cm="1">
        <f t="array" ref="K577">_xlfn.XLOOKUP(D577, products!$A$1:A624, products!$D$1:D624, 0)</f>
        <v>2.5</v>
      </c>
      <c r="L577" s="4" cm="1">
        <f t="array" ref="L577">_xlfn.XLOOKUP(D577, products!$A$1:A624, products!$E$1:E624)</f>
        <v>33.464999999999996</v>
      </c>
      <c r="M577">
        <f t="shared" si="16"/>
        <v>66.929999999999993</v>
      </c>
      <c r="N577" t="str">
        <f t="shared" si="17"/>
        <v>Liberica</v>
      </c>
      <c r="O577" t="str" cm="1">
        <f t="array" ref="O577">_xlfn.IFS(J577="M", "Medium", J577="L", "Light", J577="D", "Dark")</f>
        <v>Medium</v>
      </c>
      <c r="P577" t="str">
        <f>_xlfn.XLOOKUP(Orders[[#This Row],[Customer ID]], customers!$A$2:$A$1001, customers!$I$2:$I$1001, 0)</f>
        <v>No</v>
      </c>
    </row>
    <row r="578" spans="1:16" x14ac:dyDescent="0.35">
      <c r="A578" s="2" t="s">
        <v>3745</v>
      </c>
      <c r="B578" s="3">
        <v>44290</v>
      </c>
      <c r="C578" s="2" t="s">
        <v>3746</v>
      </c>
      <c r="D578" t="s">
        <v>6154</v>
      </c>
      <c r="E578" s="2">
        <v>6</v>
      </c>
      <c r="F578" s="2" t="str" cm="1">
        <f t="array" ref="F578">_xlfn.XLOOKUP(C578, customers!$A$1:A1577, customers!$B$1:B1577, 0)</f>
        <v>Phyllys Ormerod</v>
      </c>
      <c r="G578" s="2" t="str">
        <f>IF(_xlfn.XLOOKUP(C578, customers!A577:A1577, customers!C577:C1577, 0)=0, "", _xlfn.XLOOKUP(C578, customers!A577:A1577, customers!C577:C1577, 0))</f>
        <v>pormerodg0@redcross.org</v>
      </c>
      <c r="H578" s="2" t="str" cm="1">
        <f t="array" ref="H578">_xlfn.XLOOKUP(C578, customers!$A$1:A1577, customers!$G$1:G1577,, 0)</f>
        <v>United States</v>
      </c>
      <c r="I578" t="str" cm="1">
        <f t="array" ref="I578">_xlfn.XLOOKUP(orders!D578, products!$A$1:A625, products!$B$1:B625, 0)</f>
        <v>Ara</v>
      </c>
      <c r="J578" t="str" cm="1">
        <f t="array" ref="J578">_xlfn.XLOOKUP(D578, products!$A$1:A625, products!$C$1:C625, 0)</f>
        <v>D</v>
      </c>
      <c r="K578" s="4" cm="1">
        <f t="array" ref="K578">_xlfn.XLOOKUP(D578, products!$A$1:A625, products!$D$1:D625, 0)</f>
        <v>0.2</v>
      </c>
      <c r="L578" s="4" cm="1">
        <f t="array" ref="L578">_xlfn.XLOOKUP(D578, products!$A$1:A625, products!$E$1:E625)</f>
        <v>2.9849999999999999</v>
      </c>
      <c r="M578">
        <f t="shared" si="16"/>
        <v>17.91</v>
      </c>
      <c r="N578" t="str">
        <f t="shared" si="17"/>
        <v>Arabica</v>
      </c>
      <c r="O578" t="str" cm="1">
        <f t="array" ref="O578">_xlfn.IFS(J578="M", "Medium", J578="L", "Light", J578="D", "Dark")</f>
        <v>Dark</v>
      </c>
      <c r="P578" t="str">
        <f>_xlfn.XLOOKUP(Orders[[#This Row],[Customer ID]], customers!$A$2:$A$1001, customers!$I$2:$I$1001, 0)</f>
        <v>No</v>
      </c>
    </row>
    <row r="579" spans="1:16" x14ac:dyDescent="0.35">
      <c r="A579" s="2" t="s">
        <v>3751</v>
      </c>
      <c r="B579" s="3">
        <v>44410</v>
      </c>
      <c r="C579" s="2" t="s">
        <v>3752</v>
      </c>
      <c r="D579" t="s">
        <v>6162</v>
      </c>
      <c r="E579" s="2">
        <v>4</v>
      </c>
      <c r="F579" s="2" t="str" cm="1">
        <f t="array" ref="F579">_xlfn.XLOOKUP(C579, customers!$A$1:A1578, customers!$B$1:B1578, 0)</f>
        <v>Don Flintiff</v>
      </c>
      <c r="G579" s="2" t="str">
        <f>IF(_xlfn.XLOOKUP(C579, customers!A578:A1578, customers!C578:C1578, 0)=0, "", _xlfn.XLOOKUP(C579, customers!A578:A1578, customers!C578:C1578, 0))</f>
        <v>dflintiffg1@e-recht24.de</v>
      </c>
      <c r="H579" s="2" t="str" cm="1">
        <f t="array" ref="H579">_xlfn.XLOOKUP(C579, customers!$A$1:A1578, customers!$G$1:G1578,, 0)</f>
        <v>United Kingdom</v>
      </c>
      <c r="I579" t="str" cm="1">
        <f t="array" ref="I579">_xlfn.XLOOKUP(orders!D579, products!$A$1:A626, products!$B$1:B626, 0)</f>
        <v>Lib</v>
      </c>
      <c r="J579" t="str" cm="1">
        <f t="array" ref="J579">_xlfn.XLOOKUP(D579, products!$A$1:A626, products!$C$1:C626, 0)</f>
        <v>M</v>
      </c>
      <c r="K579" s="4" cm="1">
        <f t="array" ref="K579">_xlfn.XLOOKUP(D579, products!$A$1:A626, products!$D$1:D626, 0)</f>
        <v>1</v>
      </c>
      <c r="L579" s="4" cm="1">
        <f t="array" ref="L579">_xlfn.XLOOKUP(D579, products!$A$1:A626, products!$E$1:E626)</f>
        <v>14.55</v>
      </c>
      <c r="M579">
        <f t="shared" ref="M579:M642" si="18">L579*E579</f>
        <v>58.2</v>
      </c>
      <c r="N579" t="str">
        <f t="shared" ref="N579:N642" si="19">IF(I579="Rob", "Robusta", IF(I579="Exc", "Excelsa", IF(I579="Ara", "Arabica", IF(I579="Lib", "Liberica", ""))))</f>
        <v>Liberica</v>
      </c>
      <c r="O579" t="str" cm="1">
        <f t="array" ref="O579">_xlfn.IFS(J579="M", "Medium", J579="L", "Light", J579="D", "Dark")</f>
        <v>Medium</v>
      </c>
      <c r="P579" t="str">
        <f>_xlfn.XLOOKUP(Orders[[#This Row],[Customer ID]], customers!$A$2:$A$1001, customers!$I$2:$I$1001, 0)</f>
        <v>No</v>
      </c>
    </row>
    <row r="580" spans="1:16" x14ac:dyDescent="0.35">
      <c r="A580" s="2" t="s">
        <v>3756</v>
      </c>
      <c r="B580" s="3">
        <v>44720</v>
      </c>
      <c r="C580" s="2" t="s">
        <v>3757</v>
      </c>
      <c r="D580" t="s">
        <v>6184</v>
      </c>
      <c r="E580" s="2">
        <v>3</v>
      </c>
      <c r="F580" s="2" t="str" cm="1">
        <f t="array" ref="F580">_xlfn.XLOOKUP(C580, customers!$A$1:A1579, customers!$B$1:B1579, 0)</f>
        <v>Tymon Zanetti</v>
      </c>
      <c r="G580" s="2" t="str">
        <f>IF(_xlfn.XLOOKUP(C580, customers!A579:A1579, customers!C579:C1579, 0)=0, "", _xlfn.XLOOKUP(C580, customers!A579:A1579, customers!C579:C1579, 0))</f>
        <v>tzanettig2@gravatar.com</v>
      </c>
      <c r="H580" s="2" t="str" cm="1">
        <f t="array" ref="H580">_xlfn.XLOOKUP(C580, customers!$A$1:A1579, customers!$G$1:G1579,, 0)</f>
        <v>Ireland</v>
      </c>
      <c r="I580" t="str" cm="1">
        <f t="array" ref="I580">_xlfn.XLOOKUP(orders!D580, products!$A$1:A627, products!$B$1:B627, 0)</f>
        <v>Exc</v>
      </c>
      <c r="J580" t="str" cm="1">
        <f t="array" ref="J580">_xlfn.XLOOKUP(D580, products!$A$1:A627, products!$C$1:C627, 0)</f>
        <v>L</v>
      </c>
      <c r="K580" s="4" cm="1">
        <f t="array" ref="K580">_xlfn.XLOOKUP(D580, products!$A$1:A627, products!$D$1:D627, 0)</f>
        <v>0.2</v>
      </c>
      <c r="L580" s="4" cm="1">
        <f t="array" ref="L580">_xlfn.XLOOKUP(D580, products!$A$1:A627, products!$E$1:E627)</f>
        <v>4.4550000000000001</v>
      </c>
      <c r="M580">
        <f t="shared" si="18"/>
        <v>13.365</v>
      </c>
      <c r="N580" t="str">
        <f t="shared" si="19"/>
        <v>Excelsa</v>
      </c>
      <c r="O580" t="str" cm="1">
        <f t="array" ref="O580">_xlfn.IFS(J580="M", "Medium", J580="L", "Light", J580="D", "Dark")</f>
        <v>Light</v>
      </c>
      <c r="P580" t="str">
        <f>_xlfn.XLOOKUP(Orders[[#This Row],[Customer ID]], customers!$A$2:$A$1001, customers!$I$2:$I$1001, 0)</f>
        <v>No</v>
      </c>
    </row>
    <row r="581" spans="1:16" x14ac:dyDescent="0.35">
      <c r="A581" s="2" t="s">
        <v>3756</v>
      </c>
      <c r="B581" s="3">
        <v>44720</v>
      </c>
      <c r="C581" s="2" t="s">
        <v>3757</v>
      </c>
      <c r="D581" t="s">
        <v>6157</v>
      </c>
      <c r="E581" s="2">
        <v>5</v>
      </c>
      <c r="F581" s="2" t="str" cm="1">
        <f t="array" ref="F581">_xlfn.XLOOKUP(C581, customers!$A$1:A1580, customers!$B$1:B1580, 0)</f>
        <v>Tymon Zanetti</v>
      </c>
      <c r="G581" s="2" t="str">
        <f>IF(_xlfn.XLOOKUP(C581, customers!A580:A1580, customers!C580:C1580, 0)=0, "", _xlfn.XLOOKUP(C581, customers!A580:A1580, customers!C580:C1580, 0))</f>
        <v>tzanettig2@gravatar.com</v>
      </c>
      <c r="H581" s="2" t="str" cm="1">
        <f t="array" ref="H581">_xlfn.XLOOKUP(C581, customers!$A$1:A1580, customers!$G$1:G1580,, 0)</f>
        <v>Ireland</v>
      </c>
      <c r="I581" t="str" cm="1">
        <f t="array" ref="I581">_xlfn.XLOOKUP(orders!D581, products!$A$1:A628, products!$B$1:B628, 0)</f>
        <v>Ara</v>
      </c>
      <c r="J581" t="str" cm="1">
        <f t="array" ref="J581">_xlfn.XLOOKUP(D581, products!$A$1:A628, products!$C$1:C628, 0)</f>
        <v>M</v>
      </c>
      <c r="K581" s="4" cm="1">
        <f t="array" ref="K581">_xlfn.XLOOKUP(D581, products!$A$1:A628, products!$D$1:D628, 0)</f>
        <v>0.5</v>
      </c>
      <c r="L581" s="4" cm="1">
        <f t="array" ref="L581">_xlfn.XLOOKUP(D581, products!$A$1:A628, products!$E$1:E628)</f>
        <v>6.75</v>
      </c>
      <c r="M581">
        <f t="shared" si="18"/>
        <v>33.75</v>
      </c>
      <c r="N581" t="str">
        <f t="shared" si="19"/>
        <v>Arabica</v>
      </c>
      <c r="O581" t="str" cm="1">
        <f t="array" ref="O581">_xlfn.IFS(J581="M", "Medium", J581="L", "Light", J581="D", "Dark")</f>
        <v>Medium</v>
      </c>
      <c r="P581" t="str">
        <f>_xlfn.XLOOKUP(Orders[[#This Row],[Customer ID]], customers!$A$2:$A$1001, customers!$I$2:$I$1001, 0)</f>
        <v>No</v>
      </c>
    </row>
    <row r="582" spans="1:16" x14ac:dyDescent="0.35">
      <c r="A582" s="2" t="s">
        <v>3767</v>
      </c>
      <c r="B582" s="3">
        <v>43965</v>
      </c>
      <c r="C582" s="2" t="s">
        <v>3768</v>
      </c>
      <c r="D582" t="s">
        <v>6171</v>
      </c>
      <c r="E582" s="2">
        <v>3</v>
      </c>
      <c r="F582" s="2" t="str" cm="1">
        <f t="array" ref="F582">_xlfn.XLOOKUP(C582, customers!$A$1:A1581, customers!$B$1:B1581, 0)</f>
        <v>Reinaldos Kirtley</v>
      </c>
      <c r="G582" s="2" t="str">
        <f>IF(_xlfn.XLOOKUP(C582, customers!A581:A1581, customers!C581:C1581, 0)=0, "", _xlfn.XLOOKUP(C582, customers!A581:A1581, customers!C581:C1581, 0))</f>
        <v>rkirtleyg4@hatena.ne.jp</v>
      </c>
      <c r="H582" s="2" t="str" cm="1">
        <f t="array" ref="H582">_xlfn.XLOOKUP(C582, customers!$A$1:A1581, customers!$G$1:G1581,, 0)</f>
        <v>United States</v>
      </c>
      <c r="I582" t="str" cm="1">
        <f t="array" ref="I582">_xlfn.XLOOKUP(orders!D582, products!$A$1:A629, products!$B$1:B629, 0)</f>
        <v>Exc</v>
      </c>
      <c r="J582" t="str" cm="1">
        <f t="array" ref="J582">_xlfn.XLOOKUP(D582, products!$A$1:A629, products!$C$1:C629, 0)</f>
        <v>L</v>
      </c>
      <c r="K582" s="4" cm="1">
        <f t="array" ref="K582">_xlfn.XLOOKUP(D582, products!$A$1:A629, products!$D$1:D629, 0)</f>
        <v>1</v>
      </c>
      <c r="L582" s="4" cm="1">
        <f t="array" ref="L582">_xlfn.XLOOKUP(D582, products!$A$1:A629, products!$E$1:E629)</f>
        <v>14.85</v>
      </c>
      <c r="M582">
        <f t="shared" si="18"/>
        <v>44.55</v>
      </c>
      <c r="N582" t="str">
        <f t="shared" si="19"/>
        <v>Excelsa</v>
      </c>
      <c r="O582" t="str" cm="1">
        <f t="array" ref="O582">_xlfn.IFS(J582="M", "Medium", J582="L", "Light", J582="D", "Dark")</f>
        <v>Light</v>
      </c>
      <c r="P582" t="str">
        <f>_xlfn.XLOOKUP(Orders[[#This Row],[Customer ID]], customers!$A$2:$A$1001, customers!$I$2:$I$1001, 0)</f>
        <v>Yes</v>
      </c>
    </row>
    <row r="583" spans="1:16" x14ac:dyDescent="0.35">
      <c r="A583" s="2" t="s">
        <v>3773</v>
      </c>
      <c r="B583" s="3">
        <v>44190</v>
      </c>
      <c r="C583" s="2" t="s">
        <v>3774</v>
      </c>
      <c r="D583" t="s">
        <v>6176</v>
      </c>
      <c r="E583" s="2">
        <v>5</v>
      </c>
      <c r="F583" s="2" t="str" cm="1">
        <f t="array" ref="F583">_xlfn.XLOOKUP(C583, customers!$A$1:A1582, customers!$B$1:B1582, 0)</f>
        <v>Carney Clemencet</v>
      </c>
      <c r="G583" s="2" t="str">
        <f>IF(_xlfn.XLOOKUP(C583, customers!A582:A1582, customers!C582:C1582, 0)=0, "", _xlfn.XLOOKUP(C583, customers!A582:A1582, customers!C582:C1582, 0))</f>
        <v>cclemencetg5@weather.com</v>
      </c>
      <c r="H583" s="2" t="str" cm="1">
        <f t="array" ref="H583">_xlfn.XLOOKUP(C583, customers!$A$1:A1582, customers!$G$1:G1582,, 0)</f>
        <v>United Kingdom</v>
      </c>
      <c r="I583" t="str" cm="1">
        <f t="array" ref="I583">_xlfn.XLOOKUP(orders!D583, products!$A$1:A630, products!$B$1:B630, 0)</f>
        <v>Exc</v>
      </c>
      <c r="J583" t="str" cm="1">
        <f t="array" ref="J583">_xlfn.XLOOKUP(D583, products!$A$1:A630, products!$C$1:C630, 0)</f>
        <v>L</v>
      </c>
      <c r="K583" s="4" cm="1">
        <f t="array" ref="K583">_xlfn.XLOOKUP(D583, products!$A$1:A630, products!$D$1:D630, 0)</f>
        <v>0.5</v>
      </c>
      <c r="L583" s="4" cm="1">
        <f t="array" ref="L583">_xlfn.XLOOKUP(D583, products!$A$1:A630, products!$E$1:E630)</f>
        <v>8.91</v>
      </c>
      <c r="M583">
        <f t="shared" si="18"/>
        <v>44.55</v>
      </c>
      <c r="N583" t="str">
        <f t="shared" si="19"/>
        <v>Excelsa</v>
      </c>
      <c r="O583" t="str" cm="1">
        <f t="array" ref="O583">_xlfn.IFS(J583="M", "Medium", J583="L", "Light", J583="D", "Dark")</f>
        <v>Light</v>
      </c>
      <c r="P583" t="str">
        <f>_xlfn.XLOOKUP(Orders[[#This Row],[Customer ID]], customers!$A$2:$A$1001, customers!$I$2:$I$1001, 0)</f>
        <v>Yes</v>
      </c>
    </row>
    <row r="584" spans="1:16" x14ac:dyDescent="0.35">
      <c r="A584" s="2" t="s">
        <v>3778</v>
      </c>
      <c r="B584" s="3">
        <v>44382</v>
      </c>
      <c r="C584" s="2" t="s">
        <v>3779</v>
      </c>
      <c r="D584" t="s">
        <v>6183</v>
      </c>
      <c r="E584" s="2">
        <v>5</v>
      </c>
      <c r="F584" s="2" t="str" cm="1">
        <f t="array" ref="F584">_xlfn.XLOOKUP(C584, customers!$A$1:A1583, customers!$B$1:B1583, 0)</f>
        <v>Russell Donet</v>
      </c>
      <c r="G584" s="2" t="str">
        <f>IF(_xlfn.XLOOKUP(C584, customers!A583:A1583, customers!C583:C1583, 0)=0, "", _xlfn.XLOOKUP(C584, customers!A583:A1583, customers!C583:C1583, 0))</f>
        <v>rdonetg6@oakley.com</v>
      </c>
      <c r="H584" s="2" t="str" cm="1">
        <f t="array" ref="H584">_xlfn.XLOOKUP(C584, customers!$A$1:A1583, customers!$G$1:G1583,, 0)</f>
        <v>United States</v>
      </c>
      <c r="I584" t="str" cm="1">
        <f t="array" ref="I584">_xlfn.XLOOKUP(orders!D584, products!$A$1:A631, products!$B$1:B631, 0)</f>
        <v>Exc</v>
      </c>
      <c r="J584" t="str" cm="1">
        <f t="array" ref="J584">_xlfn.XLOOKUP(D584, products!$A$1:A631, products!$C$1:C631, 0)</f>
        <v>D</v>
      </c>
      <c r="K584" s="4" cm="1">
        <f t="array" ref="K584">_xlfn.XLOOKUP(D584, products!$A$1:A631, products!$D$1:D631, 0)</f>
        <v>1</v>
      </c>
      <c r="L584" s="4" cm="1">
        <f t="array" ref="L584">_xlfn.XLOOKUP(D584, products!$A$1:A631, products!$E$1:E631)</f>
        <v>12.15</v>
      </c>
      <c r="M584">
        <f t="shared" si="18"/>
        <v>60.75</v>
      </c>
      <c r="N584" t="str">
        <f t="shared" si="19"/>
        <v>Excelsa</v>
      </c>
      <c r="O584" t="str" cm="1">
        <f t="array" ref="O584">_xlfn.IFS(J584="M", "Medium", J584="L", "Light", J584="D", "Dark")</f>
        <v>Dark</v>
      </c>
      <c r="P584" t="str">
        <f>_xlfn.XLOOKUP(Orders[[#This Row],[Customer ID]], customers!$A$2:$A$1001, customers!$I$2:$I$1001, 0)</f>
        <v>No</v>
      </c>
    </row>
    <row r="585" spans="1:16" x14ac:dyDescent="0.35">
      <c r="A585" s="2" t="s">
        <v>3784</v>
      </c>
      <c r="B585" s="3">
        <v>43538</v>
      </c>
      <c r="C585" s="2" t="s">
        <v>3785</v>
      </c>
      <c r="D585" t="s">
        <v>6178</v>
      </c>
      <c r="E585" s="2">
        <v>1</v>
      </c>
      <c r="F585" s="2" t="str" cm="1">
        <f t="array" ref="F585">_xlfn.XLOOKUP(C585, customers!$A$1:A1584, customers!$B$1:B1584, 0)</f>
        <v>Sidney Gawen</v>
      </c>
      <c r="G585" s="2" t="str">
        <f>IF(_xlfn.XLOOKUP(C585, customers!A584:A1584, customers!C584:C1584, 0)=0, "", _xlfn.XLOOKUP(C585, customers!A584:A1584, customers!C584:C1584, 0))</f>
        <v>sgaweng7@creativecommons.org</v>
      </c>
      <c r="H585" s="2" t="str" cm="1">
        <f t="array" ref="H585">_xlfn.XLOOKUP(C585, customers!$A$1:A1584, customers!$G$1:G1584,, 0)</f>
        <v>United States</v>
      </c>
      <c r="I585" t="str" cm="1">
        <f t="array" ref="I585">_xlfn.XLOOKUP(orders!D585, products!$A$1:A632, products!$B$1:B632, 0)</f>
        <v>Rob</v>
      </c>
      <c r="J585" t="str" cm="1">
        <f t="array" ref="J585">_xlfn.XLOOKUP(D585, products!$A$1:A632, products!$C$1:C632, 0)</f>
        <v>L</v>
      </c>
      <c r="K585" s="4" cm="1">
        <f t="array" ref="K585">_xlfn.XLOOKUP(D585, products!$A$1:A632, products!$D$1:D632, 0)</f>
        <v>0.2</v>
      </c>
      <c r="L585" s="4" cm="1">
        <f t="array" ref="L585">_xlfn.XLOOKUP(D585, products!$A$1:A632, products!$E$1:E632)</f>
        <v>3.5849999999999995</v>
      </c>
      <c r="M585">
        <f t="shared" si="18"/>
        <v>3.5849999999999995</v>
      </c>
      <c r="N585" t="str">
        <f t="shared" si="19"/>
        <v>Robusta</v>
      </c>
      <c r="O585" t="str" cm="1">
        <f t="array" ref="O585">_xlfn.IFS(J585="M", "Medium", J585="L", "Light", J585="D", "Dark")</f>
        <v>Light</v>
      </c>
      <c r="P585" t="str">
        <f>_xlfn.XLOOKUP(Orders[[#This Row],[Customer ID]], customers!$A$2:$A$1001, customers!$I$2:$I$1001, 0)</f>
        <v>Yes</v>
      </c>
    </row>
    <row r="586" spans="1:16" x14ac:dyDescent="0.35">
      <c r="A586" s="2" t="s">
        <v>3790</v>
      </c>
      <c r="B586" s="3">
        <v>44262</v>
      </c>
      <c r="C586" s="2" t="s">
        <v>3791</v>
      </c>
      <c r="D586" t="s">
        <v>6178</v>
      </c>
      <c r="E586" s="2">
        <v>6</v>
      </c>
      <c r="F586" s="2" t="str" cm="1">
        <f t="array" ref="F586">_xlfn.XLOOKUP(C586, customers!$A$1:A1585, customers!$B$1:B1585, 0)</f>
        <v>Rickey Readie</v>
      </c>
      <c r="G586" s="2" t="str">
        <f>IF(_xlfn.XLOOKUP(C586, customers!A585:A1585, customers!C585:C1585, 0)=0, "", _xlfn.XLOOKUP(C586, customers!A585:A1585, customers!C585:C1585, 0))</f>
        <v>rreadieg8@guardian.co.uk</v>
      </c>
      <c r="H586" s="2" t="str" cm="1">
        <f t="array" ref="H586">_xlfn.XLOOKUP(C586, customers!$A$1:A1585, customers!$G$1:G1585,, 0)</f>
        <v>United States</v>
      </c>
      <c r="I586" t="str" cm="1">
        <f t="array" ref="I586">_xlfn.XLOOKUP(orders!D586, products!$A$1:A633, products!$B$1:B633, 0)</f>
        <v>Rob</v>
      </c>
      <c r="J586" t="str" cm="1">
        <f t="array" ref="J586">_xlfn.XLOOKUP(D586, products!$A$1:A633, products!$C$1:C633, 0)</f>
        <v>L</v>
      </c>
      <c r="K586" s="4" cm="1">
        <f t="array" ref="K586">_xlfn.XLOOKUP(D586, products!$A$1:A633, products!$D$1:D633, 0)</f>
        <v>0.2</v>
      </c>
      <c r="L586" s="4" cm="1">
        <f t="array" ref="L586">_xlfn.XLOOKUP(D586, products!$A$1:A633, products!$E$1:E633)</f>
        <v>3.5849999999999995</v>
      </c>
      <c r="M586">
        <f t="shared" si="18"/>
        <v>21.509999999999998</v>
      </c>
      <c r="N586" t="str">
        <f t="shared" si="19"/>
        <v>Robusta</v>
      </c>
      <c r="O586" t="str" cm="1">
        <f t="array" ref="O586">_xlfn.IFS(J586="M", "Medium", J586="L", "Light", J586="D", "Dark")</f>
        <v>Light</v>
      </c>
      <c r="P586" t="str">
        <f>_xlfn.XLOOKUP(Orders[[#This Row],[Customer ID]], customers!$A$2:$A$1001, customers!$I$2:$I$1001, 0)</f>
        <v>No</v>
      </c>
    </row>
    <row r="587" spans="1:16" x14ac:dyDescent="0.35">
      <c r="A587" s="2" t="s">
        <v>3796</v>
      </c>
      <c r="B587" s="3">
        <v>44505</v>
      </c>
      <c r="C587" s="2" t="s">
        <v>3840</v>
      </c>
      <c r="D587" t="s">
        <v>6139</v>
      </c>
      <c r="E587" s="2">
        <v>2</v>
      </c>
      <c r="F587" s="2" t="str" cm="1">
        <f t="array" ref="F587">_xlfn.XLOOKUP(C587, customers!$A$1:A1586, customers!$B$1:B1586, 0)</f>
        <v>Cody Verissimo</v>
      </c>
      <c r="G587" s="2" t="str">
        <f>IF(_xlfn.XLOOKUP(C587, customers!A586:A1586, customers!C586:C1586, 0)=0, "", _xlfn.XLOOKUP(C587, customers!A586:A1586, customers!C586:C1586, 0))</f>
        <v>cverissimogh@theglobeandmail.com</v>
      </c>
      <c r="H587" s="2" t="str" cm="1">
        <f t="array" ref="H587">_xlfn.XLOOKUP(C587, customers!$A$1:A1586, customers!$G$1:G1586,, 0)</f>
        <v>United Kingdom</v>
      </c>
      <c r="I587" t="str" cm="1">
        <f t="array" ref="I587">_xlfn.XLOOKUP(orders!D587, products!$A$1:A634, products!$B$1:B634, 0)</f>
        <v>Exc</v>
      </c>
      <c r="J587" t="str" cm="1">
        <f t="array" ref="J587">_xlfn.XLOOKUP(D587, products!$A$1:A634, products!$C$1:C634, 0)</f>
        <v>M</v>
      </c>
      <c r="K587" s="4" cm="1">
        <f t="array" ref="K587">_xlfn.XLOOKUP(D587, products!$A$1:A634, products!$D$1:D634, 0)</f>
        <v>0.5</v>
      </c>
      <c r="L587" s="4" cm="1">
        <f t="array" ref="L587">_xlfn.XLOOKUP(D587, products!$A$1:A634, products!$E$1:E634)</f>
        <v>8.25</v>
      </c>
      <c r="M587">
        <f t="shared" si="18"/>
        <v>16.5</v>
      </c>
      <c r="N587" t="str">
        <f t="shared" si="19"/>
        <v>Excelsa</v>
      </c>
      <c r="O587" t="str" cm="1">
        <f t="array" ref="O587">_xlfn.IFS(J587="M", "Medium", J587="L", "Light", J587="D", "Dark")</f>
        <v>Medium</v>
      </c>
      <c r="P587" t="str">
        <f>_xlfn.XLOOKUP(Orders[[#This Row],[Customer ID]], customers!$A$2:$A$1001, customers!$I$2:$I$1001, 0)</f>
        <v>Yes</v>
      </c>
    </row>
    <row r="588" spans="1:16" x14ac:dyDescent="0.35">
      <c r="A588" s="2" t="s">
        <v>3802</v>
      </c>
      <c r="B588" s="3">
        <v>43867</v>
      </c>
      <c r="C588" s="2" t="s">
        <v>3803</v>
      </c>
      <c r="D588" t="s">
        <v>6142</v>
      </c>
      <c r="E588" s="2">
        <v>3</v>
      </c>
      <c r="F588" s="2" t="str" cm="1">
        <f t="array" ref="F588">_xlfn.XLOOKUP(C588, customers!$A$1:A1587, customers!$B$1:B1587, 0)</f>
        <v>Zilvia Claisse</v>
      </c>
      <c r="G588" s="2" t="str">
        <f>IF(_xlfn.XLOOKUP(C588, customers!A587:A1587, customers!C587:C1587, 0)=0, "", _xlfn.XLOOKUP(C588, customers!A587:A1587, customers!C587:C1587, 0))</f>
        <v/>
      </c>
      <c r="H588" s="2" t="str" cm="1">
        <f t="array" ref="H588">_xlfn.XLOOKUP(C588, customers!$A$1:A1587, customers!$G$1:G1587,, 0)</f>
        <v>United States</v>
      </c>
      <c r="I588" t="str" cm="1">
        <f t="array" ref="I588">_xlfn.XLOOKUP(orders!D588, products!$A$1:A635, products!$B$1:B635, 0)</f>
        <v>Rob</v>
      </c>
      <c r="J588" t="str" cm="1">
        <f t="array" ref="J588">_xlfn.XLOOKUP(D588, products!$A$1:A635, products!$C$1:C635, 0)</f>
        <v>L</v>
      </c>
      <c r="K588" s="4" cm="1">
        <f t="array" ref="K588">_xlfn.XLOOKUP(D588, products!$A$1:A635, products!$D$1:D635, 0)</f>
        <v>2.5</v>
      </c>
      <c r="L588" s="4" cm="1">
        <f t="array" ref="L588">_xlfn.XLOOKUP(D588, products!$A$1:A635, products!$E$1:E635)</f>
        <v>27.484999999999996</v>
      </c>
      <c r="M588">
        <f t="shared" si="18"/>
        <v>82.454999999999984</v>
      </c>
      <c r="N588" t="str">
        <f t="shared" si="19"/>
        <v>Robusta</v>
      </c>
      <c r="O588" t="str" cm="1">
        <f t="array" ref="O588">_xlfn.IFS(J588="M", "Medium", J588="L", "Light", J588="D", "Dark")</f>
        <v>Light</v>
      </c>
      <c r="P588" t="str">
        <f>_xlfn.XLOOKUP(Orders[[#This Row],[Customer ID]], customers!$A$2:$A$1001, customers!$I$2:$I$1001, 0)</f>
        <v>No</v>
      </c>
    </row>
    <row r="589" spans="1:16" x14ac:dyDescent="0.35">
      <c r="A589" s="2" t="s">
        <v>3807</v>
      </c>
      <c r="B589" s="3">
        <v>44267</v>
      </c>
      <c r="C589" s="2" t="s">
        <v>3808</v>
      </c>
      <c r="D589" t="s">
        <v>6169</v>
      </c>
      <c r="E589" s="2">
        <v>1</v>
      </c>
      <c r="F589" s="2" t="str" cm="1">
        <f t="array" ref="F589">_xlfn.XLOOKUP(C589, customers!$A$1:A1588, customers!$B$1:B1588, 0)</f>
        <v>Bar O' Mahony</v>
      </c>
      <c r="G589" s="2" t="str">
        <f>IF(_xlfn.XLOOKUP(C589, customers!A588:A1588, customers!C588:C1588, 0)=0, "", _xlfn.XLOOKUP(C589, customers!A588:A1588, customers!C588:C1588, 0))</f>
        <v>bogb@elpais.com</v>
      </c>
      <c r="H589" s="2" t="str" cm="1">
        <f t="array" ref="H589">_xlfn.XLOOKUP(C589, customers!$A$1:A1588, customers!$G$1:G1588,, 0)</f>
        <v>United States</v>
      </c>
      <c r="I589" t="str" cm="1">
        <f t="array" ref="I589">_xlfn.XLOOKUP(orders!D589, products!$A$1:A636, products!$B$1:B636, 0)</f>
        <v>Lib</v>
      </c>
      <c r="J589" t="str" cm="1">
        <f t="array" ref="J589">_xlfn.XLOOKUP(D589, products!$A$1:A636, products!$C$1:C636, 0)</f>
        <v>D</v>
      </c>
      <c r="K589" s="4" cm="1">
        <f t="array" ref="K589">_xlfn.XLOOKUP(D589, products!$A$1:A636, products!$D$1:D636, 0)</f>
        <v>0.5</v>
      </c>
      <c r="L589" s="4" cm="1">
        <f t="array" ref="L589">_xlfn.XLOOKUP(D589, products!$A$1:A636, products!$E$1:E636)</f>
        <v>7.77</v>
      </c>
      <c r="M589">
        <f t="shared" si="18"/>
        <v>7.77</v>
      </c>
      <c r="N589" t="str">
        <f t="shared" si="19"/>
        <v>Liberica</v>
      </c>
      <c r="O589" t="str" cm="1">
        <f t="array" ref="O589">_xlfn.IFS(J589="M", "Medium", J589="L", "Light", J589="D", "Dark")</f>
        <v>Dark</v>
      </c>
      <c r="P589" t="str">
        <f>_xlfn.XLOOKUP(Orders[[#This Row],[Customer ID]], customers!$A$2:$A$1001, customers!$I$2:$I$1001, 0)</f>
        <v>Yes</v>
      </c>
    </row>
    <row r="590" spans="1:16" x14ac:dyDescent="0.35">
      <c r="A590" s="2" t="s">
        <v>3812</v>
      </c>
      <c r="B590" s="3">
        <v>44046</v>
      </c>
      <c r="C590" s="2" t="s">
        <v>3813</v>
      </c>
      <c r="D590" t="s">
        <v>6146</v>
      </c>
      <c r="E590" s="2">
        <v>2</v>
      </c>
      <c r="F590" s="2" t="str" cm="1">
        <f t="array" ref="F590">_xlfn.XLOOKUP(C590, customers!$A$1:A1589, customers!$B$1:B1589, 0)</f>
        <v>Valenka Stansbury</v>
      </c>
      <c r="G590" s="2" t="str">
        <f>IF(_xlfn.XLOOKUP(C590, customers!A589:A1589, customers!C589:C1589, 0)=0, "", _xlfn.XLOOKUP(C590, customers!A589:A1589, customers!C589:C1589, 0))</f>
        <v>vstansburygc@unblog.fr</v>
      </c>
      <c r="H590" s="2" t="str" cm="1">
        <f t="array" ref="H590">_xlfn.XLOOKUP(C590, customers!$A$1:A1589, customers!$G$1:G1589,, 0)</f>
        <v>United States</v>
      </c>
      <c r="I590" t="str" cm="1">
        <f t="array" ref="I590">_xlfn.XLOOKUP(orders!D590, products!$A$1:A637, products!$B$1:B637, 0)</f>
        <v>Rob</v>
      </c>
      <c r="J590" t="str" cm="1">
        <f t="array" ref="J590">_xlfn.XLOOKUP(D590, products!$A$1:A637, products!$C$1:C637, 0)</f>
        <v>M</v>
      </c>
      <c r="K590" s="4" cm="1">
        <f t="array" ref="K590">_xlfn.XLOOKUP(D590, products!$A$1:A637, products!$D$1:D637, 0)</f>
        <v>0.5</v>
      </c>
      <c r="L590" s="4" cm="1">
        <f t="array" ref="L590">_xlfn.XLOOKUP(D590, products!$A$1:A637, products!$E$1:E637)</f>
        <v>5.97</v>
      </c>
      <c r="M590">
        <f t="shared" si="18"/>
        <v>11.94</v>
      </c>
      <c r="N590" t="str">
        <f t="shared" si="19"/>
        <v>Robusta</v>
      </c>
      <c r="O590" t="str" cm="1">
        <f t="array" ref="O590">_xlfn.IFS(J590="M", "Medium", J590="L", "Light", J590="D", "Dark")</f>
        <v>Medium</v>
      </c>
      <c r="P590" t="str">
        <f>_xlfn.XLOOKUP(Orders[[#This Row],[Customer ID]], customers!$A$2:$A$1001, customers!$I$2:$I$1001, 0)</f>
        <v>Yes</v>
      </c>
    </row>
    <row r="591" spans="1:16" x14ac:dyDescent="0.35">
      <c r="A591" s="2" t="s">
        <v>3818</v>
      </c>
      <c r="B591" s="3">
        <v>43671</v>
      </c>
      <c r="C591" s="2" t="s">
        <v>3819</v>
      </c>
      <c r="D591" t="s">
        <v>6148</v>
      </c>
      <c r="E591" s="2">
        <v>6</v>
      </c>
      <c r="F591" s="2" t="str" cm="1">
        <f t="array" ref="F591">_xlfn.XLOOKUP(C591, customers!$A$1:A1590, customers!$B$1:B1590, 0)</f>
        <v>Daniel Heinonen</v>
      </c>
      <c r="G591" s="2" t="str">
        <f>IF(_xlfn.XLOOKUP(C591, customers!A590:A1590, customers!C590:C1590, 0)=0, "", _xlfn.XLOOKUP(C591, customers!A590:A1590, customers!C590:C1590, 0))</f>
        <v>dheinonengd@printfriendly.com</v>
      </c>
      <c r="H591" s="2" t="str" cm="1">
        <f t="array" ref="H591">_xlfn.XLOOKUP(C591, customers!$A$1:A1590, customers!$G$1:G1590,, 0)</f>
        <v>United States</v>
      </c>
      <c r="I591" t="str" cm="1">
        <f t="array" ref="I591">_xlfn.XLOOKUP(orders!D591, products!$A$1:A638, products!$B$1:B638, 0)</f>
        <v>Exc</v>
      </c>
      <c r="J591" t="str" cm="1">
        <f t="array" ref="J591">_xlfn.XLOOKUP(D591, products!$A$1:A638, products!$C$1:C638, 0)</f>
        <v>L</v>
      </c>
      <c r="K591" s="4" cm="1">
        <f t="array" ref="K591">_xlfn.XLOOKUP(D591, products!$A$1:A638, products!$D$1:D638, 0)</f>
        <v>2.5</v>
      </c>
      <c r="L591" s="4" cm="1">
        <f t="array" ref="L591">_xlfn.XLOOKUP(D591, products!$A$1:A638, products!$E$1:E638)</f>
        <v>34.154999999999994</v>
      </c>
      <c r="M591">
        <f t="shared" si="18"/>
        <v>204.92999999999995</v>
      </c>
      <c r="N591" t="str">
        <f t="shared" si="19"/>
        <v>Excelsa</v>
      </c>
      <c r="O591" t="str" cm="1">
        <f t="array" ref="O591">_xlfn.IFS(J591="M", "Medium", J591="L", "Light", J591="D", "Dark")</f>
        <v>Light</v>
      </c>
      <c r="P591" t="str">
        <f>_xlfn.XLOOKUP(Orders[[#This Row],[Customer ID]], customers!$A$2:$A$1001, customers!$I$2:$I$1001, 0)</f>
        <v>No</v>
      </c>
    </row>
    <row r="592" spans="1:16" x14ac:dyDescent="0.35">
      <c r="A592" s="2" t="s">
        <v>3823</v>
      </c>
      <c r="B592" s="3">
        <v>43950</v>
      </c>
      <c r="C592" s="2" t="s">
        <v>3824</v>
      </c>
      <c r="D592" t="s">
        <v>6166</v>
      </c>
      <c r="E592" s="2">
        <v>2</v>
      </c>
      <c r="F592" s="2" t="str" cm="1">
        <f t="array" ref="F592">_xlfn.XLOOKUP(C592, customers!$A$1:A1591, customers!$B$1:B1591, 0)</f>
        <v>Jewelle Shenton</v>
      </c>
      <c r="G592" s="2" t="str">
        <f>IF(_xlfn.XLOOKUP(C592, customers!A591:A1591, customers!C591:C1591, 0)=0, "", _xlfn.XLOOKUP(C592, customers!A591:A1591, customers!C591:C1591, 0))</f>
        <v>jshentonge@google.com.hk</v>
      </c>
      <c r="H592" s="2" t="str" cm="1">
        <f t="array" ref="H592">_xlfn.XLOOKUP(C592, customers!$A$1:A1591, customers!$G$1:G1591,, 0)</f>
        <v>United States</v>
      </c>
      <c r="I592" t="str" cm="1">
        <f t="array" ref="I592">_xlfn.XLOOKUP(orders!D592, products!$A$1:A639, products!$B$1:B639, 0)</f>
        <v>Exc</v>
      </c>
      <c r="J592" t="str" cm="1">
        <f t="array" ref="J592">_xlfn.XLOOKUP(D592, products!$A$1:A639, products!$C$1:C639, 0)</f>
        <v>M</v>
      </c>
      <c r="K592" s="4" cm="1">
        <f t="array" ref="K592">_xlfn.XLOOKUP(D592, products!$A$1:A639, products!$D$1:D639, 0)</f>
        <v>2.5</v>
      </c>
      <c r="L592" s="4" cm="1">
        <f t="array" ref="L592">_xlfn.XLOOKUP(D592, products!$A$1:A639, products!$E$1:E639)</f>
        <v>31.624999999999996</v>
      </c>
      <c r="M592">
        <f t="shared" si="18"/>
        <v>63.249999999999993</v>
      </c>
      <c r="N592" t="str">
        <f t="shared" si="19"/>
        <v>Excelsa</v>
      </c>
      <c r="O592" t="str" cm="1">
        <f t="array" ref="O592">_xlfn.IFS(J592="M", "Medium", J592="L", "Light", J592="D", "Dark")</f>
        <v>Medium</v>
      </c>
      <c r="P592" t="str">
        <f>_xlfn.XLOOKUP(Orders[[#This Row],[Customer ID]], customers!$A$2:$A$1001, customers!$I$2:$I$1001, 0)</f>
        <v>Yes</v>
      </c>
    </row>
    <row r="593" spans="1:16" x14ac:dyDescent="0.35">
      <c r="A593" s="2" t="s">
        <v>3829</v>
      </c>
      <c r="B593" s="3">
        <v>43587</v>
      </c>
      <c r="C593" s="2" t="s">
        <v>3830</v>
      </c>
      <c r="D593" t="s">
        <v>6163</v>
      </c>
      <c r="E593" s="2">
        <v>3</v>
      </c>
      <c r="F593" s="2" t="str" cm="1">
        <f t="array" ref="F593">_xlfn.XLOOKUP(C593, customers!$A$1:A1592, customers!$B$1:B1592, 0)</f>
        <v>Jennifer Wilkisson</v>
      </c>
      <c r="G593" s="2" t="str">
        <f>IF(_xlfn.XLOOKUP(C593, customers!A592:A1592, customers!C592:C1592, 0)=0, "", _xlfn.XLOOKUP(C593, customers!A592:A1592, customers!C592:C1592, 0))</f>
        <v>jwilkissongf@nba.com</v>
      </c>
      <c r="H593" s="2" t="str" cm="1">
        <f t="array" ref="H593">_xlfn.XLOOKUP(C593, customers!$A$1:A1592, customers!$G$1:G1592,, 0)</f>
        <v>United States</v>
      </c>
      <c r="I593" t="str" cm="1">
        <f t="array" ref="I593">_xlfn.XLOOKUP(orders!D593, products!$A$1:A640, products!$B$1:B640, 0)</f>
        <v>Rob</v>
      </c>
      <c r="J593" t="str" cm="1">
        <f t="array" ref="J593">_xlfn.XLOOKUP(D593, products!$A$1:A640, products!$C$1:C640, 0)</f>
        <v>D</v>
      </c>
      <c r="K593" s="4" cm="1">
        <f t="array" ref="K593">_xlfn.XLOOKUP(D593, products!$A$1:A640, products!$D$1:D640, 0)</f>
        <v>0.2</v>
      </c>
      <c r="L593" s="4" cm="1">
        <f t="array" ref="L593">_xlfn.XLOOKUP(D593, products!$A$1:A640, products!$E$1:E640)</f>
        <v>2.6849999999999996</v>
      </c>
      <c r="M593">
        <f t="shared" si="18"/>
        <v>8.0549999999999997</v>
      </c>
      <c r="N593" t="str">
        <f t="shared" si="19"/>
        <v>Robusta</v>
      </c>
      <c r="O593" t="str" cm="1">
        <f t="array" ref="O593">_xlfn.IFS(J593="M", "Medium", J593="L", "Light", J593="D", "Dark")</f>
        <v>Dark</v>
      </c>
      <c r="P593" t="str">
        <f>_xlfn.XLOOKUP(Orders[[#This Row],[Customer ID]], customers!$A$2:$A$1001, customers!$I$2:$I$1001, 0)</f>
        <v>Yes</v>
      </c>
    </row>
    <row r="594" spans="1:16" x14ac:dyDescent="0.35">
      <c r="A594" s="2" t="s">
        <v>3834</v>
      </c>
      <c r="B594" s="3">
        <v>44437</v>
      </c>
      <c r="C594" s="2" t="s">
        <v>3835</v>
      </c>
      <c r="D594" t="s">
        <v>6175</v>
      </c>
      <c r="E594" s="2">
        <v>2</v>
      </c>
      <c r="F594" s="2" t="str" cm="1">
        <f t="array" ref="F594">_xlfn.XLOOKUP(C594, customers!$A$1:A1593, customers!$B$1:B1593, 0)</f>
        <v>Kylie Mowat</v>
      </c>
      <c r="G594" s="2" t="str">
        <f>IF(_xlfn.XLOOKUP(C594, customers!A593:A1593, customers!C593:C1593, 0)=0, "", _xlfn.XLOOKUP(C594, customers!A593:A1593, customers!C593:C1593, 0))</f>
        <v/>
      </c>
      <c r="H594" s="2" t="str" cm="1">
        <f t="array" ref="H594">_xlfn.XLOOKUP(C594, customers!$A$1:A1593, customers!$G$1:G1593,, 0)</f>
        <v>United States</v>
      </c>
      <c r="I594" t="str" cm="1">
        <f t="array" ref="I594">_xlfn.XLOOKUP(orders!D594, products!$A$1:A641, products!$B$1:B641, 0)</f>
        <v>Ara</v>
      </c>
      <c r="J594" t="str" cm="1">
        <f t="array" ref="J594">_xlfn.XLOOKUP(D594, products!$A$1:A641, products!$C$1:C641, 0)</f>
        <v>M</v>
      </c>
      <c r="K594" s="4" cm="1">
        <f t="array" ref="K594">_xlfn.XLOOKUP(D594, products!$A$1:A641, products!$D$1:D641, 0)</f>
        <v>2.5</v>
      </c>
      <c r="L594" s="4" cm="1">
        <f t="array" ref="L594">_xlfn.XLOOKUP(D594, products!$A$1:A641, products!$E$1:E641)</f>
        <v>25.874999999999996</v>
      </c>
      <c r="M594">
        <f t="shared" si="18"/>
        <v>51.749999999999993</v>
      </c>
      <c r="N594" t="str">
        <f t="shared" si="19"/>
        <v>Arabica</v>
      </c>
      <c r="O594" t="str" cm="1">
        <f t="array" ref="O594">_xlfn.IFS(J594="M", "Medium", J594="L", "Light", J594="D", "Dark")</f>
        <v>Medium</v>
      </c>
      <c r="P594" t="str">
        <f>_xlfn.XLOOKUP(Orders[[#This Row],[Customer ID]], customers!$A$2:$A$1001, customers!$I$2:$I$1001, 0)</f>
        <v>No</v>
      </c>
    </row>
    <row r="595" spans="1:16" x14ac:dyDescent="0.35">
      <c r="A595" s="2" t="s">
        <v>3839</v>
      </c>
      <c r="B595" s="3">
        <v>43903</v>
      </c>
      <c r="C595" s="2" t="s">
        <v>3840</v>
      </c>
      <c r="D595" t="s">
        <v>6185</v>
      </c>
      <c r="E595" s="2">
        <v>1</v>
      </c>
      <c r="F595" s="2" t="str" cm="1">
        <f t="array" ref="F595">_xlfn.XLOOKUP(C595, customers!$A$1:A1594, customers!$B$1:B1594, 0)</f>
        <v>Cody Verissimo</v>
      </c>
      <c r="G595" s="2" t="str">
        <f>IF(_xlfn.XLOOKUP(C595, customers!A594:A1594, customers!C594:C1594, 0)=0, "", _xlfn.XLOOKUP(C595, customers!A594:A1594, customers!C594:C1594, 0))</f>
        <v>cverissimogh@theglobeandmail.com</v>
      </c>
      <c r="H595" s="2" t="str" cm="1">
        <f t="array" ref="H595">_xlfn.XLOOKUP(C595, customers!$A$1:A1594, customers!$G$1:G1594,, 0)</f>
        <v>United Kingdom</v>
      </c>
      <c r="I595" t="str" cm="1">
        <f t="array" ref="I595">_xlfn.XLOOKUP(orders!D595, products!$A$1:A642, products!$B$1:B642, 0)</f>
        <v>Exc</v>
      </c>
      <c r="J595" t="str" cm="1">
        <f t="array" ref="J595">_xlfn.XLOOKUP(D595, products!$A$1:A642, products!$C$1:C642, 0)</f>
        <v>D</v>
      </c>
      <c r="K595" s="4" cm="1">
        <f t="array" ref="K595">_xlfn.XLOOKUP(D595, products!$A$1:A642, products!$D$1:D642, 0)</f>
        <v>2.5</v>
      </c>
      <c r="L595" s="4" cm="1">
        <f t="array" ref="L595">_xlfn.XLOOKUP(D595, products!$A$1:A642, products!$E$1:E642)</f>
        <v>27.945</v>
      </c>
      <c r="M595">
        <f t="shared" si="18"/>
        <v>27.945</v>
      </c>
      <c r="N595" t="str">
        <f t="shared" si="19"/>
        <v>Excelsa</v>
      </c>
      <c r="O595" t="str" cm="1">
        <f t="array" ref="O595">_xlfn.IFS(J595="M", "Medium", J595="L", "Light", J595="D", "Dark")</f>
        <v>Dark</v>
      </c>
      <c r="P595" t="str">
        <f>_xlfn.XLOOKUP(Orders[[#This Row],[Customer ID]], customers!$A$2:$A$1001, customers!$I$2:$I$1001, 0)</f>
        <v>Yes</v>
      </c>
    </row>
    <row r="596" spans="1:16" x14ac:dyDescent="0.35">
      <c r="A596" s="2" t="s">
        <v>3844</v>
      </c>
      <c r="B596" s="3">
        <v>43512</v>
      </c>
      <c r="C596" s="2" t="s">
        <v>3845</v>
      </c>
      <c r="D596" t="s">
        <v>6182</v>
      </c>
      <c r="E596" s="2">
        <v>2</v>
      </c>
      <c r="F596" s="2" t="str" cm="1">
        <f t="array" ref="F596">_xlfn.XLOOKUP(C596, customers!$A$1:A1595, customers!$B$1:B1595, 0)</f>
        <v>Gabriel Starcks</v>
      </c>
      <c r="G596" s="2" t="str">
        <f>IF(_xlfn.XLOOKUP(C596, customers!A595:A1595, customers!C595:C1595, 0)=0, "", _xlfn.XLOOKUP(C596, customers!A595:A1595, customers!C595:C1595, 0))</f>
        <v>gstarcksgi@abc.net.au</v>
      </c>
      <c r="H596" s="2" t="str" cm="1">
        <f t="array" ref="H596">_xlfn.XLOOKUP(C596, customers!$A$1:A1595, customers!$G$1:G1595,, 0)</f>
        <v>United States</v>
      </c>
      <c r="I596" t="str" cm="1">
        <f t="array" ref="I596">_xlfn.XLOOKUP(orders!D596, products!$A$1:A643, products!$B$1:B643, 0)</f>
        <v>Ara</v>
      </c>
      <c r="J596" t="str" cm="1">
        <f t="array" ref="J596">_xlfn.XLOOKUP(D596, products!$A$1:A643, products!$C$1:C643, 0)</f>
        <v>L</v>
      </c>
      <c r="K596" s="4" cm="1">
        <f t="array" ref="K596">_xlfn.XLOOKUP(D596, products!$A$1:A643, products!$D$1:D643, 0)</f>
        <v>2.5</v>
      </c>
      <c r="L596" s="4" cm="1">
        <f t="array" ref="L596">_xlfn.XLOOKUP(D596, products!$A$1:A643, products!$E$1:E643)</f>
        <v>29.784999999999997</v>
      </c>
      <c r="M596">
        <f t="shared" si="18"/>
        <v>59.569999999999993</v>
      </c>
      <c r="N596" t="str">
        <f t="shared" si="19"/>
        <v>Arabica</v>
      </c>
      <c r="O596" t="str" cm="1">
        <f t="array" ref="O596">_xlfn.IFS(J596="M", "Medium", J596="L", "Light", J596="D", "Dark")</f>
        <v>Light</v>
      </c>
      <c r="P596" t="str">
        <f>_xlfn.XLOOKUP(Orders[[#This Row],[Customer ID]], customers!$A$2:$A$1001, customers!$I$2:$I$1001, 0)</f>
        <v>No</v>
      </c>
    </row>
    <row r="597" spans="1:16" x14ac:dyDescent="0.35">
      <c r="A597" s="2" t="s">
        <v>3850</v>
      </c>
      <c r="B597" s="3">
        <v>44527</v>
      </c>
      <c r="C597" s="2" t="s">
        <v>3851</v>
      </c>
      <c r="D597" t="s">
        <v>6171</v>
      </c>
      <c r="E597" s="2">
        <v>1</v>
      </c>
      <c r="F597" s="2" t="str" cm="1">
        <f t="array" ref="F597">_xlfn.XLOOKUP(C597, customers!$A$1:A1596, customers!$B$1:B1596, 0)</f>
        <v>Darby Dummer</v>
      </c>
      <c r="G597" s="2" t="str">
        <f>IF(_xlfn.XLOOKUP(C597, customers!A596:A1596, customers!C596:C1596, 0)=0, "", _xlfn.XLOOKUP(C597, customers!A596:A1596, customers!C596:C1596, 0))</f>
        <v/>
      </c>
      <c r="H597" s="2" t="str" cm="1">
        <f t="array" ref="H597">_xlfn.XLOOKUP(C597, customers!$A$1:A1596, customers!$G$1:G1596,, 0)</f>
        <v>United Kingdom</v>
      </c>
      <c r="I597" t="str" cm="1">
        <f t="array" ref="I597">_xlfn.XLOOKUP(orders!D597, products!$A$1:A644, products!$B$1:B644, 0)</f>
        <v>Exc</v>
      </c>
      <c r="J597" t="str" cm="1">
        <f t="array" ref="J597">_xlfn.XLOOKUP(D597, products!$A$1:A644, products!$C$1:C644, 0)</f>
        <v>L</v>
      </c>
      <c r="K597" s="4" cm="1">
        <f t="array" ref="K597">_xlfn.XLOOKUP(D597, products!$A$1:A644, products!$D$1:D644, 0)</f>
        <v>1</v>
      </c>
      <c r="L597" s="4" cm="1">
        <f t="array" ref="L597">_xlfn.XLOOKUP(D597, products!$A$1:A644, products!$E$1:E644)</f>
        <v>14.85</v>
      </c>
      <c r="M597">
        <f t="shared" si="18"/>
        <v>14.85</v>
      </c>
      <c r="N597" t="str">
        <f t="shared" si="19"/>
        <v>Excelsa</v>
      </c>
      <c r="O597" t="str" cm="1">
        <f t="array" ref="O597">_xlfn.IFS(J597="M", "Medium", J597="L", "Light", J597="D", "Dark")</f>
        <v>Light</v>
      </c>
      <c r="P597" t="str">
        <f>_xlfn.XLOOKUP(Orders[[#This Row],[Customer ID]], customers!$A$2:$A$1001, customers!$I$2:$I$1001, 0)</f>
        <v>No</v>
      </c>
    </row>
    <row r="598" spans="1:16" x14ac:dyDescent="0.35">
      <c r="A598" s="2" t="s">
        <v>3854</v>
      </c>
      <c r="B598" s="3">
        <v>44523</v>
      </c>
      <c r="C598" s="2" t="s">
        <v>3855</v>
      </c>
      <c r="D598" t="s">
        <v>6157</v>
      </c>
      <c r="E598" s="2">
        <v>5</v>
      </c>
      <c r="F598" s="2" t="str" cm="1">
        <f t="array" ref="F598">_xlfn.XLOOKUP(C598, customers!$A$1:A1597, customers!$B$1:B1597, 0)</f>
        <v>Kienan Scholard</v>
      </c>
      <c r="G598" s="2" t="str">
        <f>IF(_xlfn.XLOOKUP(C598, customers!A597:A1597, customers!C597:C1597, 0)=0, "", _xlfn.XLOOKUP(C598, customers!A597:A1597, customers!C597:C1597, 0))</f>
        <v>kscholardgk@sbwire.com</v>
      </c>
      <c r="H598" s="2" t="str" cm="1">
        <f t="array" ref="H598">_xlfn.XLOOKUP(C598, customers!$A$1:A1597, customers!$G$1:G1597,, 0)</f>
        <v>United States</v>
      </c>
      <c r="I598" t="str" cm="1">
        <f t="array" ref="I598">_xlfn.XLOOKUP(orders!D598, products!$A$1:A645, products!$B$1:B645, 0)</f>
        <v>Ara</v>
      </c>
      <c r="J598" t="str" cm="1">
        <f t="array" ref="J598">_xlfn.XLOOKUP(D598, products!$A$1:A645, products!$C$1:C645, 0)</f>
        <v>M</v>
      </c>
      <c r="K598" s="4" cm="1">
        <f t="array" ref="K598">_xlfn.XLOOKUP(D598, products!$A$1:A645, products!$D$1:D645, 0)</f>
        <v>0.5</v>
      </c>
      <c r="L598" s="4" cm="1">
        <f t="array" ref="L598">_xlfn.XLOOKUP(D598, products!$A$1:A645, products!$E$1:E645)</f>
        <v>6.75</v>
      </c>
      <c r="M598">
        <f t="shared" si="18"/>
        <v>33.75</v>
      </c>
      <c r="N598" t="str">
        <f t="shared" si="19"/>
        <v>Arabica</v>
      </c>
      <c r="O598" t="str" cm="1">
        <f t="array" ref="O598">_xlfn.IFS(J598="M", "Medium", J598="L", "Light", J598="D", "Dark")</f>
        <v>Medium</v>
      </c>
      <c r="P598" t="str">
        <f>_xlfn.XLOOKUP(Orders[[#This Row],[Customer ID]], customers!$A$2:$A$1001, customers!$I$2:$I$1001, 0)</f>
        <v>No</v>
      </c>
    </row>
    <row r="599" spans="1:16" x14ac:dyDescent="0.35">
      <c r="A599" s="2" t="s">
        <v>3860</v>
      </c>
      <c r="B599" s="3">
        <v>44532</v>
      </c>
      <c r="C599" s="2" t="s">
        <v>3861</v>
      </c>
      <c r="D599" t="s">
        <v>6164</v>
      </c>
      <c r="E599" s="2">
        <v>4</v>
      </c>
      <c r="F599" s="2" t="str" cm="1">
        <f t="array" ref="F599">_xlfn.XLOOKUP(C599, customers!$A$1:A1598, customers!$B$1:B1598, 0)</f>
        <v>Bo Kindley</v>
      </c>
      <c r="G599" s="2" t="str">
        <f>IF(_xlfn.XLOOKUP(C599, customers!A598:A1598, customers!C598:C1598, 0)=0, "", _xlfn.XLOOKUP(C599, customers!A598:A1598, customers!C598:C1598, 0))</f>
        <v>bkindleygl@wikimedia.org</v>
      </c>
      <c r="H599" s="2" t="str" cm="1">
        <f t="array" ref="H599">_xlfn.XLOOKUP(C599, customers!$A$1:A1598, customers!$G$1:G1598,, 0)</f>
        <v>United States</v>
      </c>
      <c r="I599" t="str" cm="1">
        <f t="array" ref="I599">_xlfn.XLOOKUP(orders!D599, products!$A$1:A646, products!$B$1:B646, 0)</f>
        <v>Lib</v>
      </c>
      <c r="J599" t="str" cm="1">
        <f t="array" ref="J599">_xlfn.XLOOKUP(D599, products!$A$1:A646, products!$C$1:C646, 0)</f>
        <v>L</v>
      </c>
      <c r="K599" s="4" cm="1">
        <f t="array" ref="K599">_xlfn.XLOOKUP(D599, products!$A$1:A646, products!$D$1:D646, 0)</f>
        <v>2.5</v>
      </c>
      <c r="L599" s="4" cm="1">
        <f t="array" ref="L599">_xlfn.XLOOKUP(D599, products!$A$1:A646, products!$E$1:E646)</f>
        <v>36.454999999999998</v>
      </c>
      <c r="M599">
        <f t="shared" si="18"/>
        <v>145.82</v>
      </c>
      <c r="N599" t="str">
        <f t="shared" si="19"/>
        <v>Liberica</v>
      </c>
      <c r="O599" t="str" cm="1">
        <f t="array" ref="O599">_xlfn.IFS(J599="M", "Medium", J599="L", "Light", J599="D", "Dark")</f>
        <v>Light</v>
      </c>
      <c r="P599" t="str">
        <f>_xlfn.XLOOKUP(Orders[[#This Row],[Customer ID]], customers!$A$2:$A$1001, customers!$I$2:$I$1001, 0)</f>
        <v>Yes</v>
      </c>
    </row>
    <row r="600" spans="1:16" x14ac:dyDescent="0.35">
      <c r="A600" s="2" t="s">
        <v>3866</v>
      </c>
      <c r="B600" s="3">
        <v>43471</v>
      </c>
      <c r="C600" s="2" t="s">
        <v>3867</v>
      </c>
      <c r="D600" t="s">
        <v>6174</v>
      </c>
      <c r="E600" s="2">
        <v>4</v>
      </c>
      <c r="F600" s="2" t="str" cm="1">
        <f t="array" ref="F600">_xlfn.XLOOKUP(C600, customers!$A$1:A1599, customers!$B$1:B1599, 0)</f>
        <v>Krissie Hammett</v>
      </c>
      <c r="G600" s="2" t="str">
        <f>IF(_xlfn.XLOOKUP(C600, customers!A599:A1599, customers!C599:C1599, 0)=0, "", _xlfn.XLOOKUP(C600, customers!A599:A1599, customers!C599:C1599, 0))</f>
        <v>khammettgm@dmoz.org</v>
      </c>
      <c r="H600" s="2" t="str" cm="1">
        <f t="array" ref="H600">_xlfn.XLOOKUP(C600, customers!$A$1:A1599, customers!$G$1:G1599,, 0)</f>
        <v>United States</v>
      </c>
      <c r="I600" t="str" cm="1">
        <f t="array" ref="I600">_xlfn.XLOOKUP(orders!D600, products!$A$1:A647, products!$B$1:B647, 0)</f>
        <v>Rob</v>
      </c>
      <c r="J600" t="str" cm="1">
        <f t="array" ref="J600">_xlfn.XLOOKUP(D600, products!$A$1:A647, products!$C$1:C647, 0)</f>
        <v>M</v>
      </c>
      <c r="K600" s="4" cm="1">
        <f t="array" ref="K600">_xlfn.XLOOKUP(D600, products!$A$1:A647, products!$D$1:D647, 0)</f>
        <v>0.2</v>
      </c>
      <c r="L600" s="4" cm="1">
        <f t="array" ref="L600">_xlfn.XLOOKUP(D600, products!$A$1:A647, products!$E$1:E647)</f>
        <v>2.9849999999999999</v>
      </c>
      <c r="M600">
        <f t="shared" si="18"/>
        <v>11.94</v>
      </c>
      <c r="N600" t="str">
        <f t="shared" si="19"/>
        <v>Robusta</v>
      </c>
      <c r="O600" t="str" cm="1">
        <f t="array" ref="O600">_xlfn.IFS(J600="M", "Medium", J600="L", "Light", J600="D", "Dark")</f>
        <v>Medium</v>
      </c>
      <c r="P600" t="str">
        <f>_xlfn.XLOOKUP(Orders[[#This Row],[Customer ID]], customers!$A$2:$A$1001, customers!$I$2:$I$1001, 0)</f>
        <v>Yes</v>
      </c>
    </row>
    <row r="601" spans="1:16" x14ac:dyDescent="0.35">
      <c r="A601" s="2" t="s">
        <v>3872</v>
      </c>
      <c r="B601" s="3">
        <v>44321</v>
      </c>
      <c r="C601" s="2" t="s">
        <v>3873</v>
      </c>
      <c r="D601" t="s">
        <v>6154</v>
      </c>
      <c r="E601" s="2">
        <v>4</v>
      </c>
      <c r="F601" s="2" t="str" cm="1">
        <f t="array" ref="F601">_xlfn.XLOOKUP(C601, customers!$A$1:A1600, customers!$B$1:B1600, 0)</f>
        <v>Alisha Hulburt</v>
      </c>
      <c r="G601" s="2" t="str">
        <f>IF(_xlfn.XLOOKUP(C601, customers!A600:A1600, customers!C600:C1600, 0)=0, "", _xlfn.XLOOKUP(C601, customers!A600:A1600, customers!C600:C1600, 0))</f>
        <v>ahulburtgn@fda.gov</v>
      </c>
      <c r="H601" s="2" t="str" cm="1">
        <f t="array" ref="H601">_xlfn.XLOOKUP(C601, customers!$A$1:A1600, customers!$G$1:G1600,, 0)</f>
        <v>United States</v>
      </c>
      <c r="I601" t="str" cm="1">
        <f t="array" ref="I601">_xlfn.XLOOKUP(orders!D601, products!$A$1:A648, products!$B$1:B648, 0)</f>
        <v>Ara</v>
      </c>
      <c r="J601" t="str" cm="1">
        <f t="array" ref="J601">_xlfn.XLOOKUP(D601, products!$A$1:A648, products!$C$1:C648, 0)</f>
        <v>D</v>
      </c>
      <c r="K601" s="4" cm="1">
        <f t="array" ref="K601">_xlfn.XLOOKUP(D601, products!$A$1:A648, products!$D$1:D648, 0)</f>
        <v>0.2</v>
      </c>
      <c r="L601" s="4" cm="1">
        <f t="array" ref="L601">_xlfn.XLOOKUP(D601, products!$A$1:A648, products!$E$1:E648)</f>
        <v>2.9849999999999999</v>
      </c>
      <c r="M601">
        <f t="shared" si="18"/>
        <v>11.94</v>
      </c>
      <c r="N601" t="str">
        <f t="shared" si="19"/>
        <v>Arabica</v>
      </c>
      <c r="O601" t="str" cm="1">
        <f t="array" ref="O601">_xlfn.IFS(J601="M", "Medium", J601="L", "Light", J601="D", "Dark")</f>
        <v>Dark</v>
      </c>
      <c r="P601" t="str">
        <f>_xlfn.XLOOKUP(Orders[[#This Row],[Customer ID]], customers!$A$2:$A$1001, customers!$I$2:$I$1001, 0)</f>
        <v>Yes</v>
      </c>
    </row>
    <row r="602" spans="1:16" x14ac:dyDescent="0.35">
      <c r="A602" s="2" t="s">
        <v>3877</v>
      </c>
      <c r="B602" s="3">
        <v>44492</v>
      </c>
      <c r="C602" s="2" t="s">
        <v>3878</v>
      </c>
      <c r="D602" t="s">
        <v>6169</v>
      </c>
      <c r="E602" s="2">
        <v>1</v>
      </c>
      <c r="F602" s="2" t="str" cm="1">
        <f t="array" ref="F602">_xlfn.XLOOKUP(C602, customers!$A$1:A1601, customers!$B$1:B1601, 0)</f>
        <v>Peyter Lauritzen</v>
      </c>
      <c r="G602" s="2" t="str">
        <f>IF(_xlfn.XLOOKUP(C602, customers!A601:A1601, customers!C601:C1601, 0)=0, "", _xlfn.XLOOKUP(C602, customers!A601:A1601, customers!C601:C1601, 0))</f>
        <v>plauritzengo@photobucket.com</v>
      </c>
      <c r="H602" s="2" t="str" cm="1">
        <f t="array" ref="H602">_xlfn.XLOOKUP(C602, customers!$A$1:A1601, customers!$G$1:G1601,, 0)</f>
        <v>United States</v>
      </c>
      <c r="I602" t="str" cm="1">
        <f t="array" ref="I602">_xlfn.XLOOKUP(orders!D602, products!$A$1:A649, products!$B$1:B649, 0)</f>
        <v>Lib</v>
      </c>
      <c r="J602" t="str" cm="1">
        <f t="array" ref="J602">_xlfn.XLOOKUP(D602, products!$A$1:A649, products!$C$1:C649, 0)</f>
        <v>D</v>
      </c>
      <c r="K602" s="4" cm="1">
        <f t="array" ref="K602">_xlfn.XLOOKUP(D602, products!$A$1:A649, products!$D$1:D649, 0)</f>
        <v>0.5</v>
      </c>
      <c r="L602" s="4" cm="1">
        <f t="array" ref="L602">_xlfn.XLOOKUP(D602, products!$A$1:A649, products!$E$1:E649)</f>
        <v>7.77</v>
      </c>
      <c r="M602">
        <f t="shared" si="18"/>
        <v>7.77</v>
      </c>
      <c r="N602" t="str">
        <f t="shared" si="19"/>
        <v>Liberica</v>
      </c>
      <c r="O602" t="str" cm="1">
        <f t="array" ref="O602">_xlfn.IFS(J602="M", "Medium", J602="L", "Light", J602="D", "Dark")</f>
        <v>Dark</v>
      </c>
      <c r="P602" t="str">
        <f>_xlfn.XLOOKUP(Orders[[#This Row],[Customer ID]], customers!$A$2:$A$1001, customers!$I$2:$I$1001, 0)</f>
        <v>No</v>
      </c>
    </row>
    <row r="603" spans="1:16" x14ac:dyDescent="0.35">
      <c r="A603" s="2" t="s">
        <v>3883</v>
      </c>
      <c r="B603" s="3">
        <v>43815</v>
      </c>
      <c r="C603" s="2" t="s">
        <v>3884</v>
      </c>
      <c r="D603" t="s">
        <v>6142</v>
      </c>
      <c r="E603" s="2">
        <v>4</v>
      </c>
      <c r="F603" s="2" t="str" cm="1">
        <f t="array" ref="F603">_xlfn.XLOOKUP(C603, customers!$A$1:A1602, customers!$B$1:B1602, 0)</f>
        <v>Aurelia Burgwin</v>
      </c>
      <c r="G603" s="2" t="str">
        <f>IF(_xlfn.XLOOKUP(C603, customers!A602:A1602, customers!C602:C1602, 0)=0, "", _xlfn.XLOOKUP(C603, customers!A602:A1602, customers!C602:C1602, 0))</f>
        <v>aburgwingp@redcross.org</v>
      </c>
      <c r="H603" s="2" t="str" cm="1">
        <f t="array" ref="H603">_xlfn.XLOOKUP(C603, customers!$A$1:A1602, customers!$G$1:G1602,, 0)</f>
        <v>United States</v>
      </c>
      <c r="I603" t="str" cm="1">
        <f t="array" ref="I603">_xlfn.XLOOKUP(orders!D603, products!$A$1:A650, products!$B$1:B650, 0)</f>
        <v>Rob</v>
      </c>
      <c r="J603" t="str" cm="1">
        <f t="array" ref="J603">_xlfn.XLOOKUP(D603, products!$A$1:A650, products!$C$1:C650, 0)</f>
        <v>L</v>
      </c>
      <c r="K603" s="4" cm="1">
        <f t="array" ref="K603">_xlfn.XLOOKUP(D603, products!$A$1:A650, products!$D$1:D650, 0)</f>
        <v>2.5</v>
      </c>
      <c r="L603" s="4" cm="1">
        <f t="array" ref="L603">_xlfn.XLOOKUP(D603, products!$A$1:A650, products!$E$1:E650)</f>
        <v>27.484999999999996</v>
      </c>
      <c r="M603">
        <f t="shared" si="18"/>
        <v>109.93999999999998</v>
      </c>
      <c r="N603" t="str">
        <f t="shared" si="19"/>
        <v>Robusta</v>
      </c>
      <c r="O603" t="str" cm="1">
        <f t="array" ref="O603">_xlfn.IFS(J603="M", "Medium", J603="L", "Light", J603="D", "Dark")</f>
        <v>Light</v>
      </c>
      <c r="P603" t="str">
        <f>_xlfn.XLOOKUP(Orders[[#This Row],[Customer ID]], customers!$A$2:$A$1001, customers!$I$2:$I$1001, 0)</f>
        <v>Yes</v>
      </c>
    </row>
    <row r="604" spans="1:16" x14ac:dyDescent="0.35">
      <c r="A604" s="2" t="s">
        <v>3889</v>
      </c>
      <c r="B604" s="3">
        <v>43603</v>
      </c>
      <c r="C604" s="2" t="s">
        <v>3890</v>
      </c>
      <c r="D604" t="s">
        <v>6184</v>
      </c>
      <c r="E604" s="2">
        <v>5</v>
      </c>
      <c r="F604" s="2" t="str" cm="1">
        <f t="array" ref="F604">_xlfn.XLOOKUP(C604, customers!$A$1:A1603, customers!$B$1:B1603, 0)</f>
        <v>Emalee Rolin</v>
      </c>
      <c r="G604" s="2" t="str">
        <f>IF(_xlfn.XLOOKUP(C604, customers!A603:A1603, customers!C603:C1603, 0)=0, "", _xlfn.XLOOKUP(C604, customers!A603:A1603, customers!C603:C1603, 0))</f>
        <v>erolingq@google.fr</v>
      </c>
      <c r="H604" s="2" t="str" cm="1">
        <f t="array" ref="H604">_xlfn.XLOOKUP(C604, customers!$A$1:A1603, customers!$G$1:G1603,, 0)</f>
        <v>United States</v>
      </c>
      <c r="I604" t="str" cm="1">
        <f t="array" ref="I604">_xlfn.XLOOKUP(orders!D604, products!$A$1:A651, products!$B$1:B651, 0)</f>
        <v>Exc</v>
      </c>
      <c r="J604" t="str" cm="1">
        <f t="array" ref="J604">_xlfn.XLOOKUP(D604, products!$A$1:A651, products!$C$1:C651, 0)</f>
        <v>L</v>
      </c>
      <c r="K604" s="4" cm="1">
        <f t="array" ref="K604">_xlfn.XLOOKUP(D604, products!$A$1:A651, products!$D$1:D651, 0)</f>
        <v>0.2</v>
      </c>
      <c r="L604" s="4" cm="1">
        <f t="array" ref="L604">_xlfn.XLOOKUP(D604, products!$A$1:A651, products!$E$1:E651)</f>
        <v>4.4550000000000001</v>
      </c>
      <c r="M604">
        <f t="shared" si="18"/>
        <v>22.274999999999999</v>
      </c>
      <c r="N604" t="str">
        <f t="shared" si="19"/>
        <v>Excelsa</v>
      </c>
      <c r="O604" t="str" cm="1">
        <f t="array" ref="O604">_xlfn.IFS(J604="M", "Medium", J604="L", "Light", J604="D", "Dark")</f>
        <v>Light</v>
      </c>
      <c r="P604" t="str">
        <f>_xlfn.XLOOKUP(Orders[[#This Row],[Customer ID]], customers!$A$2:$A$1001, customers!$I$2:$I$1001, 0)</f>
        <v>Yes</v>
      </c>
    </row>
    <row r="605" spans="1:16" x14ac:dyDescent="0.35">
      <c r="A605" s="2" t="s">
        <v>3895</v>
      </c>
      <c r="B605" s="3">
        <v>43660</v>
      </c>
      <c r="C605" s="2" t="s">
        <v>3896</v>
      </c>
      <c r="D605" t="s">
        <v>6174</v>
      </c>
      <c r="E605" s="2">
        <v>3</v>
      </c>
      <c r="F605" s="2" t="str" cm="1">
        <f t="array" ref="F605">_xlfn.XLOOKUP(C605, customers!$A$1:A1604, customers!$B$1:B1604, 0)</f>
        <v>Donavon Fowle</v>
      </c>
      <c r="G605" s="2" t="str">
        <f>IF(_xlfn.XLOOKUP(C605, customers!A604:A1604, customers!C604:C1604, 0)=0, "", _xlfn.XLOOKUP(C605, customers!A604:A1604, customers!C604:C1604, 0))</f>
        <v>dfowlegr@epa.gov</v>
      </c>
      <c r="H605" s="2" t="str" cm="1">
        <f t="array" ref="H605">_xlfn.XLOOKUP(C605, customers!$A$1:A1604, customers!$G$1:G1604,, 0)</f>
        <v>United States</v>
      </c>
      <c r="I605" t="str" cm="1">
        <f t="array" ref="I605">_xlfn.XLOOKUP(orders!D605, products!$A$1:A652, products!$B$1:B652, 0)</f>
        <v>Rob</v>
      </c>
      <c r="J605" t="str" cm="1">
        <f t="array" ref="J605">_xlfn.XLOOKUP(D605, products!$A$1:A652, products!$C$1:C652, 0)</f>
        <v>M</v>
      </c>
      <c r="K605" s="4" cm="1">
        <f t="array" ref="K605">_xlfn.XLOOKUP(D605, products!$A$1:A652, products!$D$1:D652, 0)</f>
        <v>0.2</v>
      </c>
      <c r="L605" s="4" cm="1">
        <f t="array" ref="L605">_xlfn.XLOOKUP(D605, products!$A$1:A652, products!$E$1:E652)</f>
        <v>2.9849999999999999</v>
      </c>
      <c r="M605">
        <f t="shared" si="18"/>
        <v>8.9550000000000001</v>
      </c>
      <c r="N605" t="str">
        <f t="shared" si="19"/>
        <v>Robusta</v>
      </c>
      <c r="O605" t="str" cm="1">
        <f t="array" ref="O605">_xlfn.IFS(J605="M", "Medium", J605="L", "Light", J605="D", "Dark")</f>
        <v>Medium</v>
      </c>
      <c r="P605" t="str">
        <f>_xlfn.XLOOKUP(Orders[[#This Row],[Customer ID]], customers!$A$2:$A$1001, customers!$I$2:$I$1001, 0)</f>
        <v>No</v>
      </c>
    </row>
    <row r="606" spans="1:16" x14ac:dyDescent="0.35">
      <c r="A606" s="2" t="s">
        <v>3900</v>
      </c>
      <c r="B606" s="3">
        <v>44148</v>
      </c>
      <c r="C606" s="2" t="s">
        <v>3901</v>
      </c>
      <c r="D606" t="s">
        <v>6165</v>
      </c>
      <c r="E606" s="2">
        <v>4</v>
      </c>
      <c r="F606" s="2" t="str" cm="1">
        <f t="array" ref="F606">_xlfn.XLOOKUP(C606, customers!$A$1:A1605, customers!$B$1:B1605, 0)</f>
        <v>Jorge Bettison</v>
      </c>
      <c r="G606" s="2" t="str">
        <f>IF(_xlfn.XLOOKUP(C606, customers!A605:A1605, customers!C605:C1605, 0)=0, "", _xlfn.XLOOKUP(C606, customers!A605:A1605, customers!C605:C1605, 0))</f>
        <v/>
      </c>
      <c r="H606" s="2" t="str" cm="1">
        <f t="array" ref="H606">_xlfn.XLOOKUP(C606, customers!$A$1:A1605, customers!$G$1:G1605,, 0)</f>
        <v>Ireland</v>
      </c>
      <c r="I606" t="str" cm="1">
        <f t="array" ref="I606">_xlfn.XLOOKUP(orders!D606, products!$A$1:A653, products!$B$1:B653, 0)</f>
        <v>Lib</v>
      </c>
      <c r="J606" t="str" cm="1">
        <f t="array" ref="J606">_xlfn.XLOOKUP(D606, products!$A$1:A653, products!$C$1:C653, 0)</f>
        <v>D</v>
      </c>
      <c r="K606" s="4" cm="1">
        <f t="array" ref="K606">_xlfn.XLOOKUP(D606, products!$A$1:A653, products!$D$1:D653, 0)</f>
        <v>2.5</v>
      </c>
      <c r="L606" s="4" cm="1">
        <f t="array" ref="L606">_xlfn.XLOOKUP(D606, products!$A$1:A653, products!$E$1:E653)</f>
        <v>29.784999999999997</v>
      </c>
      <c r="M606">
        <f t="shared" si="18"/>
        <v>119.13999999999999</v>
      </c>
      <c r="N606" t="str">
        <f t="shared" si="19"/>
        <v>Liberica</v>
      </c>
      <c r="O606" t="str" cm="1">
        <f t="array" ref="O606">_xlfn.IFS(J606="M", "Medium", J606="L", "Light", J606="D", "Dark")</f>
        <v>Dark</v>
      </c>
      <c r="P606" t="str">
        <f>_xlfn.XLOOKUP(Orders[[#This Row],[Customer ID]], customers!$A$2:$A$1001, customers!$I$2:$I$1001, 0)</f>
        <v>No</v>
      </c>
    </row>
    <row r="607" spans="1:16" x14ac:dyDescent="0.35">
      <c r="A607" s="2" t="s">
        <v>3905</v>
      </c>
      <c r="B607" s="3">
        <v>44028</v>
      </c>
      <c r="C607" s="2" t="s">
        <v>3906</v>
      </c>
      <c r="D607" t="s">
        <v>6182</v>
      </c>
      <c r="E607" s="2">
        <v>5</v>
      </c>
      <c r="F607" s="2" t="str" cm="1">
        <f t="array" ref="F607">_xlfn.XLOOKUP(C607, customers!$A$1:A1606, customers!$B$1:B1606, 0)</f>
        <v>Wang Powlesland</v>
      </c>
      <c r="G607" s="2" t="str">
        <f>IF(_xlfn.XLOOKUP(C607, customers!A606:A1606, customers!C606:C1606, 0)=0, "", _xlfn.XLOOKUP(C607, customers!A606:A1606, customers!C606:C1606, 0))</f>
        <v>wpowleslandgt@soundcloud.com</v>
      </c>
      <c r="H607" s="2" t="str" cm="1">
        <f t="array" ref="H607">_xlfn.XLOOKUP(C607, customers!$A$1:A1606, customers!$G$1:G1606,, 0)</f>
        <v>United States</v>
      </c>
      <c r="I607" t="str" cm="1">
        <f t="array" ref="I607">_xlfn.XLOOKUP(orders!D607, products!$A$1:A654, products!$B$1:B654, 0)</f>
        <v>Ara</v>
      </c>
      <c r="J607" t="str" cm="1">
        <f t="array" ref="J607">_xlfn.XLOOKUP(D607, products!$A$1:A654, products!$C$1:C654, 0)</f>
        <v>L</v>
      </c>
      <c r="K607" s="4" cm="1">
        <f t="array" ref="K607">_xlfn.XLOOKUP(D607, products!$A$1:A654, products!$D$1:D654, 0)</f>
        <v>2.5</v>
      </c>
      <c r="L607" s="4" cm="1">
        <f t="array" ref="L607">_xlfn.XLOOKUP(D607, products!$A$1:A654, products!$E$1:E654)</f>
        <v>29.784999999999997</v>
      </c>
      <c r="M607">
        <f t="shared" si="18"/>
        <v>148.92499999999998</v>
      </c>
      <c r="N607" t="str">
        <f t="shared" si="19"/>
        <v>Arabica</v>
      </c>
      <c r="O607" t="str" cm="1">
        <f t="array" ref="O607">_xlfn.IFS(J607="M", "Medium", J607="L", "Light", J607="D", "Dark")</f>
        <v>Light</v>
      </c>
      <c r="P607" t="str">
        <f>_xlfn.XLOOKUP(Orders[[#This Row],[Customer ID]], customers!$A$2:$A$1001, customers!$I$2:$I$1001, 0)</f>
        <v>Yes</v>
      </c>
    </row>
    <row r="608" spans="1:16" x14ac:dyDescent="0.35">
      <c r="A608" s="2" t="s">
        <v>3911</v>
      </c>
      <c r="B608" s="3">
        <v>44138</v>
      </c>
      <c r="C608" s="2" t="s">
        <v>3840</v>
      </c>
      <c r="D608" t="s">
        <v>6164</v>
      </c>
      <c r="E608" s="2">
        <v>3</v>
      </c>
      <c r="F608" s="2" t="str" cm="1">
        <f t="array" ref="F608">_xlfn.XLOOKUP(C608, customers!$A$1:A1607, customers!$B$1:B1607, 0)</f>
        <v>Cody Verissimo</v>
      </c>
      <c r="G608" s="2" t="str">
        <f>IF(_xlfn.XLOOKUP(C608, customers!A607:A1607, customers!C607:C1607, 0)=0, "", _xlfn.XLOOKUP(C608, customers!A607:A1607, customers!C607:C1607, 0))</f>
        <v/>
      </c>
      <c r="H608" s="2" t="str" cm="1">
        <f t="array" ref="H608">_xlfn.XLOOKUP(C608, customers!$A$1:A1607, customers!$G$1:G1607,, 0)</f>
        <v>United Kingdom</v>
      </c>
      <c r="I608" t="str" cm="1">
        <f t="array" ref="I608">_xlfn.XLOOKUP(orders!D608, products!$A$1:A655, products!$B$1:B655, 0)</f>
        <v>Lib</v>
      </c>
      <c r="J608" t="str" cm="1">
        <f t="array" ref="J608">_xlfn.XLOOKUP(D608, products!$A$1:A655, products!$C$1:C655, 0)</f>
        <v>L</v>
      </c>
      <c r="K608" s="4" cm="1">
        <f t="array" ref="K608">_xlfn.XLOOKUP(D608, products!$A$1:A655, products!$D$1:D655, 0)</f>
        <v>2.5</v>
      </c>
      <c r="L608" s="4" cm="1">
        <f t="array" ref="L608">_xlfn.XLOOKUP(D608, products!$A$1:A655, products!$E$1:E655)</f>
        <v>36.454999999999998</v>
      </c>
      <c r="M608">
        <f t="shared" si="18"/>
        <v>109.36499999999999</v>
      </c>
      <c r="N608" t="str">
        <f t="shared" si="19"/>
        <v>Liberica</v>
      </c>
      <c r="O608" t="str" cm="1">
        <f t="array" ref="O608">_xlfn.IFS(J608="M", "Medium", J608="L", "Light", J608="D", "Dark")</f>
        <v>Light</v>
      </c>
      <c r="P608" t="str">
        <f>_xlfn.XLOOKUP(Orders[[#This Row],[Customer ID]], customers!$A$2:$A$1001, customers!$I$2:$I$1001, 0)</f>
        <v>Yes</v>
      </c>
    </row>
    <row r="609" spans="1:16" x14ac:dyDescent="0.35">
      <c r="A609" s="2" t="s">
        <v>3917</v>
      </c>
      <c r="B609" s="3">
        <v>44640</v>
      </c>
      <c r="C609" s="2" t="s">
        <v>3918</v>
      </c>
      <c r="D609" t="s">
        <v>6153</v>
      </c>
      <c r="E609" s="2">
        <v>1</v>
      </c>
      <c r="F609" s="2" t="str" cm="1">
        <f t="array" ref="F609">_xlfn.XLOOKUP(C609, customers!$A$1:A1608, customers!$B$1:B1608, 0)</f>
        <v>Laurence Ellingham</v>
      </c>
      <c r="G609" s="2" t="str">
        <f>IF(_xlfn.XLOOKUP(C609, customers!A608:A1608, customers!C608:C1608, 0)=0, "", _xlfn.XLOOKUP(C609, customers!A608:A1608, customers!C608:C1608, 0))</f>
        <v>lellinghamgv@sciencedaily.com</v>
      </c>
      <c r="H609" s="2" t="str" cm="1">
        <f t="array" ref="H609">_xlfn.XLOOKUP(C609, customers!$A$1:A1608, customers!$G$1:G1608,, 0)</f>
        <v>United States</v>
      </c>
      <c r="I609" t="str" cm="1">
        <f t="array" ref="I609">_xlfn.XLOOKUP(orders!D609, products!$A$1:A656, products!$B$1:B656, 0)</f>
        <v>Exc</v>
      </c>
      <c r="J609" t="str" cm="1">
        <f t="array" ref="J609">_xlfn.XLOOKUP(D609, products!$A$1:A656, products!$C$1:C656, 0)</f>
        <v>D</v>
      </c>
      <c r="K609" s="4" cm="1">
        <f t="array" ref="K609">_xlfn.XLOOKUP(D609, products!$A$1:A656, products!$D$1:D656, 0)</f>
        <v>0.2</v>
      </c>
      <c r="L609" s="4" cm="1">
        <f t="array" ref="L609">_xlfn.XLOOKUP(D609, products!$A$1:A656, products!$E$1:E656)</f>
        <v>3.645</v>
      </c>
      <c r="M609">
        <f t="shared" si="18"/>
        <v>3.645</v>
      </c>
      <c r="N609" t="str">
        <f t="shared" si="19"/>
        <v>Excelsa</v>
      </c>
      <c r="O609" t="str" cm="1">
        <f t="array" ref="O609">_xlfn.IFS(J609="M", "Medium", J609="L", "Light", J609="D", "Dark")</f>
        <v>Dark</v>
      </c>
      <c r="P609" t="str">
        <f>_xlfn.XLOOKUP(Orders[[#This Row],[Customer ID]], customers!$A$2:$A$1001, customers!$I$2:$I$1001, 0)</f>
        <v>Yes</v>
      </c>
    </row>
    <row r="610" spans="1:16" x14ac:dyDescent="0.35">
      <c r="A610" s="2" t="s">
        <v>3923</v>
      </c>
      <c r="B610" s="3">
        <v>44608</v>
      </c>
      <c r="C610" s="2" t="s">
        <v>3924</v>
      </c>
      <c r="D610" t="s">
        <v>6185</v>
      </c>
      <c r="E610" s="2">
        <v>2</v>
      </c>
      <c r="F610" s="2" t="str" cm="1">
        <f t="array" ref="F610">_xlfn.XLOOKUP(C610, customers!$A$1:A1609, customers!$B$1:B1609, 0)</f>
        <v>Billy Neiland</v>
      </c>
      <c r="G610" s="2" t="str">
        <f>IF(_xlfn.XLOOKUP(C610, customers!A609:A1609, customers!C609:C1609, 0)=0, "", _xlfn.XLOOKUP(C610, customers!A609:A1609, customers!C609:C1609, 0))</f>
        <v/>
      </c>
      <c r="H610" s="2" t="str" cm="1">
        <f t="array" ref="H610">_xlfn.XLOOKUP(C610, customers!$A$1:A1609, customers!$G$1:G1609,, 0)</f>
        <v>United States</v>
      </c>
      <c r="I610" t="str" cm="1">
        <f t="array" ref="I610">_xlfn.XLOOKUP(orders!D610, products!$A$1:A657, products!$B$1:B657, 0)</f>
        <v>Exc</v>
      </c>
      <c r="J610" t="str" cm="1">
        <f t="array" ref="J610">_xlfn.XLOOKUP(D610, products!$A$1:A657, products!$C$1:C657, 0)</f>
        <v>D</v>
      </c>
      <c r="K610" s="4" cm="1">
        <f t="array" ref="K610">_xlfn.XLOOKUP(D610, products!$A$1:A657, products!$D$1:D657, 0)</f>
        <v>2.5</v>
      </c>
      <c r="L610" s="4" cm="1">
        <f t="array" ref="L610">_xlfn.XLOOKUP(D610, products!$A$1:A657, products!$E$1:E657)</f>
        <v>27.945</v>
      </c>
      <c r="M610">
        <f t="shared" si="18"/>
        <v>55.89</v>
      </c>
      <c r="N610" t="str">
        <f t="shared" si="19"/>
        <v>Excelsa</v>
      </c>
      <c r="O610" t="str" cm="1">
        <f t="array" ref="O610">_xlfn.IFS(J610="M", "Medium", J610="L", "Light", J610="D", "Dark")</f>
        <v>Dark</v>
      </c>
      <c r="P610" t="str">
        <f>_xlfn.XLOOKUP(Orders[[#This Row],[Customer ID]], customers!$A$2:$A$1001, customers!$I$2:$I$1001, 0)</f>
        <v>No</v>
      </c>
    </row>
    <row r="611" spans="1:16" x14ac:dyDescent="0.35">
      <c r="A611" s="2" t="s">
        <v>3927</v>
      </c>
      <c r="B611" s="3">
        <v>44147</v>
      </c>
      <c r="C611" s="2" t="s">
        <v>3928</v>
      </c>
      <c r="D611" t="s">
        <v>6159</v>
      </c>
      <c r="E611" s="2">
        <v>6</v>
      </c>
      <c r="F611" s="2" t="str" cm="1">
        <f t="array" ref="F611">_xlfn.XLOOKUP(C611, customers!$A$1:A1610, customers!$B$1:B1610, 0)</f>
        <v>Ancell Fendt</v>
      </c>
      <c r="G611" s="2" t="str">
        <f>IF(_xlfn.XLOOKUP(C611, customers!A610:A1610, customers!C610:C1610, 0)=0, "", _xlfn.XLOOKUP(C611, customers!A610:A1610, customers!C610:C1610, 0))</f>
        <v>afendtgx@forbes.com</v>
      </c>
      <c r="H611" s="2" t="str" cm="1">
        <f t="array" ref="H611">_xlfn.XLOOKUP(C611, customers!$A$1:A1610, customers!$G$1:G1610,, 0)</f>
        <v>United States</v>
      </c>
      <c r="I611" t="str" cm="1">
        <f t="array" ref="I611">_xlfn.XLOOKUP(orders!D611, products!$A$1:A658, products!$B$1:B658, 0)</f>
        <v>Lib</v>
      </c>
      <c r="J611" t="str" cm="1">
        <f t="array" ref="J611">_xlfn.XLOOKUP(D611, products!$A$1:A658, products!$C$1:C658, 0)</f>
        <v>M</v>
      </c>
      <c r="K611" s="4" cm="1">
        <f t="array" ref="K611">_xlfn.XLOOKUP(D611, products!$A$1:A658, products!$D$1:D658, 0)</f>
        <v>0.2</v>
      </c>
      <c r="L611" s="4" cm="1">
        <f t="array" ref="L611">_xlfn.XLOOKUP(D611, products!$A$1:A658, products!$E$1:E658)</f>
        <v>4.3650000000000002</v>
      </c>
      <c r="M611">
        <f t="shared" si="18"/>
        <v>26.19</v>
      </c>
      <c r="N611" t="str">
        <f t="shared" si="19"/>
        <v>Liberica</v>
      </c>
      <c r="O611" t="str" cm="1">
        <f t="array" ref="O611">_xlfn.IFS(J611="M", "Medium", J611="L", "Light", J611="D", "Dark")</f>
        <v>Medium</v>
      </c>
      <c r="P611" t="str">
        <f>_xlfn.XLOOKUP(Orders[[#This Row],[Customer ID]], customers!$A$2:$A$1001, customers!$I$2:$I$1001, 0)</f>
        <v>Yes</v>
      </c>
    </row>
    <row r="612" spans="1:16" x14ac:dyDescent="0.35">
      <c r="A612" s="2" t="s">
        <v>3933</v>
      </c>
      <c r="B612" s="3">
        <v>43743</v>
      </c>
      <c r="C612" s="2" t="s">
        <v>3934</v>
      </c>
      <c r="D612" t="s">
        <v>6138</v>
      </c>
      <c r="E612" s="2">
        <v>4</v>
      </c>
      <c r="F612" s="2" t="str" cm="1">
        <f t="array" ref="F612">_xlfn.XLOOKUP(C612, customers!$A$1:A1611, customers!$B$1:B1611, 0)</f>
        <v>Angelia Cleyburn</v>
      </c>
      <c r="G612" s="2" t="str">
        <f>IF(_xlfn.XLOOKUP(C612, customers!A611:A1611, customers!C611:C1611, 0)=0, "", _xlfn.XLOOKUP(C612, customers!A611:A1611, customers!C611:C1611, 0))</f>
        <v>acleyburngy@lycos.com</v>
      </c>
      <c r="H612" s="2" t="str" cm="1">
        <f t="array" ref="H612">_xlfn.XLOOKUP(C612, customers!$A$1:A1611, customers!$G$1:G1611,, 0)</f>
        <v>United States</v>
      </c>
      <c r="I612" t="str" cm="1">
        <f t="array" ref="I612">_xlfn.XLOOKUP(orders!D612, products!$A$1:A659, products!$B$1:B659, 0)</f>
        <v>Rob</v>
      </c>
      <c r="J612" t="str" cm="1">
        <f t="array" ref="J612">_xlfn.XLOOKUP(D612, products!$A$1:A659, products!$C$1:C659, 0)</f>
        <v>M</v>
      </c>
      <c r="K612" s="4" cm="1">
        <f t="array" ref="K612">_xlfn.XLOOKUP(D612, products!$A$1:A659, products!$D$1:D659, 0)</f>
        <v>1</v>
      </c>
      <c r="L612" s="4" cm="1">
        <f t="array" ref="L612">_xlfn.XLOOKUP(D612, products!$A$1:A659, products!$E$1:E659)</f>
        <v>9.9499999999999993</v>
      </c>
      <c r="M612">
        <f t="shared" si="18"/>
        <v>39.799999999999997</v>
      </c>
      <c r="N612" t="str">
        <f t="shared" si="19"/>
        <v>Robusta</v>
      </c>
      <c r="O612" t="str" cm="1">
        <f t="array" ref="O612">_xlfn.IFS(J612="M", "Medium", J612="L", "Light", J612="D", "Dark")</f>
        <v>Medium</v>
      </c>
      <c r="P612" t="str">
        <f>_xlfn.XLOOKUP(Orders[[#This Row],[Customer ID]], customers!$A$2:$A$1001, customers!$I$2:$I$1001, 0)</f>
        <v>No</v>
      </c>
    </row>
    <row r="613" spans="1:16" x14ac:dyDescent="0.35">
      <c r="A613" s="2" t="s">
        <v>3939</v>
      </c>
      <c r="B613" s="3">
        <v>43739</v>
      </c>
      <c r="C613" s="2" t="s">
        <v>3940</v>
      </c>
      <c r="D613" t="s">
        <v>6148</v>
      </c>
      <c r="E613" s="2">
        <v>2</v>
      </c>
      <c r="F613" s="2" t="str" cm="1">
        <f t="array" ref="F613">_xlfn.XLOOKUP(C613, customers!$A$1:A1612, customers!$B$1:B1612, 0)</f>
        <v>Temple Castiglione</v>
      </c>
      <c r="G613" s="2" t="str">
        <f>IF(_xlfn.XLOOKUP(C613, customers!A612:A1612, customers!C612:C1612, 0)=0, "", _xlfn.XLOOKUP(C613, customers!A612:A1612, customers!C612:C1612, 0))</f>
        <v>tcastiglionegz@xing.com</v>
      </c>
      <c r="H613" s="2" t="str" cm="1">
        <f t="array" ref="H613">_xlfn.XLOOKUP(C613, customers!$A$1:A1612, customers!$G$1:G1612,, 0)</f>
        <v>United States</v>
      </c>
      <c r="I613" t="str" cm="1">
        <f t="array" ref="I613">_xlfn.XLOOKUP(orders!D613, products!$A$1:A660, products!$B$1:B660, 0)</f>
        <v>Exc</v>
      </c>
      <c r="J613" t="str" cm="1">
        <f t="array" ref="J613">_xlfn.XLOOKUP(D613, products!$A$1:A660, products!$C$1:C660, 0)</f>
        <v>L</v>
      </c>
      <c r="K613" s="4" cm="1">
        <f t="array" ref="K613">_xlfn.XLOOKUP(D613, products!$A$1:A660, products!$D$1:D660, 0)</f>
        <v>2.5</v>
      </c>
      <c r="L613" s="4" cm="1">
        <f t="array" ref="L613">_xlfn.XLOOKUP(D613, products!$A$1:A660, products!$E$1:E660)</f>
        <v>34.154999999999994</v>
      </c>
      <c r="M613">
        <f t="shared" si="18"/>
        <v>68.309999999999988</v>
      </c>
      <c r="N613" t="str">
        <f t="shared" si="19"/>
        <v>Excelsa</v>
      </c>
      <c r="O613" t="str" cm="1">
        <f t="array" ref="O613">_xlfn.IFS(J613="M", "Medium", J613="L", "Light", J613="D", "Dark")</f>
        <v>Light</v>
      </c>
      <c r="P613" t="str">
        <f>_xlfn.XLOOKUP(Orders[[#This Row],[Customer ID]], customers!$A$2:$A$1001, customers!$I$2:$I$1001, 0)</f>
        <v>No</v>
      </c>
    </row>
    <row r="614" spans="1:16" x14ac:dyDescent="0.35">
      <c r="A614" s="2" t="s">
        <v>3945</v>
      </c>
      <c r="B614" s="3">
        <v>43896</v>
      </c>
      <c r="C614" s="2" t="s">
        <v>3946</v>
      </c>
      <c r="D614" t="s">
        <v>6152</v>
      </c>
      <c r="E614" s="2">
        <v>4</v>
      </c>
      <c r="F614" s="2" t="str" cm="1">
        <f t="array" ref="F614">_xlfn.XLOOKUP(C614, customers!$A$1:A1613, customers!$B$1:B1613, 0)</f>
        <v>Betti Lacasa</v>
      </c>
      <c r="G614" s="2" t="str">
        <f>IF(_xlfn.XLOOKUP(C614, customers!A613:A1613, customers!C613:C1613, 0)=0, "", _xlfn.XLOOKUP(C614, customers!A613:A1613, customers!C613:C1613, 0))</f>
        <v/>
      </c>
      <c r="H614" s="2" t="str" cm="1">
        <f t="array" ref="H614">_xlfn.XLOOKUP(C614, customers!$A$1:A1613, customers!$G$1:G1613,, 0)</f>
        <v>Ireland</v>
      </c>
      <c r="I614" t="str" cm="1">
        <f t="array" ref="I614">_xlfn.XLOOKUP(orders!D614, products!$A$1:A661, products!$B$1:B661, 0)</f>
        <v>Ara</v>
      </c>
      <c r="J614" t="str" cm="1">
        <f t="array" ref="J614">_xlfn.XLOOKUP(D614, products!$A$1:A661, products!$C$1:C661, 0)</f>
        <v>M</v>
      </c>
      <c r="K614" s="4" cm="1">
        <f t="array" ref="K614">_xlfn.XLOOKUP(D614, products!$A$1:A661, products!$D$1:D661, 0)</f>
        <v>0.2</v>
      </c>
      <c r="L614" s="4" cm="1">
        <f t="array" ref="L614">_xlfn.XLOOKUP(D614, products!$A$1:A661, products!$E$1:E661)</f>
        <v>3.375</v>
      </c>
      <c r="M614">
        <f t="shared" si="18"/>
        <v>13.5</v>
      </c>
      <c r="N614" t="str">
        <f t="shared" si="19"/>
        <v>Arabica</v>
      </c>
      <c r="O614" t="str" cm="1">
        <f t="array" ref="O614">_xlfn.IFS(J614="M", "Medium", J614="L", "Light", J614="D", "Dark")</f>
        <v>Medium</v>
      </c>
      <c r="P614" t="str">
        <f>_xlfn.XLOOKUP(Orders[[#This Row],[Customer ID]], customers!$A$2:$A$1001, customers!$I$2:$I$1001, 0)</f>
        <v>No</v>
      </c>
    </row>
    <row r="615" spans="1:16" x14ac:dyDescent="0.35">
      <c r="A615" s="2" t="s">
        <v>3950</v>
      </c>
      <c r="B615" s="3">
        <v>43761</v>
      </c>
      <c r="C615" s="2" t="s">
        <v>3951</v>
      </c>
      <c r="D615" t="s">
        <v>6146</v>
      </c>
      <c r="E615" s="2">
        <v>1</v>
      </c>
      <c r="F615" s="2" t="str" cm="1">
        <f t="array" ref="F615">_xlfn.XLOOKUP(C615, customers!$A$1:A1614, customers!$B$1:B1614, 0)</f>
        <v>Gunilla Lynch</v>
      </c>
      <c r="G615" s="2" t="str">
        <f>IF(_xlfn.XLOOKUP(C615, customers!A614:A1614, customers!C614:C1614, 0)=0, "", _xlfn.XLOOKUP(C615, customers!A614:A1614, customers!C614:C1614, 0))</f>
        <v/>
      </c>
      <c r="H615" s="2" t="str" cm="1">
        <f t="array" ref="H615">_xlfn.XLOOKUP(C615, customers!$A$1:A1614, customers!$G$1:G1614,, 0)</f>
        <v>United States</v>
      </c>
      <c r="I615" t="str" cm="1">
        <f t="array" ref="I615">_xlfn.XLOOKUP(orders!D615, products!$A$1:A662, products!$B$1:B662, 0)</f>
        <v>Rob</v>
      </c>
      <c r="J615" t="str" cm="1">
        <f t="array" ref="J615">_xlfn.XLOOKUP(D615, products!$A$1:A662, products!$C$1:C662, 0)</f>
        <v>M</v>
      </c>
      <c r="K615" s="4" cm="1">
        <f t="array" ref="K615">_xlfn.XLOOKUP(D615, products!$A$1:A662, products!$D$1:D662, 0)</f>
        <v>0.5</v>
      </c>
      <c r="L615" s="4" cm="1">
        <f t="array" ref="L615">_xlfn.XLOOKUP(D615, products!$A$1:A662, products!$E$1:E662)</f>
        <v>5.97</v>
      </c>
      <c r="M615">
        <f t="shared" si="18"/>
        <v>5.97</v>
      </c>
      <c r="N615" t="str">
        <f t="shared" si="19"/>
        <v>Robusta</v>
      </c>
      <c r="O615" t="str" cm="1">
        <f t="array" ref="O615">_xlfn.IFS(J615="M", "Medium", J615="L", "Light", J615="D", "Dark")</f>
        <v>Medium</v>
      </c>
      <c r="P615" t="str">
        <f>_xlfn.XLOOKUP(Orders[[#This Row],[Customer ID]], customers!$A$2:$A$1001, customers!$I$2:$I$1001, 0)</f>
        <v>No</v>
      </c>
    </row>
    <row r="616" spans="1:16" x14ac:dyDescent="0.35">
      <c r="A616" s="2" t="s">
        <v>3955</v>
      </c>
      <c r="B616" s="3">
        <v>43944</v>
      </c>
      <c r="C616" s="2" t="s">
        <v>3840</v>
      </c>
      <c r="D616" t="s">
        <v>6146</v>
      </c>
      <c r="E616" s="2">
        <v>5</v>
      </c>
      <c r="F616" s="2" t="str" cm="1">
        <f t="array" ref="F616">_xlfn.XLOOKUP(C616, customers!$A$1:A1615, customers!$B$1:B1615, 0)</f>
        <v>Cody Verissimo</v>
      </c>
      <c r="G616" s="2" t="str">
        <f>IF(_xlfn.XLOOKUP(C616, customers!A615:A1615, customers!C615:C1615, 0)=0, "", _xlfn.XLOOKUP(C616, customers!A615:A1615, customers!C615:C1615, 0))</f>
        <v/>
      </c>
      <c r="H616" s="2" t="str" cm="1">
        <f t="array" ref="H616">_xlfn.XLOOKUP(C616, customers!$A$1:A1615, customers!$G$1:G1615,, 0)</f>
        <v>United Kingdom</v>
      </c>
      <c r="I616" t="str" cm="1">
        <f t="array" ref="I616">_xlfn.XLOOKUP(orders!D616, products!$A$1:A663, products!$B$1:B663, 0)</f>
        <v>Rob</v>
      </c>
      <c r="J616" t="str" cm="1">
        <f t="array" ref="J616">_xlfn.XLOOKUP(D616, products!$A$1:A663, products!$C$1:C663, 0)</f>
        <v>M</v>
      </c>
      <c r="K616" s="4" cm="1">
        <f t="array" ref="K616">_xlfn.XLOOKUP(D616, products!$A$1:A663, products!$D$1:D663, 0)</f>
        <v>0.5</v>
      </c>
      <c r="L616" s="4" cm="1">
        <f t="array" ref="L616">_xlfn.XLOOKUP(D616, products!$A$1:A663, products!$E$1:E663)</f>
        <v>5.97</v>
      </c>
      <c r="M616">
        <f t="shared" si="18"/>
        <v>29.849999999999998</v>
      </c>
      <c r="N616" t="str">
        <f t="shared" si="19"/>
        <v>Robusta</v>
      </c>
      <c r="O616" t="str" cm="1">
        <f t="array" ref="O616">_xlfn.IFS(J616="M", "Medium", J616="L", "Light", J616="D", "Dark")</f>
        <v>Medium</v>
      </c>
      <c r="P616" t="str">
        <f>_xlfn.XLOOKUP(Orders[[#This Row],[Customer ID]], customers!$A$2:$A$1001, customers!$I$2:$I$1001, 0)</f>
        <v>Yes</v>
      </c>
    </row>
    <row r="617" spans="1:16" x14ac:dyDescent="0.35">
      <c r="A617" s="2" t="s">
        <v>3960</v>
      </c>
      <c r="B617" s="3">
        <v>44006</v>
      </c>
      <c r="C617" s="2" t="s">
        <v>3961</v>
      </c>
      <c r="D617" t="s">
        <v>6164</v>
      </c>
      <c r="E617" s="2">
        <v>2</v>
      </c>
      <c r="F617" s="2" t="str" cm="1">
        <f t="array" ref="F617">_xlfn.XLOOKUP(C617, customers!$A$1:A1616, customers!$B$1:B1616, 0)</f>
        <v>Shay Couronne</v>
      </c>
      <c r="G617" s="2" t="str">
        <f>IF(_xlfn.XLOOKUP(C617, customers!A616:A1616, customers!C616:C1616, 0)=0, "", _xlfn.XLOOKUP(C617, customers!A616:A1616, customers!C616:C1616, 0))</f>
        <v>scouronneh3@mozilla.org</v>
      </c>
      <c r="H617" s="2" t="str" cm="1">
        <f t="array" ref="H617">_xlfn.XLOOKUP(C617, customers!$A$1:A1616, customers!$G$1:G1616,, 0)</f>
        <v>United States</v>
      </c>
      <c r="I617" t="str" cm="1">
        <f t="array" ref="I617">_xlfn.XLOOKUP(orders!D617, products!$A$1:A664, products!$B$1:B664, 0)</f>
        <v>Lib</v>
      </c>
      <c r="J617" t="str" cm="1">
        <f t="array" ref="J617">_xlfn.XLOOKUP(D617, products!$A$1:A664, products!$C$1:C664, 0)</f>
        <v>L</v>
      </c>
      <c r="K617" s="4" cm="1">
        <f t="array" ref="K617">_xlfn.XLOOKUP(D617, products!$A$1:A664, products!$D$1:D664, 0)</f>
        <v>2.5</v>
      </c>
      <c r="L617" s="4" cm="1">
        <f t="array" ref="L617">_xlfn.XLOOKUP(D617, products!$A$1:A664, products!$E$1:E664)</f>
        <v>36.454999999999998</v>
      </c>
      <c r="M617">
        <f t="shared" si="18"/>
        <v>72.91</v>
      </c>
      <c r="N617" t="str">
        <f t="shared" si="19"/>
        <v>Liberica</v>
      </c>
      <c r="O617" t="str" cm="1">
        <f t="array" ref="O617">_xlfn.IFS(J617="M", "Medium", J617="L", "Light", J617="D", "Dark")</f>
        <v>Light</v>
      </c>
      <c r="P617" t="str">
        <f>_xlfn.XLOOKUP(Orders[[#This Row],[Customer ID]], customers!$A$2:$A$1001, customers!$I$2:$I$1001, 0)</f>
        <v>Yes</v>
      </c>
    </row>
    <row r="618" spans="1:16" x14ac:dyDescent="0.35">
      <c r="A618" s="2" t="s">
        <v>3966</v>
      </c>
      <c r="B618" s="3">
        <v>44271</v>
      </c>
      <c r="C618" s="2" t="s">
        <v>3967</v>
      </c>
      <c r="D618" t="s">
        <v>6166</v>
      </c>
      <c r="E618" s="2">
        <v>4</v>
      </c>
      <c r="F618" s="2" t="str" cm="1">
        <f t="array" ref="F618">_xlfn.XLOOKUP(C618, customers!$A$1:A1617, customers!$B$1:B1617, 0)</f>
        <v>Linus Flippelli</v>
      </c>
      <c r="G618" s="2" t="str">
        <f>IF(_xlfn.XLOOKUP(C618, customers!A617:A1617, customers!C617:C1617, 0)=0, "", _xlfn.XLOOKUP(C618, customers!A617:A1617, customers!C617:C1617, 0))</f>
        <v>lflippellih4@github.io</v>
      </c>
      <c r="H618" s="2" t="str" cm="1">
        <f t="array" ref="H618">_xlfn.XLOOKUP(C618, customers!$A$1:A1617, customers!$G$1:G1617,, 0)</f>
        <v>United Kingdom</v>
      </c>
      <c r="I618" t="str" cm="1">
        <f t="array" ref="I618">_xlfn.XLOOKUP(orders!D618, products!$A$1:A665, products!$B$1:B665, 0)</f>
        <v>Exc</v>
      </c>
      <c r="J618" t="str" cm="1">
        <f t="array" ref="J618">_xlfn.XLOOKUP(D618, products!$A$1:A665, products!$C$1:C665, 0)</f>
        <v>M</v>
      </c>
      <c r="K618" s="4" cm="1">
        <f t="array" ref="K618">_xlfn.XLOOKUP(D618, products!$A$1:A665, products!$D$1:D665, 0)</f>
        <v>2.5</v>
      </c>
      <c r="L618" s="4" cm="1">
        <f t="array" ref="L618">_xlfn.XLOOKUP(D618, products!$A$1:A665, products!$E$1:E665)</f>
        <v>31.624999999999996</v>
      </c>
      <c r="M618">
        <f t="shared" si="18"/>
        <v>126.49999999999999</v>
      </c>
      <c r="N618" t="str">
        <f t="shared" si="19"/>
        <v>Excelsa</v>
      </c>
      <c r="O618" t="str" cm="1">
        <f t="array" ref="O618">_xlfn.IFS(J618="M", "Medium", J618="L", "Light", J618="D", "Dark")</f>
        <v>Medium</v>
      </c>
      <c r="P618" t="str">
        <f>_xlfn.XLOOKUP(Orders[[#This Row],[Customer ID]], customers!$A$2:$A$1001, customers!$I$2:$I$1001, 0)</f>
        <v>No</v>
      </c>
    </row>
    <row r="619" spans="1:16" x14ac:dyDescent="0.35">
      <c r="A619" s="2" t="s">
        <v>3972</v>
      </c>
      <c r="B619" s="3">
        <v>43928</v>
      </c>
      <c r="C619" s="2" t="s">
        <v>3973</v>
      </c>
      <c r="D619" t="s">
        <v>6181</v>
      </c>
      <c r="E619" s="2">
        <v>1</v>
      </c>
      <c r="F619" s="2" t="str" cm="1">
        <f t="array" ref="F619">_xlfn.XLOOKUP(C619, customers!$A$1:A1618, customers!$B$1:B1618, 0)</f>
        <v>Rachelle Elizabeth</v>
      </c>
      <c r="G619" s="2" t="str">
        <f>IF(_xlfn.XLOOKUP(C619, customers!A618:A1618, customers!C618:C1618, 0)=0, "", _xlfn.XLOOKUP(C619, customers!A618:A1618, customers!C618:C1618, 0))</f>
        <v>relizabethh5@live.com</v>
      </c>
      <c r="H619" s="2" t="str" cm="1">
        <f t="array" ref="H619">_xlfn.XLOOKUP(C619, customers!$A$1:A1618, customers!$G$1:G1618,, 0)</f>
        <v>United States</v>
      </c>
      <c r="I619" t="str" cm="1">
        <f t="array" ref="I619">_xlfn.XLOOKUP(orders!D619, products!$A$1:A666, products!$B$1:B666, 0)</f>
        <v>Lib</v>
      </c>
      <c r="J619" t="str" cm="1">
        <f t="array" ref="J619">_xlfn.XLOOKUP(D619, products!$A$1:A666, products!$C$1:C666, 0)</f>
        <v>M</v>
      </c>
      <c r="K619" s="4" cm="1">
        <f t="array" ref="K619">_xlfn.XLOOKUP(D619, products!$A$1:A666, products!$D$1:D666, 0)</f>
        <v>2.5</v>
      </c>
      <c r="L619" s="4" cm="1">
        <f t="array" ref="L619">_xlfn.XLOOKUP(D619, products!$A$1:A666, products!$E$1:E666)</f>
        <v>33.464999999999996</v>
      </c>
      <c r="M619">
        <f t="shared" si="18"/>
        <v>33.464999999999996</v>
      </c>
      <c r="N619" t="str">
        <f t="shared" si="19"/>
        <v>Liberica</v>
      </c>
      <c r="O619" t="str" cm="1">
        <f t="array" ref="O619">_xlfn.IFS(J619="M", "Medium", J619="L", "Light", J619="D", "Dark")</f>
        <v>Medium</v>
      </c>
      <c r="P619" t="str">
        <f>_xlfn.XLOOKUP(Orders[[#This Row],[Customer ID]], customers!$A$2:$A$1001, customers!$I$2:$I$1001, 0)</f>
        <v>No</v>
      </c>
    </row>
    <row r="620" spans="1:16" x14ac:dyDescent="0.35">
      <c r="A620" s="2" t="s">
        <v>3978</v>
      </c>
      <c r="B620" s="3">
        <v>44469</v>
      </c>
      <c r="C620" s="2" t="s">
        <v>3979</v>
      </c>
      <c r="D620" t="s">
        <v>6183</v>
      </c>
      <c r="E620" s="2">
        <v>6</v>
      </c>
      <c r="F620" s="2" t="str" cm="1">
        <f t="array" ref="F620">_xlfn.XLOOKUP(C620, customers!$A$1:A1619, customers!$B$1:B1619, 0)</f>
        <v>Innis Renhard</v>
      </c>
      <c r="G620" s="2" t="str">
        <f>IF(_xlfn.XLOOKUP(C620, customers!A619:A1619, customers!C619:C1619, 0)=0, "", _xlfn.XLOOKUP(C620, customers!A619:A1619, customers!C619:C1619, 0))</f>
        <v>irenhardh6@i2i.jp</v>
      </c>
      <c r="H620" s="2" t="str" cm="1">
        <f t="array" ref="H620">_xlfn.XLOOKUP(C620, customers!$A$1:A1619, customers!$G$1:G1619,, 0)</f>
        <v>United States</v>
      </c>
      <c r="I620" t="str" cm="1">
        <f t="array" ref="I620">_xlfn.XLOOKUP(orders!D620, products!$A$1:A667, products!$B$1:B667, 0)</f>
        <v>Exc</v>
      </c>
      <c r="J620" t="str" cm="1">
        <f t="array" ref="J620">_xlfn.XLOOKUP(D620, products!$A$1:A667, products!$C$1:C667, 0)</f>
        <v>D</v>
      </c>
      <c r="K620" s="4" cm="1">
        <f t="array" ref="K620">_xlfn.XLOOKUP(D620, products!$A$1:A667, products!$D$1:D667, 0)</f>
        <v>1</v>
      </c>
      <c r="L620" s="4" cm="1">
        <f t="array" ref="L620">_xlfn.XLOOKUP(D620, products!$A$1:A667, products!$E$1:E667)</f>
        <v>12.15</v>
      </c>
      <c r="M620">
        <f t="shared" si="18"/>
        <v>72.900000000000006</v>
      </c>
      <c r="N620" t="str">
        <f t="shared" si="19"/>
        <v>Excelsa</v>
      </c>
      <c r="O620" t="str" cm="1">
        <f t="array" ref="O620">_xlfn.IFS(J620="M", "Medium", J620="L", "Light", J620="D", "Dark")</f>
        <v>Dark</v>
      </c>
      <c r="P620" t="str">
        <f>_xlfn.XLOOKUP(Orders[[#This Row],[Customer ID]], customers!$A$2:$A$1001, customers!$I$2:$I$1001, 0)</f>
        <v>Yes</v>
      </c>
    </row>
    <row r="621" spans="1:16" x14ac:dyDescent="0.35">
      <c r="A621" s="2" t="s">
        <v>3984</v>
      </c>
      <c r="B621" s="3">
        <v>44682</v>
      </c>
      <c r="C621" s="2" t="s">
        <v>3985</v>
      </c>
      <c r="D621" t="s">
        <v>6169</v>
      </c>
      <c r="E621" s="2">
        <v>2</v>
      </c>
      <c r="F621" s="2" t="str" cm="1">
        <f t="array" ref="F621">_xlfn.XLOOKUP(C621, customers!$A$1:A1620, customers!$B$1:B1620, 0)</f>
        <v>Winne Roche</v>
      </c>
      <c r="G621" s="2" t="str">
        <f>IF(_xlfn.XLOOKUP(C621, customers!A620:A1620, customers!C620:C1620, 0)=0, "", _xlfn.XLOOKUP(C621, customers!A620:A1620, customers!C620:C1620, 0))</f>
        <v>wrocheh7@xinhuanet.com</v>
      </c>
      <c r="H621" s="2" t="str" cm="1">
        <f t="array" ref="H621">_xlfn.XLOOKUP(C621, customers!$A$1:A1620, customers!$G$1:G1620,, 0)</f>
        <v>United States</v>
      </c>
      <c r="I621" t="str" cm="1">
        <f t="array" ref="I621">_xlfn.XLOOKUP(orders!D621, products!$A$1:A668, products!$B$1:B668, 0)</f>
        <v>Lib</v>
      </c>
      <c r="J621" t="str" cm="1">
        <f t="array" ref="J621">_xlfn.XLOOKUP(D621, products!$A$1:A668, products!$C$1:C668, 0)</f>
        <v>D</v>
      </c>
      <c r="K621" s="4" cm="1">
        <f t="array" ref="K621">_xlfn.XLOOKUP(D621, products!$A$1:A668, products!$D$1:D668, 0)</f>
        <v>0.5</v>
      </c>
      <c r="L621" s="4" cm="1">
        <f t="array" ref="L621">_xlfn.XLOOKUP(D621, products!$A$1:A668, products!$E$1:E668)</f>
        <v>7.77</v>
      </c>
      <c r="M621">
        <f t="shared" si="18"/>
        <v>15.54</v>
      </c>
      <c r="N621" t="str">
        <f t="shared" si="19"/>
        <v>Liberica</v>
      </c>
      <c r="O621" t="str" cm="1">
        <f t="array" ref="O621">_xlfn.IFS(J621="M", "Medium", J621="L", "Light", J621="D", "Dark")</f>
        <v>Dark</v>
      </c>
      <c r="P621" t="str">
        <f>_xlfn.XLOOKUP(Orders[[#This Row],[Customer ID]], customers!$A$2:$A$1001, customers!$I$2:$I$1001, 0)</f>
        <v>Yes</v>
      </c>
    </row>
    <row r="622" spans="1:16" x14ac:dyDescent="0.35">
      <c r="A622" s="2" t="s">
        <v>3990</v>
      </c>
      <c r="B622" s="3">
        <v>44217</v>
      </c>
      <c r="C622" s="2" t="s">
        <v>4042</v>
      </c>
      <c r="D622" t="s">
        <v>6152</v>
      </c>
      <c r="E622" s="2">
        <v>6</v>
      </c>
      <c r="F622" s="2" t="str" cm="1">
        <f t="array" ref="F622">_xlfn.XLOOKUP(C622, customers!$A$1:A1621, customers!$B$1:B1621, 0)</f>
        <v>Linn Alaway</v>
      </c>
      <c r="G622" s="2" t="str">
        <f>IF(_xlfn.XLOOKUP(C622, customers!A621:A1621, customers!C621:C1621, 0)=0, "", _xlfn.XLOOKUP(C622, customers!A621:A1621, customers!C621:C1621, 0))</f>
        <v>lalawayhh@weather.com</v>
      </c>
      <c r="H622" s="2" t="str" cm="1">
        <f t="array" ref="H622">_xlfn.XLOOKUP(C622, customers!$A$1:A1621, customers!$G$1:G1621,, 0)</f>
        <v>United States</v>
      </c>
      <c r="I622" t="str" cm="1">
        <f t="array" ref="I622">_xlfn.XLOOKUP(orders!D622, products!$A$1:A669, products!$B$1:B669, 0)</f>
        <v>Ara</v>
      </c>
      <c r="J622" t="str" cm="1">
        <f t="array" ref="J622">_xlfn.XLOOKUP(D622, products!$A$1:A669, products!$C$1:C669, 0)</f>
        <v>M</v>
      </c>
      <c r="K622" s="4" cm="1">
        <f t="array" ref="K622">_xlfn.XLOOKUP(D622, products!$A$1:A669, products!$D$1:D669, 0)</f>
        <v>0.2</v>
      </c>
      <c r="L622" s="4" cm="1">
        <f t="array" ref="L622">_xlfn.XLOOKUP(D622, products!$A$1:A669, products!$E$1:E669)</f>
        <v>3.375</v>
      </c>
      <c r="M622">
        <f t="shared" si="18"/>
        <v>20.25</v>
      </c>
      <c r="N622" t="str">
        <f t="shared" si="19"/>
        <v>Arabica</v>
      </c>
      <c r="O622" t="str" cm="1">
        <f t="array" ref="O622">_xlfn.IFS(J622="M", "Medium", J622="L", "Light", J622="D", "Dark")</f>
        <v>Medium</v>
      </c>
      <c r="P622" t="str">
        <f>_xlfn.XLOOKUP(Orders[[#This Row],[Customer ID]], customers!$A$2:$A$1001, customers!$I$2:$I$1001, 0)</f>
        <v>No</v>
      </c>
    </row>
    <row r="623" spans="1:16" x14ac:dyDescent="0.35">
      <c r="A623" s="2" t="s">
        <v>3996</v>
      </c>
      <c r="B623" s="3">
        <v>44006</v>
      </c>
      <c r="C623" s="2" t="s">
        <v>3997</v>
      </c>
      <c r="D623" t="s">
        <v>6140</v>
      </c>
      <c r="E623" s="2">
        <v>6</v>
      </c>
      <c r="F623" s="2" t="str" cm="1">
        <f t="array" ref="F623">_xlfn.XLOOKUP(C623, customers!$A$1:A1622, customers!$B$1:B1622, 0)</f>
        <v>Cordy Odgaard</v>
      </c>
      <c r="G623" s="2" t="str">
        <f>IF(_xlfn.XLOOKUP(C623, customers!A622:A1622, customers!C622:C1622, 0)=0, "", _xlfn.XLOOKUP(C623, customers!A622:A1622, customers!C622:C1622, 0))</f>
        <v>codgaardh9@nsw.gov.au</v>
      </c>
      <c r="H623" s="2" t="str" cm="1">
        <f t="array" ref="H623">_xlfn.XLOOKUP(C623, customers!$A$1:A1622, customers!$G$1:G1622,, 0)</f>
        <v>United States</v>
      </c>
      <c r="I623" t="str" cm="1">
        <f t="array" ref="I623">_xlfn.XLOOKUP(orders!D623, products!$A$1:A670, products!$B$1:B670, 0)</f>
        <v>Ara</v>
      </c>
      <c r="J623" t="str" cm="1">
        <f t="array" ref="J623">_xlfn.XLOOKUP(D623, products!$A$1:A670, products!$C$1:C670, 0)</f>
        <v>L</v>
      </c>
      <c r="K623" s="4" cm="1">
        <f t="array" ref="K623">_xlfn.XLOOKUP(D623, products!$A$1:A670, products!$D$1:D670, 0)</f>
        <v>1</v>
      </c>
      <c r="L623" s="4" cm="1">
        <f t="array" ref="L623">_xlfn.XLOOKUP(D623, products!$A$1:A670, products!$E$1:E670)</f>
        <v>12.95</v>
      </c>
      <c r="M623">
        <f t="shared" si="18"/>
        <v>77.699999999999989</v>
      </c>
      <c r="N623" t="str">
        <f t="shared" si="19"/>
        <v>Arabica</v>
      </c>
      <c r="O623" t="str" cm="1">
        <f t="array" ref="O623">_xlfn.IFS(J623="M", "Medium", J623="L", "Light", J623="D", "Dark")</f>
        <v>Light</v>
      </c>
      <c r="P623" t="str">
        <f>_xlfn.XLOOKUP(Orders[[#This Row],[Customer ID]], customers!$A$2:$A$1001, customers!$I$2:$I$1001, 0)</f>
        <v>No</v>
      </c>
    </row>
    <row r="624" spans="1:16" x14ac:dyDescent="0.35">
      <c r="A624" s="2" t="s">
        <v>4002</v>
      </c>
      <c r="B624" s="3">
        <v>43527</v>
      </c>
      <c r="C624" s="2" t="s">
        <v>4003</v>
      </c>
      <c r="D624" t="s">
        <v>6181</v>
      </c>
      <c r="E624" s="2">
        <v>4</v>
      </c>
      <c r="F624" s="2" t="str" cm="1">
        <f t="array" ref="F624">_xlfn.XLOOKUP(C624, customers!$A$1:A1623, customers!$B$1:B1623, 0)</f>
        <v>Bertine Byrd</v>
      </c>
      <c r="G624" s="2" t="str">
        <f>IF(_xlfn.XLOOKUP(C624, customers!A623:A1623, customers!C623:C1623, 0)=0, "", _xlfn.XLOOKUP(C624, customers!A623:A1623, customers!C623:C1623, 0))</f>
        <v>bbyrdha@4shared.com</v>
      </c>
      <c r="H624" s="2" t="str" cm="1">
        <f t="array" ref="H624">_xlfn.XLOOKUP(C624, customers!$A$1:A1623, customers!$G$1:G1623,, 0)</f>
        <v>United States</v>
      </c>
      <c r="I624" t="str" cm="1">
        <f t="array" ref="I624">_xlfn.XLOOKUP(orders!D624, products!$A$1:A671, products!$B$1:B671, 0)</f>
        <v>Lib</v>
      </c>
      <c r="J624" t="str" cm="1">
        <f t="array" ref="J624">_xlfn.XLOOKUP(D624, products!$A$1:A671, products!$C$1:C671, 0)</f>
        <v>M</v>
      </c>
      <c r="K624" s="4" cm="1">
        <f t="array" ref="K624">_xlfn.XLOOKUP(D624, products!$A$1:A671, products!$D$1:D671, 0)</f>
        <v>2.5</v>
      </c>
      <c r="L624" s="4" cm="1">
        <f t="array" ref="L624">_xlfn.XLOOKUP(D624, products!$A$1:A671, products!$E$1:E671)</f>
        <v>33.464999999999996</v>
      </c>
      <c r="M624">
        <f t="shared" si="18"/>
        <v>133.85999999999999</v>
      </c>
      <c r="N624" t="str">
        <f t="shared" si="19"/>
        <v>Liberica</v>
      </c>
      <c r="O624" t="str" cm="1">
        <f t="array" ref="O624">_xlfn.IFS(J624="M", "Medium", J624="L", "Light", J624="D", "Dark")</f>
        <v>Medium</v>
      </c>
      <c r="P624" t="str">
        <f>_xlfn.XLOOKUP(Orders[[#This Row],[Customer ID]], customers!$A$2:$A$1001, customers!$I$2:$I$1001, 0)</f>
        <v>No</v>
      </c>
    </row>
    <row r="625" spans="1:16" x14ac:dyDescent="0.35">
      <c r="A625" s="2" t="s">
        <v>4007</v>
      </c>
      <c r="B625" s="3">
        <v>44224</v>
      </c>
      <c r="C625" s="2" t="s">
        <v>4008</v>
      </c>
      <c r="D625" t="s">
        <v>6183</v>
      </c>
      <c r="E625" s="2">
        <v>1</v>
      </c>
      <c r="F625" s="2" t="str" cm="1">
        <f t="array" ref="F625">_xlfn.XLOOKUP(C625, customers!$A$1:A1624, customers!$B$1:B1624, 0)</f>
        <v>Nelie Garnson</v>
      </c>
      <c r="G625" s="2" t="str">
        <f>IF(_xlfn.XLOOKUP(C625, customers!A624:A1624, customers!C624:C1624, 0)=0, "", _xlfn.XLOOKUP(C625, customers!A624:A1624, customers!C624:C1624, 0))</f>
        <v/>
      </c>
      <c r="H625" s="2" t="str" cm="1">
        <f t="array" ref="H625">_xlfn.XLOOKUP(C625, customers!$A$1:A1624, customers!$G$1:G1624,, 0)</f>
        <v>United Kingdom</v>
      </c>
      <c r="I625" t="str" cm="1">
        <f t="array" ref="I625">_xlfn.XLOOKUP(orders!D625, products!$A$1:A672, products!$B$1:B672, 0)</f>
        <v>Exc</v>
      </c>
      <c r="J625" t="str" cm="1">
        <f t="array" ref="J625">_xlfn.XLOOKUP(D625, products!$A$1:A672, products!$C$1:C672, 0)</f>
        <v>D</v>
      </c>
      <c r="K625" s="4" cm="1">
        <f t="array" ref="K625">_xlfn.XLOOKUP(D625, products!$A$1:A672, products!$D$1:D672, 0)</f>
        <v>1</v>
      </c>
      <c r="L625" s="4" cm="1">
        <f t="array" ref="L625">_xlfn.XLOOKUP(D625, products!$A$1:A672, products!$E$1:E672)</f>
        <v>12.15</v>
      </c>
      <c r="M625">
        <f t="shared" si="18"/>
        <v>12.15</v>
      </c>
      <c r="N625" t="str">
        <f t="shared" si="19"/>
        <v>Excelsa</v>
      </c>
      <c r="O625" t="str" cm="1">
        <f t="array" ref="O625">_xlfn.IFS(J625="M", "Medium", J625="L", "Light", J625="D", "Dark")</f>
        <v>Dark</v>
      </c>
      <c r="P625" t="str">
        <f>_xlfn.XLOOKUP(Orders[[#This Row],[Customer ID]], customers!$A$2:$A$1001, customers!$I$2:$I$1001, 0)</f>
        <v>No</v>
      </c>
    </row>
    <row r="626" spans="1:16" x14ac:dyDescent="0.35">
      <c r="A626" s="2" t="s">
        <v>4012</v>
      </c>
      <c r="B626" s="3">
        <v>44010</v>
      </c>
      <c r="C626" s="2" t="s">
        <v>4013</v>
      </c>
      <c r="D626" t="s">
        <v>6166</v>
      </c>
      <c r="E626" s="2">
        <v>2</v>
      </c>
      <c r="F626" s="2" t="str" cm="1">
        <f t="array" ref="F626">_xlfn.XLOOKUP(C626, customers!$A$1:A1625, customers!$B$1:B1625, 0)</f>
        <v>Dianne Chardin</v>
      </c>
      <c r="G626" s="2" t="str">
        <f>IF(_xlfn.XLOOKUP(C626, customers!A625:A1625, customers!C625:C1625, 0)=0, "", _xlfn.XLOOKUP(C626, customers!A625:A1625, customers!C625:C1625, 0))</f>
        <v>dchardinhc@nhs.uk</v>
      </c>
      <c r="H626" s="2" t="str" cm="1">
        <f t="array" ref="H626">_xlfn.XLOOKUP(C626, customers!$A$1:A1625, customers!$G$1:G1625,, 0)</f>
        <v>Ireland</v>
      </c>
      <c r="I626" t="str" cm="1">
        <f t="array" ref="I626">_xlfn.XLOOKUP(orders!D626, products!$A$1:A673, products!$B$1:B673, 0)</f>
        <v>Exc</v>
      </c>
      <c r="J626" t="str" cm="1">
        <f t="array" ref="J626">_xlfn.XLOOKUP(D626, products!$A$1:A673, products!$C$1:C673, 0)</f>
        <v>M</v>
      </c>
      <c r="K626" s="4" cm="1">
        <f t="array" ref="K626">_xlfn.XLOOKUP(D626, products!$A$1:A673, products!$D$1:D673, 0)</f>
        <v>2.5</v>
      </c>
      <c r="L626" s="4" cm="1">
        <f t="array" ref="L626">_xlfn.XLOOKUP(D626, products!$A$1:A673, products!$E$1:E673)</f>
        <v>31.624999999999996</v>
      </c>
      <c r="M626">
        <f t="shared" si="18"/>
        <v>63.249999999999993</v>
      </c>
      <c r="N626" t="str">
        <f t="shared" si="19"/>
        <v>Excelsa</v>
      </c>
      <c r="O626" t="str" cm="1">
        <f t="array" ref="O626">_xlfn.IFS(J626="M", "Medium", J626="L", "Light", J626="D", "Dark")</f>
        <v>Medium</v>
      </c>
      <c r="P626" t="str">
        <f>_xlfn.XLOOKUP(Orders[[#This Row],[Customer ID]], customers!$A$2:$A$1001, customers!$I$2:$I$1001, 0)</f>
        <v>Yes</v>
      </c>
    </row>
    <row r="627" spans="1:16" x14ac:dyDescent="0.35">
      <c r="A627" s="2" t="s">
        <v>4017</v>
      </c>
      <c r="B627" s="3">
        <v>44017</v>
      </c>
      <c r="C627" s="2" t="s">
        <v>4018</v>
      </c>
      <c r="D627" t="s">
        <v>6173</v>
      </c>
      <c r="E627" s="2">
        <v>5</v>
      </c>
      <c r="F627" s="2" t="str" cm="1">
        <f t="array" ref="F627">_xlfn.XLOOKUP(C627, customers!$A$1:A1626, customers!$B$1:B1626, 0)</f>
        <v>Hailee Radbone</v>
      </c>
      <c r="G627" s="2" t="str">
        <f>IF(_xlfn.XLOOKUP(C627, customers!A626:A1626, customers!C626:C1626, 0)=0, "", _xlfn.XLOOKUP(C627, customers!A626:A1626, customers!C626:C1626, 0))</f>
        <v>hradbonehd@newsvine.com</v>
      </c>
      <c r="H627" s="2" t="str" cm="1">
        <f t="array" ref="H627">_xlfn.XLOOKUP(C627, customers!$A$1:A1626, customers!$G$1:G1626,, 0)</f>
        <v>United States</v>
      </c>
      <c r="I627" t="str" cm="1">
        <f t="array" ref="I627">_xlfn.XLOOKUP(orders!D627, products!$A$1:A674, products!$B$1:B674, 0)</f>
        <v>Rob</v>
      </c>
      <c r="J627" t="str" cm="1">
        <f t="array" ref="J627">_xlfn.XLOOKUP(D627, products!$A$1:A674, products!$C$1:C674, 0)</f>
        <v>L</v>
      </c>
      <c r="K627" s="4" cm="1">
        <f t="array" ref="K627">_xlfn.XLOOKUP(D627, products!$A$1:A674, products!$D$1:D674, 0)</f>
        <v>0.5</v>
      </c>
      <c r="L627" s="4" cm="1">
        <f t="array" ref="L627">_xlfn.XLOOKUP(D627, products!$A$1:A674, products!$E$1:E674)</f>
        <v>7.169999999999999</v>
      </c>
      <c r="M627">
        <f t="shared" si="18"/>
        <v>35.849999999999994</v>
      </c>
      <c r="N627" t="str">
        <f t="shared" si="19"/>
        <v>Robusta</v>
      </c>
      <c r="O627" t="str" cm="1">
        <f t="array" ref="O627">_xlfn.IFS(J627="M", "Medium", J627="L", "Light", J627="D", "Dark")</f>
        <v>Light</v>
      </c>
      <c r="P627" t="str">
        <f>_xlfn.XLOOKUP(Orders[[#This Row],[Customer ID]], customers!$A$2:$A$1001, customers!$I$2:$I$1001, 0)</f>
        <v>No</v>
      </c>
    </row>
    <row r="628" spans="1:16" x14ac:dyDescent="0.35">
      <c r="A628" s="2" t="s">
        <v>4023</v>
      </c>
      <c r="B628" s="3">
        <v>43526</v>
      </c>
      <c r="C628" s="2" t="s">
        <v>4024</v>
      </c>
      <c r="D628" t="s">
        <v>6175</v>
      </c>
      <c r="E628" s="2">
        <v>3</v>
      </c>
      <c r="F628" s="2" t="str" cm="1">
        <f t="array" ref="F628">_xlfn.XLOOKUP(C628, customers!$A$1:A1627, customers!$B$1:B1627, 0)</f>
        <v>Wallis Bernth</v>
      </c>
      <c r="G628" s="2" t="str">
        <f>IF(_xlfn.XLOOKUP(C628, customers!A627:A1627, customers!C627:C1627, 0)=0, "", _xlfn.XLOOKUP(C628, customers!A627:A1627, customers!C627:C1627, 0))</f>
        <v>wbernthhe@miitbeian.gov.cn</v>
      </c>
      <c r="H628" s="2" t="str" cm="1">
        <f t="array" ref="H628">_xlfn.XLOOKUP(C628, customers!$A$1:A1627, customers!$G$1:G1627,, 0)</f>
        <v>United States</v>
      </c>
      <c r="I628" t="str" cm="1">
        <f t="array" ref="I628">_xlfn.XLOOKUP(orders!D628, products!$A$1:A675, products!$B$1:B675, 0)</f>
        <v>Ara</v>
      </c>
      <c r="J628" t="str" cm="1">
        <f t="array" ref="J628">_xlfn.XLOOKUP(D628, products!$A$1:A675, products!$C$1:C675, 0)</f>
        <v>M</v>
      </c>
      <c r="K628" s="4" cm="1">
        <f t="array" ref="K628">_xlfn.XLOOKUP(D628, products!$A$1:A675, products!$D$1:D675, 0)</f>
        <v>2.5</v>
      </c>
      <c r="L628" s="4" cm="1">
        <f t="array" ref="L628">_xlfn.XLOOKUP(D628, products!$A$1:A675, products!$E$1:E675)</f>
        <v>25.874999999999996</v>
      </c>
      <c r="M628">
        <f t="shared" si="18"/>
        <v>77.624999999999986</v>
      </c>
      <c r="N628" t="str">
        <f t="shared" si="19"/>
        <v>Arabica</v>
      </c>
      <c r="O628" t="str" cm="1">
        <f t="array" ref="O628">_xlfn.IFS(J628="M", "Medium", J628="L", "Light", J628="D", "Dark")</f>
        <v>Medium</v>
      </c>
      <c r="P628" t="str">
        <f>_xlfn.XLOOKUP(Orders[[#This Row],[Customer ID]], customers!$A$2:$A$1001, customers!$I$2:$I$1001, 0)</f>
        <v>No</v>
      </c>
    </row>
    <row r="629" spans="1:16" x14ac:dyDescent="0.35">
      <c r="A629" s="2" t="s">
        <v>4029</v>
      </c>
      <c r="B629" s="3">
        <v>44682</v>
      </c>
      <c r="C629" s="2" t="s">
        <v>4030</v>
      </c>
      <c r="D629" t="s">
        <v>6166</v>
      </c>
      <c r="E629" s="2">
        <v>2</v>
      </c>
      <c r="F629" s="2" t="str" cm="1">
        <f t="array" ref="F629">_xlfn.XLOOKUP(C629, customers!$A$1:A1628, customers!$B$1:B1628, 0)</f>
        <v>Byron Acarson</v>
      </c>
      <c r="G629" s="2" t="str">
        <f>IF(_xlfn.XLOOKUP(C629, customers!A628:A1628, customers!C628:C1628, 0)=0, "", _xlfn.XLOOKUP(C629, customers!A628:A1628, customers!C628:C1628, 0))</f>
        <v>bacarsonhf@cnn.com</v>
      </c>
      <c r="H629" s="2" t="str" cm="1">
        <f t="array" ref="H629">_xlfn.XLOOKUP(C629, customers!$A$1:A1628, customers!$G$1:G1628,, 0)</f>
        <v>United States</v>
      </c>
      <c r="I629" t="str" cm="1">
        <f t="array" ref="I629">_xlfn.XLOOKUP(orders!D629, products!$A$1:A676, products!$B$1:B676, 0)</f>
        <v>Exc</v>
      </c>
      <c r="J629" t="str" cm="1">
        <f t="array" ref="J629">_xlfn.XLOOKUP(D629, products!$A$1:A676, products!$C$1:C676, 0)</f>
        <v>M</v>
      </c>
      <c r="K629" s="4" cm="1">
        <f t="array" ref="K629">_xlfn.XLOOKUP(D629, products!$A$1:A676, products!$D$1:D676, 0)</f>
        <v>2.5</v>
      </c>
      <c r="L629" s="4" cm="1">
        <f t="array" ref="L629">_xlfn.XLOOKUP(D629, products!$A$1:A676, products!$E$1:E676)</f>
        <v>31.624999999999996</v>
      </c>
      <c r="M629">
        <f t="shared" si="18"/>
        <v>63.249999999999993</v>
      </c>
      <c r="N629" t="str">
        <f t="shared" si="19"/>
        <v>Excelsa</v>
      </c>
      <c r="O629" t="str" cm="1">
        <f t="array" ref="O629">_xlfn.IFS(J629="M", "Medium", J629="L", "Light", J629="D", "Dark")</f>
        <v>Medium</v>
      </c>
      <c r="P629" t="str">
        <f>_xlfn.XLOOKUP(Orders[[#This Row],[Customer ID]], customers!$A$2:$A$1001, customers!$I$2:$I$1001, 0)</f>
        <v>Yes</v>
      </c>
    </row>
    <row r="630" spans="1:16" x14ac:dyDescent="0.35">
      <c r="A630" s="2" t="s">
        <v>4035</v>
      </c>
      <c r="B630" s="3">
        <v>44680</v>
      </c>
      <c r="C630" s="2" t="s">
        <v>4036</v>
      </c>
      <c r="D630" t="s">
        <v>6184</v>
      </c>
      <c r="E630" s="2">
        <v>6</v>
      </c>
      <c r="F630" s="2" t="str" cm="1">
        <f t="array" ref="F630">_xlfn.XLOOKUP(C630, customers!$A$1:A1629, customers!$B$1:B1629, 0)</f>
        <v>Faunie Brigham</v>
      </c>
      <c r="G630" s="2" t="str">
        <f>IF(_xlfn.XLOOKUP(C630, customers!A629:A1629, customers!C629:C1629, 0)=0, "", _xlfn.XLOOKUP(C630, customers!A629:A1629, customers!C629:C1629, 0))</f>
        <v>fbrighamhg@blog.com</v>
      </c>
      <c r="H630" s="2" t="str" cm="1">
        <f t="array" ref="H630">_xlfn.XLOOKUP(C630, customers!$A$1:A1629, customers!$G$1:G1629,, 0)</f>
        <v>Ireland</v>
      </c>
      <c r="I630" t="str" cm="1">
        <f t="array" ref="I630">_xlfn.XLOOKUP(orders!D630, products!$A$1:A677, products!$B$1:B677, 0)</f>
        <v>Exc</v>
      </c>
      <c r="J630" t="str" cm="1">
        <f t="array" ref="J630">_xlfn.XLOOKUP(D630, products!$A$1:A677, products!$C$1:C677, 0)</f>
        <v>L</v>
      </c>
      <c r="K630" s="4" cm="1">
        <f t="array" ref="K630">_xlfn.XLOOKUP(D630, products!$A$1:A677, products!$D$1:D677, 0)</f>
        <v>0.2</v>
      </c>
      <c r="L630" s="4" cm="1">
        <f t="array" ref="L630">_xlfn.XLOOKUP(D630, products!$A$1:A677, products!$E$1:E677)</f>
        <v>4.4550000000000001</v>
      </c>
      <c r="M630">
        <f t="shared" si="18"/>
        <v>26.73</v>
      </c>
      <c r="N630" t="str">
        <f t="shared" si="19"/>
        <v>Excelsa</v>
      </c>
      <c r="O630" t="str" cm="1">
        <f t="array" ref="O630">_xlfn.IFS(J630="M", "Medium", J630="L", "Light", J630="D", "Dark")</f>
        <v>Light</v>
      </c>
      <c r="P630" t="str">
        <f>_xlfn.XLOOKUP(Orders[[#This Row],[Customer ID]], customers!$A$2:$A$1001, customers!$I$2:$I$1001, 0)</f>
        <v>Yes</v>
      </c>
    </row>
    <row r="631" spans="1:16" x14ac:dyDescent="0.35">
      <c r="A631" s="2" t="s">
        <v>4035</v>
      </c>
      <c r="B631" s="3">
        <v>44680</v>
      </c>
      <c r="C631" s="2" t="s">
        <v>4036</v>
      </c>
      <c r="D631" t="s">
        <v>6169</v>
      </c>
      <c r="E631" s="2">
        <v>4</v>
      </c>
      <c r="F631" s="2" t="str" cm="1">
        <f t="array" ref="F631">_xlfn.XLOOKUP(C631, customers!$A$1:A1630, customers!$B$1:B1630, 0)</f>
        <v>Faunie Brigham</v>
      </c>
      <c r="G631" s="2" t="str">
        <f>IF(_xlfn.XLOOKUP(C631, customers!A630:A1630, customers!C630:C1630, 0)=0, "", _xlfn.XLOOKUP(C631, customers!A630:A1630, customers!C630:C1630, 0))</f>
        <v>fbrighamhg@blog.com</v>
      </c>
      <c r="H631" s="2" t="str" cm="1">
        <f t="array" ref="H631">_xlfn.XLOOKUP(C631, customers!$A$1:A1630, customers!$G$1:G1630,, 0)</f>
        <v>Ireland</v>
      </c>
      <c r="I631" t="str" cm="1">
        <f t="array" ref="I631">_xlfn.XLOOKUP(orders!D631, products!$A$1:A678, products!$B$1:B678, 0)</f>
        <v>Lib</v>
      </c>
      <c r="J631" t="str" cm="1">
        <f t="array" ref="J631">_xlfn.XLOOKUP(D631, products!$A$1:A678, products!$C$1:C678, 0)</f>
        <v>D</v>
      </c>
      <c r="K631" s="4" cm="1">
        <f t="array" ref="K631">_xlfn.XLOOKUP(D631, products!$A$1:A678, products!$D$1:D678, 0)</f>
        <v>0.5</v>
      </c>
      <c r="L631" s="4" cm="1">
        <f t="array" ref="L631">_xlfn.XLOOKUP(D631, products!$A$1:A678, products!$E$1:E678)</f>
        <v>7.77</v>
      </c>
      <c r="M631">
        <f t="shared" si="18"/>
        <v>31.08</v>
      </c>
      <c r="N631" t="str">
        <f t="shared" si="19"/>
        <v>Liberica</v>
      </c>
      <c r="O631" t="str" cm="1">
        <f t="array" ref="O631">_xlfn.IFS(J631="M", "Medium", J631="L", "Light", J631="D", "Dark")</f>
        <v>Dark</v>
      </c>
      <c r="P631" t="str">
        <f>_xlfn.XLOOKUP(Orders[[#This Row],[Customer ID]], customers!$A$2:$A$1001, customers!$I$2:$I$1001, 0)</f>
        <v>Yes</v>
      </c>
    </row>
    <row r="632" spans="1:16" x14ac:dyDescent="0.35">
      <c r="A632" s="2" t="s">
        <v>4035</v>
      </c>
      <c r="B632" s="3">
        <v>44680</v>
      </c>
      <c r="C632" s="2" t="s">
        <v>4036</v>
      </c>
      <c r="D632" t="s">
        <v>6154</v>
      </c>
      <c r="E632" s="2">
        <v>1</v>
      </c>
      <c r="F632" s="2" t="str" cm="1">
        <f t="array" ref="F632">_xlfn.XLOOKUP(C632, customers!$A$1:A1631, customers!$B$1:B1631, 0)</f>
        <v>Faunie Brigham</v>
      </c>
      <c r="G632" s="2" t="str">
        <f>IF(_xlfn.XLOOKUP(C632, customers!A631:A1631, customers!C631:C1631, 0)=0, "", _xlfn.XLOOKUP(C632, customers!A631:A1631, customers!C631:C1631, 0))</f>
        <v/>
      </c>
      <c r="H632" s="2" t="str" cm="1">
        <f t="array" ref="H632">_xlfn.XLOOKUP(C632, customers!$A$1:A1631, customers!$G$1:G1631,, 0)</f>
        <v>Ireland</v>
      </c>
      <c r="I632" t="str" cm="1">
        <f t="array" ref="I632">_xlfn.XLOOKUP(orders!D632, products!$A$1:A679, products!$B$1:B679, 0)</f>
        <v>Ara</v>
      </c>
      <c r="J632" t="str" cm="1">
        <f t="array" ref="J632">_xlfn.XLOOKUP(D632, products!$A$1:A679, products!$C$1:C679, 0)</f>
        <v>D</v>
      </c>
      <c r="K632" s="4" cm="1">
        <f t="array" ref="K632">_xlfn.XLOOKUP(D632, products!$A$1:A679, products!$D$1:D679, 0)</f>
        <v>0.2</v>
      </c>
      <c r="L632" s="4" cm="1">
        <f t="array" ref="L632">_xlfn.XLOOKUP(D632, products!$A$1:A679, products!$E$1:E679)</f>
        <v>2.9849999999999999</v>
      </c>
      <c r="M632">
        <f t="shared" si="18"/>
        <v>2.9849999999999999</v>
      </c>
      <c r="N632" t="str">
        <f t="shared" si="19"/>
        <v>Arabica</v>
      </c>
      <c r="O632" t="str" cm="1">
        <f t="array" ref="O632">_xlfn.IFS(J632="M", "Medium", J632="L", "Light", J632="D", "Dark")</f>
        <v>Dark</v>
      </c>
      <c r="P632" t="str">
        <f>_xlfn.XLOOKUP(Orders[[#This Row],[Customer ID]], customers!$A$2:$A$1001, customers!$I$2:$I$1001, 0)</f>
        <v>Yes</v>
      </c>
    </row>
    <row r="633" spans="1:16" x14ac:dyDescent="0.35">
      <c r="A633" s="2" t="s">
        <v>4035</v>
      </c>
      <c r="B633" s="3">
        <v>44680</v>
      </c>
      <c r="C633" s="2" t="s">
        <v>4036</v>
      </c>
      <c r="D633" t="s">
        <v>6149</v>
      </c>
      <c r="E633" s="2">
        <v>5</v>
      </c>
      <c r="F633" s="2" t="str" cm="1">
        <f t="array" ref="F633">_xlfn.XLOOKUP(C633, customers!$A$1:A1632, customers!$B$1:B1632, 0)</f>
        <v>Faunie Brigham</v>
      </c>
      <c r="G633" s="2" t="str">
        <f>IF(_xlfn.XLOOKUP(C633, customers!A632:A1632, customers!C632:C1632, 0)=0, "", _xlfn.XLOOKUP(C633, customers!A632:A1632, customers!C632:C1632, 0))</f>
        <v/>
      </c>
      <c r="H633" s="2" t="str" cm="1">
        <f t="array" ref="H633">_xlfn.XLOOKUP(C633, customers!$A$1:A1632, customers!$G$1:G1632,, 0)</f>
        <v>Ireland</v>
      </c>
      <c r="I633" t="str" cm="1">
        <f t="array" ref="I633">_xlfn.XLOOKUP(orders!D633, products!$A$1:A680, products!$B$1:B680, 0)</f>
        <v>Rob</v>
      </c>
      <c r="J633" t="str" cm="1">
        <f t="array" ref="J633">_xlfn.XLOOKUP(D633, products!$A$1:A680, products!$C$1:C680, 0)</f>
        <v>D</v>
      </c>
      <c r="K633" s="4" cm="1">
        <f t="array" ref="K633">_xlfn.XLOOKUP(D633, products!$A$1:A680, products!$D$1:D680, 0)</f>
        <v>2.5</v>
      </c>
      <c r="L633" s="4" cm="1">
        <f t="array" ref="L633">_xlfn.XLOOKUP(D633, products!$A$1:A680, products!$E$1:E680)</f>
        <v>20.584999999999997</v>
      </c>
      <c r="M633">
        <f t="shared" si="18"/>
        <v>102.92499999999998</v>
      </c>
      <c r="N633" t="str">
        <f t="shared" si="19"/>
        <v>Robusta</v>
      </c>
      <c r="O633" t="str" cm="1">
        <f t="array" ref="O633">_xlfn.IFS(J633="M", "Medium", J633="L", "Light", J633="D", "Dark")</f>
        <v>Dark</v>
      </c>
      <c r="P633" t="str">
        <f>_xlfn.XLOOKUP(Orders[[#This Row],[Customer ID]], customers!$A$2:$A$1001, customers!$I$2:$I$1001, 0)</f>
        <v>Yes</v>
      </c>
    </row>
    <row r="634" spans="1:16" x14ac:dyDescent="0.35">
      <c r="A634" s="2" t="s">
        <v>4056</v>
      </c>
      <c r="B634" s="3">
        <v>44049</v>
      </c>
      <c r="C634" s="2" t="s">
        <v>4057</v>
      </c>
      <c r="D634" t="s">
        <v>6176</v>
      </c>
      <c r="E634" s="2">
        <v>4</v>
      </c>
      <c r="F634" s="2" t="str" cm="1">
        <f t="array" ref="F634">_xlfn.XLOOKUP(C634, customers!$A$1:A1633, customers!$B$1:B1633, 0)</f>
        <v>Marjorie Yoxen</v>
      </c>
      <c r="G634" s="2" t="str">
        <f>IF(_xlfn.XLOOKUP(C634, customers!A633:A1633, customers!C633:C1633, 0)=0, "", _xlfn.XLOOKUP(C634, customers!A633:A1633, customers!C633:C1633, 0))</f>
        <v>myoxenhk@google.com</v>
      </c>
      <c r="H634" s="2" t="str" cm="1">
        <f t="array" ref="H634">_xlfn.XLOOKUP(C634, customers!$A$1:A1633, customers!$G$1:G1633,, 0)</f>
        <v>United States</v>
      </c>
      <c r="I634" t="str" cm="1">
        <f t="array" ref="I634">_xlfn.XLOOKUP(orders!D634, products!$A$1:A681, products!$B$1:B681, 0)</f>
        <v>Exc</v>
      </c>
      <c r="J634" t="str" cm="1">
        <f t="array" ref="J634">_xlfn.XLOOKUP(D634, products!$A$1:A681, products!$C$1:C681, 0)</f>
        <v>L</v>
      </c>
      <c r="K634" s="4" cm="1">
        <f t="array" ref="K634">_xlfn.XLOOKUP(D634, products!$A$1:A681, products!$D$1:D681, 0)</f>
        <v>0.5</v>
      </c>
      <c r="L634" s="4" cm="1">
        <f t="array" ref="L634">_xlfn.XLOOKUP(D634, products!$A$1:A681, products!$E$1:E681)</f>
        <v>8.91</v>
      </c>
      <c r="M634">
        <f t="shared" si="18"/>
        <v>35.64</v>
      </c>
      <c r="N634" t="str">
        <f t="shared" si="19"/>
        <v>Excelsa</v>
      </c>
      <c r="O634" t="str" cm="1">
        <f t="array" ref="O634">_xlfn.IFS(J634="M", "Medium", J634="L", "Light", J634="D", "Dark")</f>
        <v>Light</v>
      </c>
      <c r="P634" t="str">
        <f>_xlfn.XLOOKUP(Orders[[#This Row],[Customer ID]], customers!$A$2:$A$1001, customers!$I$2:$I$1001, 0)</f>
        <v>No</v>
      </c>
    </row>
    <row r="635" spans="1:16" x14ac:dyDescent="0.35">
      <c r="A635" s="2" t="s">
        <v>4062</v>
      </c>
      <c r="B635" s="3">
        <v>43820</v>
      </c>
      <c r="C635" s="2" t="s">
        <v>4063</v>
      </c>
      <c r="D635" t="s">
        <v>6179</v>
      </c>
      <c r="E635" s="2">
        <v>4</v>
      </c>
      <c r="F635" s="2" t="str" cm="1">
        <f t="array" ref="F635">_xlfn.XLOOKUP(C635, customers!$A$1:A1634, customers!$B$1:B1634, 0)</f>
        <v>Gaspar McGavin</v>
      </c>
      <c r="G635" s="2" t="str">
        <f>IF(_xlfn.XLOOKUP(C635, customers!A634:A1634, customers!C634:C1634, 0)=0, "", _xlfn.XLOOKUP(C635, customers!A634:A1634, customers!C634:C1634, 0))</f>
        <v>gmcgavinhl@histats.com</v>
      </c>
      <c r="H635" s="2" t="str" cm="1">
        <f t="array" ref="H635">_xlfn.XLOOKUP(C635, customers!$A$1:A1634, customers!$G$1:G1634,, 0)</f>
        <v>United States</v>
      </c>
      <c r="I635" t="str" cm="1">
        <f t="array" ref="I635">_xlfn.XLOOKUP(orders!D635, products!$A$1:A682, products!$B$1:B682, 0)</f>
        <v>Rob</v>
      </c>
      <c r="J635" t="str" cm="1">
        <f t="array" ref="J635">_xlfn.XLOOKUP(D635, products!$A$1:A682, products!$C$1:C682, 0)</f>
        <v>L</v>
      </c>
      <c r="K635" s="4" cm="1">
        <f t="array" ref="K635">_xlfn.XLOOKUP(D635, products!$A$1:A682, products!$D$1:D682, 0)</f>
        <v>1</v>
      </c>
      <c r="L635" s="4" cm="1">
        <f t="array" ref="L635">_xlfn.XLOOKUP(D635, products!$A$1:A682, products!$E$1:E682)</f>
        <v>11.95</v>
      </c>
      <c r="M635">
        <f t="shared" si="18"/>
        <v>47.8</v>
      </c>
      <c r="N635" t="str">
        <f t="shared" si="19"/>
        <v>Robusta</v>
      </c>
      <c r="O635" t="str" cm="1">
        <f t="array" ref="O635">_xlfn.IFS(J635="M", "Medium", J635="L", "Light", J635="D", "Dark")</f>
        <v>Light</v>
      </c>
      <c r="P635" t="str">
        <f>_xlfn.XLOOKUP(Orders[[#This Row],[Customer ID]], customers!$A$2:$A$1001, customers!$I$2:$I$1001, 0)</f>
        <v>No</v>
      </c>
    </row>
    <row r="636" spans="1:16" x14ac:dyDescent="0.35">
      <c r="A636" s="2" t="s">
        <v>4068</v>
      </c>
      <c r="B636" s="3">
        <v>43940</v>
      </c>
      <c r="C636" s="2" t="s">
        <v>4069</v>
      </c>
      <c r="D636" t="s">
        <v>6162</v>
      </c>
      <c r="E636" s="2">
        <v>3</v>
      </c>
      <c r="F636" s="2" t="str" cm="1">
        <f t="array" ref="F636">_xlfn.XLOOKUP(C636, customers!$A$1:A1635, customers!$B$1:B1635, 0)</f>
        <v>Lindy Uttermare</v>
      </c>
      <c r="G636" s="2" t="str">
        <f>IF(_xlfn.XLOOKUP(C636, customers!A635:A1635, customers!C635:C1635, 0)=0, "", _xlfn.XLOOKUP(C636, customers!A635:A1635, customers!C635:C1635, 0))</f>
        <v>luttermarehm@engadget.com</v>
      </c>
      <c r="H636" s="2" t="str" cm="1">
        <f t="array" ref="H636">_xlfn.XLOOKUP(C636, customers!$A$1:A1635, customers!$G$1:G1635,, 0)</f>
        <v>United States</v>
      </c>
      <c r="I636" t="str" cm="1">
        <f t="array" ref="I636">_xlfn.XLOOKUP(orders!D636, products!$A$1:A683, products!$B$1:B683, 0)</f>
        <v>Lib</v>
      </c>
      <c r="J636" t="str" cm="1">
        <f t="array" ref="J636">_xlfn.XLOOKUP(D636, products!$A$1:A683, products!$C$1:C683, 0)</f>
        <v>M</v>
      </c>
      <c r="K636" s="4" cm="1">
        <f t="array" ref="K636">_xlfn.XLOOKUP(D636, products!$A$1:A683, products!$D$1:D683, 0)</f>
        <v>1</v>
      </c>
      <c r="L636" s="4" cm="1">
        <f t="array" ref="L636">_xlfn.XLOOKUP(D636, products!$A$1:A683, products!$E$1:E683)</f>
        <v>14.55</v>
      </c>
      <c r="M636">
        <f t="shared" si="18"/>
        <v>43.650000000000006</v>
      </c>
      <c r="N636" t="str">
        <f t="shared" si="19"/>
        <v>Liberica</v>
      </c>
      <c r="O636" t="str" cm="1">
        <f t="array" ref="O636">_xlfn.IFS(J636="M", "Medium", J636="L", "Light", J636="D", "Dark")</f>
        <v>Medium</v>
      </c>
      <c r="P636" t="str">
        <f>_xlfn.XLOOKUP(Orders[[#This Row],[Customer ID]], customers!$A$2:$A$1001, customers!$I$2:$I$1001, 0)</f>
        <v>No</v>
      </c>
    </row>
    <row r="637" spans="1:16" x14ac:dyDescent="0.35">
      <c r="A637" s="2" t="s">
        <v>4074</v>
      </c>
      <c r="B637" s="3">
        <v>44578</v>
      </c>
      <c r="C637" s="2" t="s">
        <v>4075</v>
      </c>
      <c r="D637" t="s">
        <v>6176</v>
      </c>
      <c r="E637" s="2">
        <v>4</v>
      </c>
      <c r="F637" s="2" t="str" cm="1">
        <f t="array" ref="F637">_xlfn.XLOOKUP(C637, customers!$A$1:A1636, customers!$B$1:B1636, 0)</f>
        <v>Eal D'Ambrogio</v>
      </c>
      <c r="G637" s="2" t="str">
        <f>IF(_xlfn.XLOOKUP(C637, customers!A636:A1636, customers!C636:C1636, 0)=0, "", _xlfn.XLOOKUP(C637, customers!A636:A1636, customers!C636:C1636, 0))</f>
        <v>edambrogiohn@techcrunch.com</v>
      </c>
      <c r="H637" s="2" t="str" cm="1">
        <f t="array" ref="H637">_xlfn.XLOOKUP(C637, customers!$A$1:A1636, customers!$G$1:G1636,, 0)</f>
        <v>United States</v>
      </c>
      <c r="I637" t="str" cm="1">
        <f t="array" ref="I637">_xlfn.XLOOKUP(orders!D637, products!$A$1:A684, products!$B$1:B684, 0)</f>
        <v>Exc</v>
      </c>
      <c r="J637" t="str" cm="1">
        <f t="array" ref="J637">_xlfn.XLOOKUP(D637, products!$A$1:A684, products!$C$1:C684, 0)</f>
        <v>L</v>
      </c>
      <c r="K637" s="4" cm="1">
        <f t="array" ref="K637">_xlfn.XLOOKUP(D637, products!$A$1:A684, products!$D$1:D684, 0)</f>
        <v>0.5</v>
      </c>
      <c r="L637" s="4" cm="1">
        <f t="array" ref="L637">_xlfn.XLOOKUP(D637, products!$A$1:A684, products!$E$1:E684)</f>
        <v>8.91</v>
      </c>
      <c r="M637">
        <f t="shared" si="18"/>
        <v>35.64</v>
      </c>
      <c r="N637" t="str">
        <f t="shared" si="19"/>
        <v>Excelsa</v>
      </c>
      <c r="O637" t="str" cm="1">
        <f t="array" ref="O637">_xlfn.IFS(J637="M", "Medium", J637="L", "Light", J637="D", "Dark")</f>
        <v>Light</v>
      </c>
      <c r="P637" t="str">
        <f>_xlfn.XLOOKUP(Orders[[#This Row],[Customer ID]], customers!$A$2:$A$1001, customers!$I$2:$I$1001, 0)</f>
        <v>Yes</v>
      </c>
    </row>
    <row r="638" spans="1:16" x14ac:dyDescent="0.35">
      <c r="A638" s="2" t="s">
        <v>4080</v>
      </c>
      <c r="B638" s="3">
        <v>43487</v>
      </c>
      <c r="C638" s="2" t="s">
        <v>4081</v>
      </c>
      <c r="D638" t="s">
        <v>6170</v>
      </c>
      <c r="E638" s="2">
        <v>6</v>
      </c>
      <c r="F638" s="2" t="str" cm="1">
        <f t="array" ref="F638">_xlfn.XLOOKUP(C638, customers!$A$1:A1637, customers!$B$1:B1637, 0)</f>
        <v>Carolee Winchcombe</v>
      </c>
      <c r="G638" s="2" t="str">
        <f>IF(_xlfn.XLOOKUP(C638, customers!A637:A1637, customers!C637:C1637, 0)=0, "", _xlfn.XLOOKUP(C638, customers!A637:A1637, customers!C637:C1637, 0))</f>
        <v>cwinchcombeho@jiathis.com</v>
      </c>
      <c r="H638" s="2" t="str" cm="1">
        <f t="array" ref="H638">_xlfn.XLOOKUP(C638, customers!$A$1:A1637, customers!$G$1:G1637,, 0)</f>
        <v>United States</v>
      </c>
      <c r="I638" t="str" cm="1">
        <f t="array" ref="I638">_xlfn.XLOOKUP(orders!D638, products!$A$1:A685, products!$B$1:B685, 0)</f>
        <v>Lib</v>
      </c>
      <c r="J638" t="str" cm="1">
        <f t="array" ref="J638">_xlfn.XLOOKUP(D638, products!$A$1:A685, products!$C$1:C685, 0)</f>
        <v>L</v>
      </c>
      <c r="K638" s="4" cm="1">
        <f t="array" ref="K638">_xlfn.XLOOKUP(D638, products!$A$1:A685, products!$D$1:D685, 0)</f>
        <v>1</v>
      </c>
      <c r="L638" s="4" cm="1">
        <f t="array" ref="L638">_xlfn.XLOOKUP(D638, products!$A$1:A685, products!$E$1:E685)</f>
        <v>15.85</v>
      </c>
      <c r="M638">
        <f t="shared" si="18"/>
        <v>95.1</v>
      </c>
      <c r="N638" t="str">
        <f t="shared" si="19"/>
        <v>Liberica</v>
      </c>
      <c r="O638" t="str" cm="1">
        <f t="array" ref="O638">_xlfn.IFS(J638="M", "Medium", J638="L", "Light", J638="D", "Dark")</f>
        <v>Light</v>
      </c>
      <c r="P638" t="str">
        <f>_xlfn.XLOOKUP(Orders[[#This Row],[Customer ID]], customers!$A$2:$A$1001, customers!$I$2:$I$1001, 0)</f>
        <v>Yes</v>
      </c>
    </row>
    <row r="639" spans="1:16" x14ac:dyDescent="0.35">
      <c r="A639" s="2" t="s">
        <v>4086</v>
      </c>
      <c r="B639" s="3">
        <v>43889</v>
      </c>
      <c r="C639" s="2" t="s">
        <v>4087</v>
      </c>
      <c r="D639" t="s">
        <v>6166</v>
      </c>
      <c r="E639" s="2">
        <v>1</v>
      </c>
      <c r="F639" s="2" t="str" cm="1">
        <f t="array" ref="F639">_xlfn.XLOOKUP(C639, customers!$A$1:A1638, customers!$B$1:B1638, 0)</f>
        <v>Benedikta Paumier</v>
      </c>
      <c r="G639" s="2" t="str">
        <f>IF(_xlfn.XLOOKUP(C639, customers!A638:A1638, customers!C638:C1638, 0)=0, "", _xlfn.XLOOKUP(C639, customers!A638:A1638, customers!C638:C1638, 0))</f>
        <v>bpaumierhp@umn.edu</v>
      </c>
      <c r="H639" s="2" t="str" cm="1">
        <f t="array" ref="H639">_xlfn.XLOOKUP(C639, customers!$A$1:A1638, customers!$G$1:G1638,, 0)</f>
        <v>Ireland</v>
      </c>
      <c r="I639" t="str" cm="1">
        <f t="array" ref="I639">_xlfn.XLOOKUP(orders!D639, products!$A$1:A686, products!$B$1:B686, 0)</f>
        <v>Exc</v>
      </c>
      <c r="J639" t="str" cm="1">
        <f t="array" ref="J639">_xlfn.XLOOKUP(D639, products!$A$1:A686, products!$C$1:C686, 0)</f>
        <v>M</v>
      </c>
      <c r="K639" s="4" cm="1">
        <f t="array" ref="K639">_xlfn.XLOOKUP(D639, products!$A$1:A686, products!$D$1:D686, 0)</f>
        <v>2.5</v>
      </c>
      <c r="L639" s="4" cm="1">
        <f t="array" ref="L639">_xlfn.XLOOKUP(D639, products!$A$1:A686, products!$E$1:E686)</f>
        <v>31.624999999999996</v>
      </c>
      <c r="M639">
        <f t="shared" si="18"/>
        <v>31.624999999999996</v>
      </c>
      <c r="N639" t="str">
        <f t="shared" si="19"/>
        <v>Excelsa</v>
      </c>
      <c r="O639" t="str" cm="1">
        <f t="array" ref="O639">_xlfn.IFS(J639="M", "Medium", J639="L", "Light", J639="D", "Dark")</f>
        <v>Medium</v>
      </c>
      <c r="P639" t="str">
        <f>_xlfn.XLOOKUP(Orders[[#This Row],[Customer ID]], customers!$A$2:$A$1001, customers!$I$2:$I$1001, 0)</f>
        <v>Yes</v>
      </c>
    </row>
    <row r="640" spans="1:16" x14ac:dyDescent="0.35">
      <c r="A640" s="2" t="s">
        <v>4093</v>
      </c>
      <c r="B640" s="3">
        <v>43684</v>
      </c>
      <c r="C640" s="2" t="s">
        <v>4094</v>
      </c>
      <c r="D640" t="s">
        <v>6175</v>
      </c>
      <c r="E640" s="2">
        <v>3</v>
      </c>
      <c r="F640" s="2" t="str" cm="1">
        <f t="array" ref="F640">_xlfn.XLOOKUP(C640, customers!$A$1:A1639, customers!$B$1:B1639, 0)</f>
        <v>Neville Piatto</v>
      </c>
      <c r="G640" s="2" t="str">
        <f>IF(_xlfn.XLOOKUP(C640, customers!A639:A1639, customers!C639:C1639, 0)=0, "", _xlfn.XLOOKUP(C640, customers!A639:A1639, customers!C639:C1639, 0))</f>
        <v/>
      </c>
      <c r="H640" s="2" t="str" cm="1">
        <f t="array" ref="H640">_xlfn.XLOOKUP(C640, customers!$A$1:A1639, customers!$G$1:G1639,, 0)</f>
        <v>Ireland</v>
      </c>
      <c r="I640" t="str" cm="1">
        <f t="array" ref="I640">_xlfn.XLOOKUP(orders!D640, products!$A$1:A687, products!$B$1:B687, 0)</f>
        <v>Ara</v>
      </c>
      <c r="J640" t="str" cm="1">
        <f t="array" ref="J640">_xlfn.XLOOKUP(D640, products!$A$1:A687, products!$C$1:C687, 0)</f>
        <v>M</v>
      </c>
      <c r="K640" s="4" cm="1">
        <f t="array" ref="K640">_xlfn.XLOOKUP(D640, products!$A$1:A687, products!$D$1:D687, 0)</f>
        <v>2.5</v>
      </c>
      <c r="L640" s="4" cm="1">
        <f t="array" ref="L640">_xlfn.XLOOKUP(D640, products!$A$1:A687, products!$E$1:E687)</f>
        <v>25.874999999999996</v>
      </c>
      <c r="M640">
        <f t="shared" si="18"/>
        <v>77.624999999999986</v>
      </c>
      <c r="N640" t="str">
        <f t="shared" si="19"/>
        <v>Arabica</v>
      </c>
      <c r="O640" t="str" cm="1">
        <f t="array" ref="O640">_xlfn.IFS(J640="M", "Medium", J640="L", "Light", J640="D", "Dark")</f>
        <v>Medium</v>
      </c>
      <c r="P640" t="str">
        <f>_xlfn.XLOOKUP(Orders[[#This Row],[Customer ID]], customers!$A$2:$A$1001, customers!$I$2:$I$1001, 0)</f>
        <v>Yes</v>
      </c>
    </row>
    <row r="641" spans="1:16" x14ac:dyDescent="0.35">
      <c r="A641" s="2" t="s">
        <v>4098</v>
      </c>
      <c r="B641" s="3">
        <v>44331</v>
      </c>
      <c r="C641" s="2" t="s">
        <v>4099</v>
      </c>
      <c r="D641" t="s">
        <v>6150</v>
      </c>
      <c r="E641" s="2">
        <v>1</v>
      </c>
      <c r="F641" s="2" t="str" cm="1">
        <f t="array" ref="F641">_xlfn.XLOOKUP(C641, customers!$A$1:A1640, customers!$B$1:B1640, 0)</f>
        <v>Jeno Capey</v>
      </c>
      <c r="G641" s="2" t="str">
        <f>IF(_xlfn.XLOOKUP(C641, customers!A640:A1640, customers!C640:C1640, 0)=0, "", _xlfn.XLOOKUP(C641, customers!A640:A1640, customers!C640:C1640, 0))</f>
        <v>jcapeyhr@bravesites.com</v>
      </c>
      <c r="H641" s="2" t="str" cm="1">
        <f t="array" ref="H641">_xlfn.XLOOKUP(C641, customers!$A$1:A1640, customers!$G$1:G1640,, 0)</f>
        <v>United States</v>
      </c>
      <c r="I641" t="str" cm="1">
        <f t="array" ref="I641">_xlfn.XLOOKUP(orders!D641, products!$A$1:A688, products!$B$1:B688, 0)</f>
        <v>Lib</v>
      </c>
      <c r="J641" t="str" cm="1">
        <f t="array" ref="J641">_xlfn.XLOOKUP(D641, products!$A$1:A688, products!$C$1:C688, 0)</f>
        <v>D</v>
      </c>
      <c r="K641" s="4" cm="1">
        <f t="array" ref="K641">_xlfn.XLOOKUP(D641, products!$A$1:A688, products!$D$1:D688, 0)</f>
        <v>0.2</v>
      </c>
      <c r="L641" s="4" cm="1">
        <f t="array" ref="L641">_xlfn.XLOOKUP(D641, products!$A$1:A688, products!$E$1:E688)</f>
        <v>3.8849999999999998</v>
      </c>
      <c r="M641">
        <f t="shared" si="18"/>
        <v>3.8849999999999998</v>
      </c>
      <c r="N641" t="str">
        <f t="shared" si="19"/>
        <v>Liberica</v>
      </c>
      <c r="O641" t="str" cm="1">
        <f t="array" ref="O641">_xlfn.IFS(J641="M", "Medium", J641="L", "Light", J641="D", "Dark")</f>
        <v>Dark</v>
      </c>
      <c r="P641" t="str">
        <f>_xlfn.XLOOKUP(Orders[[#This Row],[Customer ID]], customers!$A$2:$A$1001, customers!$I$2:$I$1001, 0)</f>
        <v>Yes</v>
      </c>
    </row>
    <row r="642" spans="1:16" x14ac:dyDescent="0.35">
      <c r="A642" s="2" t="s">
        <v>4104</v>
      </c>
      <c r="B642" s="3">
        <v>44547</v>
      </c>
      <c r="C642" s="2" t="s">
        <v>4152</v>
      </c>
      <c r="D642" t="s">
        <v>6142</v>
      </c>
      <c r="E642" s="2">
        <v>5</v>
      </c>
      <c r="F642" s="2" t="str" cm="1">
        <f t="array" ref="F642">_xlfn.XLOOKUP(C642, customers!$A$1:A1641, customers!$B$1:B1641, 0)</f>
        <v>Tuckie Mathonnet</v>
      </c>
      <c r="G642" s="2" t="str">
        <f>IF(_xlfn.XLOOKUP(C642, customers!A641:A1641, customers!C641:C1641, 0)=0, "", _xlfn.XLOOKUP(C642, customers!A641:A1641, customers!C641:C1641, 0))</f>
        <v>tmathonneti0@google.co.jp</v>
      </c>
      <c r="H642" s="2" t="str" cm="1">
        <f t="array" ref="H642">_xlfn.XLOOKUP(C642, customers!$A$1:A1641, customers!$G$1:G1641,, 0)</f>
        <v>United States</v>
      </c>
      <c r="I642" t="str" cm="1">
        <f t="array" ref="I642">_xlfn.XLOOKUP(orders!D642, products!$A$1:A689, products!$B$1:B689, 0)</f>
        <v>Rob</v>
      </c>
      <c r="J642" t="str" cm="1">
        <f t="array" ref="J642">_xlfn.XLOOKUP(D642, products!$A$1:A689, products!$C$1:C689, 0)</f>
        <v>L</v>
      </c>
      <c r="K642" s="4" cm="1">
        <f t="array" ref="K642">_xlfn.XLOOKUP(D642, products!$A$1:A689, products!$D$1:D689, 0)</f>
        <v>2.5</v>
      </c>
      <c r="L642" s="4" cm="1">
        <f t="array" ref="L642">_xlfn.XLOOKUP(D642, products!$A$1:A689, products!$E$1:E689)</f>
        <v>27.484999999999996</v>
      </c>
      <c r="M642">
        <f t="shared" si="18"/>
        <v>137.42499999999998</v>
      </c>
      <c r="N642" t="str">
        <f t="shared" si="19"/>
        <v>Robusta</v>
      </c>
      <c r="O642" t="str" cm="1">
        <f t="array" ref="O642">_xlfn.IFS(J642="M", "Medium", J642="L", "Light", J642="D", "Dark")</f>
        <v>Light</v>
      </c>
      <c r="P642" t="str">
        <f>_xlfn.XLOOKUP(Orders[[#This Row],[Customer ID]], customers!$A$2:$A$1001, customers!$I$2:$I$1001, 0)</f>
        <v>No</v>
      </c>
    </row>
    <row r="643" spans="1:16" x14ac:dyDescent="0.35">
      <c r="A643" s="2" t="s">
        <v>4109</v>
      </c>
      <c r="B643" s="3">
        <v>44448</v>
      </c>
      <c r="C643" s="2" t="s">
        <v>4110</v>
      </c>
      <c r="D643" t="s">
        <v>6179</v>
      </c>
      <c r="E643" s="2">
        <v>3</v>
      </c>
      <c r="F643" s="2" t="str" cm="1">
        <f t="array" ref="F643">_xlfn.XLOOKUP(C643, customers!$A$1:A1642, customers!$B$1:B1642, 0)</f>
        <v>Yardley Basill</v>
      </c>
      <c r="G643" s="2" t="str">
        <f>IF(_xlfn.XLOOKUP(C643, customers!A642:A1642, customers!C642:C1642, 0)=0, "", _xlfn.XLOOKUP(C643, customers!A642:A1642, customers!C642:C1642, 0))</f>
        <v>ybasillht@theguardian.com</v>
      </c>
      <c r="H643" s="2" t="str" cm="1">
        <f t="array" ref="H643">_xlfn.XLOOKUP(C643, customers!$A$1:A1642, customers!$G$1:G1642,, 0)</f>
        <v>United States</v>
      </c>
      <c r="I643" t="str" cm="1">
        <f t="array" ref="I643">_xlfn.XLOOKUP(orders!D643, products!$A$1:A690, products!$B$1:B690, 0)</f>
        <v>Rob</v>
      </c>
      <c r="J643" t="str" cm="1">
        <f t="array" ref="J643">_xlfn.XLOOKUP(D643, products!$A$1:A690, products!$C$1:C690, 0)</f>
        <v>L</v>
      </c>
      <c r="K643" s="4" cm="1">
        <f t="array" ref="K643">_xlfn.XLOOKUP(D643, products!$A$1:A690, products!$D$1:D690, 0)</f>
        <v>1</v>
      </c>
      <c r="L643" s="4" cm="1">
        <f t="array" ref="L643">_xlfn.XLOOKUP(D643, products!$A$1:A690, products!$E$1:E690)</f>
        <v>11.95</v>
      </c>
      <c r="M643">
        <f t="shared" ref="M643:M706" si="20">L643*E643</f>
        <v>35.849999999999994</v>
      </c>
      <c r="N643" t="str">
        <f t="shared" ref="N643:N706" si="21">IF(I643="Rob", "Robusta", IF(I643="Exc", "Excelsa", IF(I643="Ara", "Arabica", IF(I643="Lib", "Liberica", ""))))</f>
        <v>Robusta</v>
      </c>
      <c r="O643" t="str" cm="1">
        <f t="array" ref="O643">_xlfn.IFS(J643="M", "Medium", J643="L", "Light", J643="D", "Dark")</f>
        <v>Light</v>
      </c>
      <c r="P643" t="str">
        <f>_xlfn.XLOOKUP(Orders[[#This Row],[Customer ID]], customers!$A$2:$A$1001, customers!$I$2:$I$1001, 0)</f>
        <v>Yes</v>
      </c>
    </row>
    <row r="644" spans="1:16" x14ac:dyDescent="0.35">
      <c r="A644" s="2" t="s">
        <v>4115</v>
      </c>
      <c r="B644" s="3">
        <v>43880</v>
      </c>
      <c r="C644" s="2" t="s">
        <v>4116</v>
      </c>
      <c r="D644" t="s">
        <v>6156</v>
      </c>
      <c r="E644" s="2">
        <v>2</v>
      </c>
      <c r="F644" s="2" t="str" cm="1">
        <f t="array" ref="F644">_xlfn.XLOOKUP(C644, customers!$A$1:A1643, customers!$B$1:B1643, 0)</f>
        <v>Maggy Baistow</v>
      </c>
      <c r="G644" s="2" t="str">
        <f>IF(_xlfn.XLOOKUP(C644, customers!A643:A1643, customers!C643:C1643, 0)=0, "", _xlfn.XLOOKUP(C644, customers!A643:A1643, customers!C643:C1643, 0))</f>
        <v>mbaistowhu@i2i.jp</v>
      </c>
      <c r="H644" s="2" t="str" cm="1">
        <f t="array" ref="H644">_xlfn.XLOOKUP(C644, customers!$A$1:A1643, customers!$G$1:G1643,, 0)</f>
        <v>United Kingdom</v>
      </c>
      <c r="I644" t="str" cm="1">
        <f t="array" ref="I644">_xlfn.XLOOKUP(orders!D644, products!$A$1:A691, products!$B$1:B691, 0)</f>
        <v>Exc</v>
      </c>
      <c r="J644" t="str" cm="1">
        <f t="array" ref="J644">_xlfn.XLOOKUP(D644, products!$A$1:A691, products!$C$1:C691, 0)</f>
        <v>M</v>
      </c>
      <c r="K644" s="4" cm="1">
        <f t="array" ref="K644">_xlfn.XLOOKUP(D644, products!$A$1:A691, products!$D$1:D691, 0)</f>
        <v>0.2</v>
      </c>
      <c r="L644" s="4" cm="1">
        <f t="array" ref="L644">_xlfn.XLOOKUP(D644, products!$A$1:A691, products!$E$1:E691)</f>
        <v>4.125</v>
      </c>
      <c r="M644">
        <f t="shared" si="20"/>
        <v>8.25</v>
      </c>
      <c r="N644" t="str">
        <f t="shared" si="21"/>
        <v>Excelsa</v>
      </c>
      <c r="O644" t="str" cm="1">
        <f t="array" ref="O644">_xlfn.IFS(J644="M", "Medium", J644="L", "Light", J644="D", "Dark")</f>
        <v>Medium</v>
      </c>
      <c r="P644" t="str">
        <f>_xlfn.XLOOKUP(Orders[[#This Row],[Customer ID]], customers!$A$2:$A$1001, customers!$I$2:$I$1001, 0)</f>
        <v>Yes</v>
      </c>
    </row>
    <row r="645" spans="1:16" x14ac:dyDescent="0.35">
      <c r="A645" s="2" t="s">
        <v>4123</v>
      </c>
      <c r="B645" s="3">
        <v>44011</v>
      </c>
      <c r="C645" s="2" t="s">
        <v>4124</v>
      </c>
      <c r="D645" t="s">
        <v>6148</v>
      </c>
      <c r="E645" s="2">
        <v>3</v>
      </c>
      <c r="F645" s="2" t="str" cm="1">
        <f t="array" ref="F645">_xlfn.XLOOKUP(C645, customers!$A$1:A1644, customers!$B$1:B1644, 0)</f>
        <v>Courtney Pallant</v>
      </c>
      <c r="G645" s="2" t="str">
        <f>IF(_xlfn.XLOOKUP(C645, customers!A644:A1644, customers!C644:C1644, 0)=0, "", _xlfn.XLOOKUP(C645, customers!A644:A1644, customers!C644:C1644, 0))</f>
        <v>cpallanthv@typepad.com</v>
      </c>
      <c r="H645" s="2" t="str" cm="1">
        <f t="array" ref="H645">_xlfn.XLOOKUP(C645, customers!$A$1:A1644, customers!$G$1:G1644,, 0)</f>
        <v>United States</v>
      </c>
      <c r="I645" t="str" cm="1">
        <f t="array" ref="I645">_xlfn.XLOOKUP(orders!D645, products!$A$1:A692, products!$B$1:B692, 0)</f>
        <v>Exc</v>
      </c>
      <c r="J645" t="str" cm="1">
        <f t="array" ref="J645">_xlfn.XLOOKUP(D645, products!$A$1:A692, products!$C$1:C692, 0)</f>
        <v>L</v>
      </c>
      <c r="K645" s="4" cm="1">
        <f t="array" ref="K645">_xlfn.XLOOKUP(D645, products!$A$1:A692, products!$D$1:D692, 0)</f>
        <v>2.5</v>
      </c>
      <c r="L645" s="4" cm="1">
        <f t="array" ref="L645">_xlfn.XLOOKUP(D645, products!$A$1:A692, products!$E$1:E692)</f>
        <v>34.154999999999994</v>
      </c>
      <c r="M645">
        <f t="shared" si="20"/>
        <v>102.46499999999997</v>
      </c>
      <c r="N645" t="str">
        <f t="shared" si="21"/>
        <v>Excelsa</v>
      </c>
      <c r="O645" t="str" cm="1">
        <f t="array" ref="O645">_xlfn.IFS(J645="M", "Medium", J645="L", "Light", J645="D", "Dark")</f>
        <v>Light</v>
      </c>
      <c r="P645" t="str">
        <f>_xlfn.XLOOKUP(Orders[[#This Row],[Customer ID]], customers!$A$2:$A$1001, customers!$I$2:$I$1001, 0)</f>
        <v>Yes</v>
      </c>
    </row>
    <row r="646" spans="1:16" x14ac:dyDescent="0.35">
      <c r="A646" s="2" t="s">
        <v>4128</v>
      </c>
      <c r="B646" s="3">
        <v>44694</v>
      </c>
      <c r="C646" s="2" t="s">
        <v>4129</v>
      </c>
      <c r="D646" t="s">
        <v>6149</v>
      </c>
      <c r="E646" s="2">
        <v>2</v>
      </c>
      <c r="F646" s="2" t="str" cm="1">
        <f t="array" ref="F646">_xlfn.XLOOKUP(C646, customers!$A$1:A1645, customers!$B$1:B1645, 0)</f>
        <v>Marne Mingey</v>
      </c>
      <c r="G646" s="2" t="str">
        <f>IF(_xlfn.XLOOKUP(C646, customers!A645:A1645, customers!C645:C1645, 0)=0, "", _xlfn.XLOOKUP(C646, customers!A645:A1645, customers!C645:C1645, 0))</f>
        <v/>
      </c>
      <c r="H646" s="2" t="str" cm="1">
        <f t="array" ref="H646">_xlfn.XLOOKUP(C646, customers!$A$1:A1645, customers!$G$1:G1645,, 0)</f>
        <v>United States</v>
      </c>
      <c r="I646" t="str" cm="1">
        <f t="array" ref="I646">_xlfn.XLOOKUP(orders!D646, products!$A$1:A693, products!$B$1:B693, 0)</f>
        <v>Rob</v>
      </c>
      <c r="J646" t="str" cm="1">
        <f t="array" ref="J646">_xlfn.XLOOKUP(D646, products!$A$1:A693, products!$C$1:C693, 0)</f>
        <v>D</v>
      </c>
      <c r="K646" s="4" cm="1">
        <f t="array" ref="K646">_xlfn.XLOOKUP(D646, products!$A$1:A693, products!$D$1:D693, 0)</f>
        <v>2.5</v>
      </c>
      <c r="L646" s="4" cm="1">
        <f t="array" ref="L646">_xlfn.XLOOKUP(D646, products!$A$1:A693, products!$E$1:E693)</f>
        <v>20.584999999999997</v>
      </c>
      <c r="M646">
        <f t="shared" si="20"/>
        <v>41.169999999999995</v>
      </c>
      <c r="N646" t="str">
        <f t="shared" si="21"/>
        <v>Robusta</v>
      </c>
      <c r="O646" t="str" cm="1">
        <f t="array" ref="O646">_xlfn.IFS(J646="M", "Medium", J646="L", "Light", J646="D", "Dark")</f>
        <v>Dark</v>
      </c>
      <c r="P646" t="str">
        <f>_xlfn.XLOOKUP(Orders[[#This Row],[Customer ID]], customers!$A$2:$A$1001, customers!$I$2:$I$1001, 0)</f>
        <v>No</v>
      </c>
    </row>
    <row r="647" spans="1:16" x14ac:dyDescent="0.35">
      <c r="A647" s="2" t="s">
        <v>4133</v>
      </c>
      <c r="B647" s="3">
        <v>44106</v>
      </c>
      <c r="C647" s="2" t="s">
        <v>4134</v>
      </c>
      <c r="D647" t="s">
        <v>6168</v>
      </c>
      <c r="E647" s="2">
        <v>3</v>
      </c>
      <c r="F647" s="2" t="str" cm="1">
        <f t="array" ref="F647">_xlfn.XLOOKUP(C647, customers!$A$1:A1646, customers!$B$1:B1646, 0)</f>
        <v>Denny O' Ronan</v>
      </c>
      <c r="G647" s="2" t="str">
        <f>IF(_xlfn.XLOOKUP(C647, customers!A646:A1646, customers!C646:C1646, 0)=0, "", _xlfn.XLOOKUP(C647, customers!A646:A1646, customers!C646:C1646, 0))</f>
        <v>dohx@redcross.org</v>
      </c>
      <c r="H647" s="2" t="str" cm="1">
        <f t="array" ref="H647">_xlfn.XLOOKUP(C647, customers!$A$1:A1646, customers!$G$1:G1646,, 0)</f>
        <v>United States</v>
      </c>
      <c r="I647" t="str" cm="1">
        <f t="array" ref="I647">_xlfn.XLOOKUP(orders!D647, products!$A$1:A694, products!$B$1:B694, 0)</f>
        <v>Ara</v>
      </c>
      <c r="J647" t="str" cm="1">
        <f t="array" ref="J647">_xlfn.XLOOKUP(D647, products!$A$1:A694, products!$C$1:C694, 0)</f>
        <v>D</v>
      </c>
      <c r="K647" s="4" cm="1">
        <f t="array" ref="K647">_xlfn.XLOOKUP(D647, products!$A$1:A694, products!$D$1:D694, 0)</f>
        <v>2.5</v>
      </c>
      <c r="L647" s="4" cm="1">
        <f t="array" ref="L647">_xlfn.XLOOKUP(D647, products!$A$1:A694, products!$E$1:E694)</f>
        <v>22.884999999999998</v>
      </c>
      <c r="M647">
        <f t="shared" si="20"/>
        <v>68.655000000000001</v>
      </c>
      <c r="N647" t="str">
        <f t="shared" si="21"/>
        <v>Arabica</v>
      </c>
      <c r="O647" t="str" cm="1">
        <f t="array" ref="O647">_xlfn.IFS(J647="M", "Medium", J647="L", "Light", J647="D", "Dark")</f>
        <v>Dark</v>
      </c>
      <c r="P647" t="str">
        <f>_xlfn.XLOOKUP(Orders[[#This Row],[Customer ID]], customers!$A$2:$A$1001, customers!$I$2:$I$1001, 0)</f>
        <v>Yes</v>
      </c>
    </row>
    <row r="648" spans="1:16" x14ac:dyDescent="0.35">
      <c r="A648" s="2" t="s">
        <v>4139</v>
      </c>
      <c r="B648" s="3">
        <v>44532</v>
      </c>
      <c r="C648" s="2" t="s">
        <v>4140</v>
      </c>
      <c r="D648" t="s">
        <v>6147</v>
      </c>
      <c r="E648" s="2">
        <v>1</v>
      </c>
      <c r="F648" s="2" t="str" cm="1">
        <f t="array" ref="F648">_xlfn.XLOOKUP(C648, customers!$A$1:A1647, customers!$B$1:B1647, 0)</f>
        <v>Dottie Rallin</v>
      </c>
      <c r="G648" s="2" t="str">
        <f>IF(_xlfn.XLOOKUP(C648, customers!A647:A1647, customers!C647:C1647, 0)=0, "", _xlfn.XLOOKUP(C648, customers!A647:A1647, customers!C647:C1647, 0))</f>
        <v>drallinhy@howstuffworks.com</v>
      </c>
      <c r="H648" s="2" t="str" cm="1">
        <f t="array" ref="H648">_xlfn.XLOOKUP(C648, customers!$A$1:A1647, customers!$G$1:G1647,, 0)</f>
        <v>United States</v>
      </c>
      <c r="I648" t="str" cm="1">
        <f t="array" ref="I648">_xlfn.XLOOKUP(orders!D648, products!$A$1:A695, products!$B$1:B695, 0)</f>
        <v>Ara</v>
      </c>
      <c r="J648" t="str" cm="1">
        <f t="array" ref="J648">_xlfn.XLOOKUP(D648, products!$A$1:A695, products!$C$1:C695, 0)</f>
        <v>D</v>
      </c>
      <c r="K648" s="4" cm="1">
        <f t="array" ref="K648">_xlfn.XLOOKUP(D648, products!$A$1:A695, products!$D$1:D695, 0)</f>
        <v>1</v>
      </c>
      <c r="L648" s="4" cm="1">
        <f t="array" ref="L648">_xlfn.XLOOKUP(D648, products!$A$1:A695, products!$E$1:E695)</f>
        <v>9.9499999999999993</v>
      </c>
      <c r="M648">
        <f t="shared" si="20"/>
        <v>9.9499999999999993</v>
      </c>
      <c r="N648" t="str">
        <f t="shared" si="21"/>
        <v>Arabica</v>
      </c>
      <c r="O648" t="str" cm="1">
        <f t="array" ref="O648">_xlfn.IFS(J648="M", "Medium", J648="L", "Light", J648="D", "Dark")</f>
        <v>Dark</v>
      </c>
      <c r="P648" t="str">
        <f>_xlfn.XLOOKUP(Orders[[#This Row],[Customer ID]], customers!$A$2:$A$1001, customers!$I$2:$I$1001, 0)</f>
        <v>Yes</v>
      </c>
    </row>
    <row r="649" spans="1:16" x14ac:dyDescent="0.35">
      <c r="A649" s="2" t="s">
        <v>4145</v>
      </c>
      <c r="B649" s="3">
        <v>44502</v>
      </c>
      <c r="C649" s="2" t="s">
        <v>4146</v>
      </c>
      <c r="D649" t="s">
        <v>6161</v>
      </c>
      <c r="E649" s="2">
        <v>3</v>
      </c>
      <c r="F649" s="2" t="str" cm="1">
        <f t="array" ref="F649">_xlfn.XLOOKUP(C649, customers!$A$1:A1648, customers!$B$1:B1648, 0)</f>
        <v>Ardith Chill</v>
      </c>
      <c r="G649" s="2" t="str">
        <f>IF(_xlfn.XLOOKUP(C649, customers!A648:A1648, customers!C648:C1648, 0)=0, "", _xlfn.XLOOKUP(C649, customers!A648:A1648, customers!C648:C1648, 0))</f>
        <v>achillhz@epa.gov</v>
      </c>
      <c r="H649" s="2" t="str" cm="1">
        <f t="array" ref="H649">_xlfn.XLOOKUP(C649, customers!$A$1:A1648, customers!$G$1:G1648,, 0)</f>
        <v>United Kingdom</v>
      </c>
      <c r="I649" t="str" cm="1">
        <f t="array" ref="I649">_xlfn.XLOOKUP(orders!D649, products!$A$1:A696, products!$B$1:B696, 0)</f>
        <v>Lib</v>
      </c>
      <c r="J649" t="str" cm="1">
        <f t="array" ref="J649">_xlfn.XLOOKUP(D649, products!$A$1:A696, products!$C$1:C696, 0)</f>
        <v>L</v>
      </c>
      <c r="K649" s="4" cm="1">
        <f t="array" ref="K649">_xlfn.XLOOKUP(D649, products!$A$1:A696, products!$D$1:D696, 0)</f>
        <v>0.5</v>
      </c>
      <c r="L649" s="4" cm="1">
        <f t="array" ref="L649">_xlfn.XLOOKUP(D649, products!$A$1:A696, products!$E$1:E696)</f>
        <v>9.51</v>
      </c>
      <c r="M649">
        <f t="shared" si="20"/>
        <v>28.53</v>
      </c>
      <c r="N649" t="str">
        <f t="shared" si="21"/>
        <v>Liberica</v>
      </c>
      <c r="O649" t="str" cm="1">
        <f t="array" ref="O649">_xlfn.IFS(J649="M", "Medium", J649="L", "Light", J649="D", "Dark")</f>
        <v>Light</v>
      </c>
      <c r="P649" t="str">
        <f>_xlfn.XLOOKUP(Orders[[#This Row],[Customer ID]], customers!$A$2:$A$1001, customers!$I$2:$I$1001, 0)</f>
        <v>Yes</v>
      </c>
    </row>
    <row r="650" spans="1:16" x14ac:dyDescent="0.35">
      <c r="A650" s="2" t="s">
        <v>4151</v>
      </c>
      <c r="B650" s="3">
        <v>43884</v>
      </c>
      <c r="C650" s="2" t="s">
        <v>4152</v>
      </c>
      <c r="D650" t="s">
        <v>6163</v>
      </c>
      <c r="E650" s="2">
        <v>6</v>
      </c>
      <c r="F650" s="2" t="str" cm="1">
        <f t="array" ref="F650">_xlfn.XLOOKUP(C650, customers!$A$1:A1649, customers!$B$1:B1649, 0)</f>
        <v>Tuckie Mathonnet</v>
      </c>
      <c r="G650" s="2" t="str">
        <f>IF(_xlfn.XLOOKUP(C650, customers!A649:A1649, customers!C649:C1649, 0)=0, "", _xlfn.XLOOKUP(C650, customers!A649:A1649, customers!C649:C1649, 0))</f>
        <v>tmathonneti0@google.co.jp</v>
      </c>
      <c r="H650" s="2" t="str" cm="1">
        <f t="array" ref="H650">_xlfn.XLOOKUP(C650, customers!$A$1:A1649, customers!$G$1:G1649,, 0)</f>
        <v>United States</v>
      </c>
      <c r="I650" t="str" cm="1">
        <f t="array" ref="I650">_xlfn.XLOOKUP(orders!D650, products!$A$1:A697, products!$B$1:B697, 0)</f>
        <v>Rob</v>
      </c>
      <c r="J650" t="str" cm="1">
        <f t="array" ref="J650">_xlfn.XLOOKUP(D650, products!$A$1:A697, products!$C$1:C697, 0)</f>
        <v>D</v>
      </c>
      <c r="K650" s="4" cm="1">
        <f t="array" ref="K650">_xlfn.XLOOKUP(D650, products!$A$1:A697, products!$D$1:D697, 0)</f>
        <v>0.2</v>
      </c>
      <c r="L650" s="4" cm="1">
        <f t="array" ref="L650">_xlfn.XLOOKUP(D650, products!$A$1:A697, products!$E$1:E697)</f>
        <v>2.6849999999999996</v>
      </c>
      <c r="M650">
        <f t="shared" si="20"/>
        <v>16.11</v>
      </c>
      <c r="N650" t="str">
        <f t="shared" si="21"/>
        <v>Robusta</v>
      </c>
      <c r="O650" t="str" cm="1">
        <f t="array" ref="O650">_xlfn.IFS(J650="M", "Medium", J650="L", "Light", J650="D", "Dark")</f>
        <v>Dark</v>
      </c>
      <c r="P650" t="str">
        <f>_xlfn.XLOOKUP(Orders[[#This Row],[Customer ID]], customers!$A$2:$A$1001, customers!$I$2:$I$1001, 0)</f>
        <v>No</v>
      </c>
    </row>
    <row r="651" spans="1:16" x14ac:dyDescent="0.35">
      <c r="A651" s="2" t="s">
        <v>4157</v>
      </c>
      <c r="B651" s="3">
        <v>44015</v>
      </c>
      <c r="C651" s="2" t="s">
        <v>4158</v>
      </c>
      <c r="D651" t="s">
        <v>6170</v>
      </c>
      <c r="E651" s="2">
        <v>6</v>
      </c>
      <c r="F651" s="2" t="str" cm="1">
        <f t="array" ref="F651">_xlfn.XLOOKUP(C651, customers!$A$1:A1650, customers!$B$1:B1650, 0)</f>
        <v>Charmane Denys</v>
      </c>
      <c r="G651" s="2" t="str">
        <f>IF(_xlfn.XLOOKUP(C651, customers!A650:A1650, customers!C650:C1650, 0)=0, "", _xlfn.XLOOKUP(C651, customers!A650:A1650, customers!C650:C1650, 0))</f>
        <v>cdenysi1@is.gd</v>
      </c>
      <c r="H651" s="2" t="str" cm="1">
        <f t="array" ref="H651">_xlfn.XLOOKUP(C651, customers!$A$1:A1650, customers!$G$1:G1650,, 0)</f>
        <v>United Kingdom</v>
      </c>
      <c r="I651" t="str" cm="1">
        <f t="array" ref="I651">_xlfn.XLOOKUP(orders!D651, products!$A$1:A698, products!$B$1:B698, 0)</f>
        <v>Lib</v>
      </c>
      <c r="J651" t="str" cm="1">
        <f t="array" ref="J651">_xlfn.XLOOKUP(D651, products!$A$1:A698, products!$C$1:C698, 0)</f>
        <v>L</v>
      </c>
      <c r="K651" s="4" cm="1">
        <f t="array" ref="K651">_xlfn.XLOOKUP(D651, products!$A$1:A698, products!$D$1:D698, 0)</f>
        <v>1</v>
      </c>
      <c r="L651" s="4" cm="1">
        <f t="array" ref="L651">_xlfn.XLOOKUP(D651, products!$A$1:A698, products!$E$1:E698)</f>
        <v>15.85</v>
      </c>
      <c r="M651">
        <f t="shared" si="20"/>
        <v>95.1</v>
      </c>
      <c r="N651" t="str">
        <f t="shared" si="21"/>
        <v>Liberica</v>
      </c>
      <c r="O651" t="str" cm="1">
        <f t="array" ref="O651">_xlfn.IFS(J651="M", "Medium", J651="L", "Light", J651="D", "Dark")</f>
        <v>Light</v>
      </c>
      <c r="P651" t="str">
        <f>_xlfn.XLOOKUP(Orders[[#This Row],[Customer ID]], customers!$A$2:$A$1001, customers!$I$2:$I$1001, 0)</f>
        <v>No</v>
      </c>
    </row>
    <row r="652" spans="1:16" x14ac:dyDescent="0.35">
      <c r="A652" s="2" t="s">
        <v>4163</v>
      </c>
      <c r="B652" s="3">
        <v>43507</v>
      </c>
      <c r="C652" s="2" t="s">
        <v>4164</v>
      </c>
      <c r="D652" t="s">
        <v>6172</v>
      </c>
      <c r="E652" s="2">
        <v>1</v>
      </c>
      <c r="F652" s="2" t="str" cm="1">
        <f t="array" ref="F652">_xlfn.XLOOKUP(C652, customers!$A$1:A1651, customers!$B$1:B1651, 0)</f>
        <v>Cecily Stebbings</v>
      </c>
      <c r="G652" s="2" t="str">
        <f>IF(_xlfn.XLOOKUP(C652, customers!A651:A1651, customers!C651:C1651, 0)=0, "", _xlfn.XLOOKUP(C652, customers!A651:A1651, customers!C651:C1651, 0))</f>
        <v>cstebbingsi2@drupal.org</v>
      </c>
      <c r="H652" s="2" t="str" cm="1">
        <f t="array" ref="H652">_xlfn.XLOOKUP(C652, customers!$A$1:A1651, customers!$G$1:G1651,, 0)</f>
        <v>United States</v>
      </c>
      <c r="I652" t="str" cm="1">
        <f t="array" ref="I652">_xlfn.XLOOKUP(orders!D652, products!$A$1:A699, products!$B$1:B699, 0)</f>
        <v>Rob</v>
      </c>
      <c r="J652" t="str" cm="1">
        <f t="array" ref="J652">_xlfn.XLOOKUP(D652, products!$A$1:A699, products!$C$1:C699, 0)</f>
        <v>D</v>
      </c>
      <c r="K652" s="4" cm="1">
        <f t="array" ref="K652">_xlfn.XLOOKUP(D652, products!$A$1:A699, products!$D$1:D699, 0)</f>
        <v>0.5</v>
      </c>
      <c r="L652" s="4" cm="1">
        <f t="array" ref="L652">_xlfn.XLOOKUP(D652, products!$A$1:A699, products!$E$1:E699)</f>
        <v>5.3699999999999992</v>
      </c>
      <c r="M652">
        <f t="shared" si="20"/>
        <v>5.3699999999999992</v>
      </c>
      <c r="N652" t="str">
        <f t="shared" si="21"/>
        <v>Robusta</v>
      </c>
      <c r="O652" t="str" cm="1">
        <f t="array" ref="O652">_xlfn.IFS(J652="M", "Medium", J652="L", "Light", J652="D", "Dark")</f>
        <v>Dark</v>
      </c>
      <c r="P652" t="str">
        <f>_xlfn.XLOOKUP(Orders[[#This Row],[Customer ID]], customers!$A$2:$A$1001, customers!$I$2:$I$1001, 0)</f>
        <v>Yes</v>
      </c>
    </row>
    <row r="653" spans="1:16" x14ac:dyDescent="0.35">
      <c r="A653" s="2" t="s">
        <v>4169</v>
      </c>
      <c r="B653" s="3">
        <v>44084</v>
      </c>
      <c r="C653" s="2" t="s">
        <v>4170</v>
      </c>
      <c r="D653" t="s">
        <v>6179</v>
      </c>
      <c r="E653" s="2">
        <v>4</v>
      </c>
      <c r="F653" s="2" t="str" cm="1">
        <f t="array" ref="F653">_xlfn.XLOOKUP(C653, customers!$A$1:A1652, customers!$B$1:B1652, 0)</f>
        <v>Giana Tonnesen</v>
      </c>
      <c r="G653" s="2" t="str">
        <f>IF(_xlfn.XLOOKUP(C653, customers!A652:A1652, customers!C652:C1652, 0)=0, "", _xlfn.XLOOKUP(C653, customers!A652:A1652, customers!C652:C1652, 0))</f>
        <v/>
      </c>
      <c r="H653" s="2" t="str" cm="1">
        <f t="array" ref="H653">_xlfn.XLOOKUP(C653, customers!$A$1:A1652, customers!$G$1:G1652,, 0)</f>
        <v>United States</v>
      </c>
      <c r="I653" t="str" cm="1">
        <f t="array" ref="I653">_xlfn.XLOOKUP(orders!D653, products!$A$1:A700, products!$B$1:B700, 0)</f>
        <v>Rob</v>
      </c>
      <c r="J653" t="str" cm="1">
        <f t="array" ref="J653">_xlfn.XLOOKUP(D653, products!$A$1:A700, products!$C$1:C700, 0)</f>
        <v>L</v>
      </c>
      <c r="K653" s="4" cm="1">
        <f t="array" ref="K653">_xlfn.XLOOKUP(D653, products!$A$1:A700, products!$D$1:D700, 0)</f>
        <v>1</v>
      </c>
      <c r="L653" s="4" cm="1">
        <f t="array" ref="L653">_xlfn.XLOOKUP(D653, products!$A$1:A700, products!$E$1:E700)</f>
        <v>11.95</v>
      </c>
      <c r="M653">
        <f t="shared" si="20"/>
        <v>47.8</v>
      </c>
      <c r="N653" t="str">
        <f t="shared" si="21"/>
        <v>Robusta</v>
      </c>
      <c r="O653" t="str" cm="1">
        <f t="array" ref="O653">_xlfn.IFS(J653="M", "Medium", J653="L", "Light", J653="D", "Dark")</f>
        <v>Light</v>
      </c>
      <c r="P653" t="str">
        <f>_xlfn.XLOOKUP(Orders[[#This Row],[Customer ID]], customers!$A$2:$A$1001, customers!$I$2:$I$1001, 0)</f>
        <v>No</v>
      </c>
    </row>
    <row r="654" spans="1:16" x14ac:dyDescent="0.35">
      <c r="A654" s="2" t="s">
        <v>4174</v>
      </c>
      <c r="B654" s="3">
        <v>43892</v>
      </c>
      <c r="C654" s="2" t="s">
        <v>4175</v>
      </c>
      <c r="D654" t="s">
        <v>6170</v>
      </c>
      <c r="E654" s="2">
        <v>4</v>
      </c>
      <c r="F654" s="2" t="str" cm="1">
        <f t="array" ref="F654">_xlfn.XLOOKUP(C654, customers!$A$1:A1653, customers!$B$1:B1653, 0)</f>
        <v>Rhetta Zywicki</v>
      </c>
      <c r="G654" s="2" t="str">
        <f>IF(_xlfn.XLOOKUP(C654, customers!A653:A1653, customers!C653:C1653, 0)=0, "", _xlfn.XLOOKUP(C654, customers!A653:A1653, customers!C653:C1653, 0))</f>
        <v>rzywickii4@ifeng.com</v>
      </c>
      <c r="H654" s="2" t="str" cm="1">
        <f t="array" ref="H654">_xlfn.XLOOKUP(C654, customers!$A$1:A1653, customers!$G$1:G1653,, 0)</f>
        <v>Ireland</v>
      </c>
      <c r="I654" t="str" cm="1">
        <f t="array" ref="I654">_xlfn.XLOOKUP(orders!D654, products!$A$1:A701, products!$B$1:B701, 0)</f>
        <v>Lib</v>
      </c>
      <c r="J654" t="str" cm="1">
        <f t="array" ref="J654">_xlfn.XLOOKUP(D654, products!$A$1:A701, products!$C$1:C701, 0)</f>
        <v>L</v>
      </c>
      <c r="K654" s="4" cm="1">
        <f t="array" ref="K654">_xlfn.XLOOKUP(D654, products!$A$1:A701, products!$D$1:D701, 0)</f>
        <v>1</v>
      </c>
      <c r="L654" s="4" cm="1">
        <f t="array" ref="L654">_xlfn.XLOOKUP(D654, products!$A$1:A701, products!$E$1:E701)</f>
        <v>15.85</v>
      </c>
      <c r="M654">
        <f t="shared" si="20"/>
        <v>63.4</v>
      </c>
      <c r="N654" t="str">
        <f t="shared" si="21"/>
        <v>Liberica</v>
      </c>
      <c r="O654" t="str" cm="1">
        <f t="array" ref="O654">_xlfn.IFS(J654="M", "Medium", J654="L", "Light", J654="D", "Dark")</f>
        <v>Light</v>
      </c>
      <c r="P654" t="str">
        <f>_xlfn.XLOOKUP(Orders[[#This Row],[Customer ID]], customers!$A$2:$A$1001, customers!$I$2:$I$1001, 0)</f>
        <v>No</v>
      </c>
    </row>
    <row r="655" spans="1:16" x14ac:dyDescent="0.35">
      <c r="A655" s="2" t="s">
        <v>4179</v>
      </c>
      <c r="B655" s="3">
        <v>44375</v>
      </c>
      <c r="C655" s="2" t="s">
        <v>4180</v>
      </c>
      <c r="D655" t="s">
        <v>6175</v>
      </c>
      <c r="E655" s="2">
        <v>4</v>
      </c>
      <c r="F655" s="2" t="str" cm="1">
        <f t="array" ref="F655">_xlfn.XLOOKUP(C655, customers!$A$1:A1654, customers!$B$1:B1654, 0)</f>
        <v>Almeria Burgett</v>
      </c>
      <c r="G655" s="2" t="str">
        <f>IF(_xlfn.XLOOKUP(C655, customers!A654:A1654, customers!C654:C1654, 0)=0, "", _xlfn.XLOOKUP(C655, customers!A654:A1654, customers!C654:C1654, 0))</f>
        <v>aburgetti5@moonfruit.com</v>
      </c>
      <c r="H655" s="2" t="str" cm="1">
        <f t="array" ref="H655">_xlfn.XLOOKUP(C655, customers!$A$1:A1654, customers!$G$1:G1654,, 0)</f>
        <v>United States</v>
      </c>
      <c r="I655" t="str" cm="1">
        <f t="array" ref="I655">_xlfn.XLOOKUP(orders!D655, products!$A$1:A702, products!$B$1:B702, 0)</f>
        <v>Ara</v>
      </c>
      <c r="J655" t="str" cm="1">
        <f t="array" ref="J655">_xlfn.XLOOKUP(D655, products!$A$1:A702, products!$C$1:C702, 0)</f>
        <v>M</v>
      </c>
      <c r="K655" s="4" cm="1">
        <f t="array" ref="K655">_xlfn.XLOOKUP(D655, products!$A$1:A702, products!$D$1:D702, 0)</f>
        <v>2.5</v>
      </c>
      <c r="L655" s="4" cm="1">
        <f t="array" ref="L655">_xlfn.XLOOKUP(D655, products!$A$1:A702, products!$E$1:E702)</f>
        <v>25.874999999999996</v>
      </c>
      <c r="M655">
        <f t="shared" si="20"/>
        <v>103.49999999999999</v>
      </c>
      <c r="N655" t="str">
        <f t="shared" si="21"/>
        <v>Arabica</v>
      </c>
      <c r="O655" t="str" cm="1">
        <f t="array" ref="O655">_xlfn.IFS(J655="M", "Medium", J655="L", "Light", J655="D", "Dark")</f>
        <v>Medium</v>
      </c>
      <c r="P655" t="str">
        <f>_xlfn.XLOOKUP(Orders[[#This Row],[Customer ID]], customers!$A$2:$A$1001, customers!$I$2:$I$1001, 0)</f>
        <v>No</v>
      </c>
    </row>
    <row r="656" spans="1:16" x14ac:dyDescent="0.35">
      <c r="A656" s="2" t="s">
        <v>4185</v>
      </c>
      <c r="B656" s="3">
        <v>43476</v>
      </c>
      <c r="C656" s="2" t="s">
        <v>4186</v>
      </c>
      <c r="D656" t="s">
        <v>6168</v>
      </c>
      <c r="E656" s="2">
        <v>3</v>
      </c>
      <c r="F656" s="2" t="str" cm="1">
        <f t="array" ref="F656">_xlfn.XLOOKUP(C656, customers!$A$1:A1655, customers!$B$1:B1655, 0)</f>
        <v>Marvin Malloy</v>
      </c>
      <c r="G656" s="2" t="str">
        <f>IF(_xlfn.XLOOKUP(C656, customers!A655:A1655, customers!C655:C1655, 0)=0, "", _xlfn.XLOOKUP(C656, customers!A655:A1655, customers!C655:C1655, 0))</f>
        <v>mmalloyi6@seattletimes.com</v>
      </c>
      <c r="H656" s="2" t="str" cm="1">
        <f t="array" ref="H656">_xlfn.XLOOKUP(C656, customers!$A$1:A1655, customers!$G$1:G1655,, 0)</f>
        <v>United States</v>
      </c>
      <c r="I656" t="str" cm="1">
        <f t="array" ref="I656">_xlfn.XLOOKUP(orders!D656, products!$A$1:A703, products!$B$1:B703, 0)</f>
        <v>Ara</v>
      </c>
      <c r="J656" t="str" cm="1">
        <f t="array" ref="J656">_xlfn.XLOOKUP(D656, products!$A$1:A703, products!$C$1:C703, 0)</f>
        <v>D</v>
      </c>
      <c r="K656" s="4" cm="1">
        <f t="array" ref="K656">_xlfn.XLOOKUP(D656, products!$A$1:A703, products!$D$1:D703, 0)</f>
        <v>2.5</v>
      </c>
      <c r="L656" s="4" cm="1">
        <f t="array" ref="L656">_xlfn.XLOOKUP(D656, products!$A$1:A703, products!$E$1:E703)</f>
        <v>22.884999999999998</v>
      </c>
      <c r="M656">
        <f t="shared" si="20"/>
        <v>68.655000000000001</v>
      </c>
      <c r="N656" t="str">
        <f t="shared" si="21"/>
        <v>Arabica</v>
      </c>
      <c r="O656" t="str" cm="1">
        <f t="array" ref="O656">_xlfn.IFS(J656="M", "Medium", J656="L", "Light", J656="D", "Dark")</f>
        <v>Dark</v>
      </c>
      <c r="P656" t="str">
        <f>_xlfn.XLOOKUP(Orders[[#This Row],[Customer ID]], customers!$A$2:$A$1001, customers!$I$2:$I$1001, 0)</f>
        <v>No</v>
      </c>
    </row>
    <row r="657" spans="1:16" x14ac:dyDescent="0.35">
      <c r="A657" s="2" t="s">
        <v>4191</v>
      </c>
      <c r="B657" s="3">
        <v>43728</v>
      </c>
      <c r="C657" s="2" t="s">
        <v>4192</v>
      </c>
      <c r="D657" t="s">
        <v>6151</v>
      </c>
      <c r="E657" s="2">
        <v>2</v>
      </c>
      <c r="F657" s="2" t="str" cm="1">
        <f t="array" ref="F657">_xlfn.XLOOKUP(C657, customers!$A$1:A1656, customers!$B$1:B1656, 0)</f>
        <v>Maxim McParland</v>
      </c>
      <c r="G657" s="2" t="str">
        <f>IF(_xlfn.XLOOKUP(C657, customers!A656:A1656, customers!C656:C1656, 0)=0, "", _xlfn.XLOOKUP(C657, customers!A656:A1656, customers!C656:C1656, 0))</f>
        <v>mmcparlandi7@w3.org</v>
      </c>
      <c r="H657" s="2" t="str" cm="1">
        <f t="array" ref="H657">_xlfn.XLOOKUP(C657, customers!$A$1:A1656, customers!$G$1:G1656,, 0)</f>
        <v>United States</v>
      </c>
      <c r="I657" t="str" cm="1">
        <f t="array" ref="I657">_xlfn.XLOOKUP(orders!D657, products!$A$1:A704, products!$B$1:B704, 0)</f>
        <v>Rob</v>
      </c>
      <c r="J657" t="str" cm="1">
        <f t="array" ref="J657">_xlfn.XLOOKUP(D657, products!$A$1:A704, products!$C$1:C704, 0)</f>
        <v>M</v>
      </c>
      <c r="K657" s="4" cm="1">
        <f t="array" ref="K657">_xlfn.XLOOKUP(D657, products!$A$1:A704, products!$D$1:D704, 0)</f>
        <v>2.5</v>
      </c>
      <c r="L657" s="4" cm="1">
        <f t="array" ref="L657">_xlfn.XLOOKUP(D657, products!$A$1:A704, products!$E$1:E704)</f>
        <v>22.884999999999998</v>
      </c>
      <c r="M657">
        <f t="shared" si="20"/>
        <v>45.769999999999996</v>
      </c>
      <c r="N657" t="str">
        <f t="shared" si="21"/>
        <v>Robusta</v>
      </c>
      <c r="O657" t="str" cm="1">
        <f t="array" ref="O657">_xlfn.IFS(J657="M", "Medium", J657="L", "Light", J657="D", "Dark")</f>
        <v>Medium</v>
      </c>
      <c r="P657" t="str">
        <f>_xlfn.XLOOKUP(Orders[[#This Row],[Customer ID]], customers!$A$2:$A$1001, customers!$I$2:$I$1001, 0)</f>
        <v>Yes</v>
      </c>
    </row>
    <row r="658" spans="1:16" x14ac:dyDescent="0.35">
      <c r="A658" s="2" t="s">
        <v>4196</v>
      </c>
      <c r="B658" s="3">
        <v>44485</v>
      </c>
      <c r="C658" s="2" t="s">
        <v>4197</v>
      </c>
      <c r="D658" t="s">
        <v>6143</v>
      </c>
      <c r="E658" s="2">
        <v>4</v>
      </c>
      <c r="F658" s="2" t="str" cm="1">
        <f t="array" ref="F658">_xlfn.XLOOKUP(C658, customers!$A$1:A1657, customers!$B$1:B1657, 0)</f>
        <v>Sylas Jennaroy</v>
      </c>
      <c r="G658" s="2" t="str">
        <f>IF(_xlfn.XLOOKUP(C658, customers!A657:A1657, customers!C657:C1657, 0)=0, "", _xlfn.XLOOKUP(C658, customers!A657:A1657, customers!C657:C1657, 0))</f>
        <v>sjennaroyi8@purevolume.com</v>
      </c>
      <c r="H658" s="2" t="str" cm="1">
        <f t="array" ref="H658">_xlfn.XLOOKUP(C658, customers!$A$1:A1657, customers!$G$1:G1657,, 0)</f>
        <v>United States</v>
      </c>
      <c r="I658" t="str" cm="1">
        <f t="array" ref="I658">_xlfn.XLOOKUP(orders!D658, products!$A$1:A705, products!$B$1:B705, 0)</f>
        <v>Lib</v>
      </c>
      <c r="J658" t="str" cm="1">
        <f t="array" ref="J658">_xlfn.XLOOKUP(D658, products!$A$1:A705, products!$C$1:C705, 0)</f>
        <v>D</v>
      </c>
      <c r="K658" s="4" cm="1">
        <f t="array" ref="K658">_xlfn.XLOOKUP(D658, products!$A$1:A705, products!$D$1:D705, 0)</f>
        <v>1</v>
      </c>
      <c r="L658" s="4" cm="1">
        <f t="array" ref="L658">_xlfn.XLOOKUP(D658, products!$A$1:A705, products!$E$1:E705)</f>
        <v>12.95</v>
      </c>
      <c r="M658">
        <f t="shared" si="20"/>
        <v>51.8</v>
      </c>
      <c r="N658" t="str">
        <f t="shared" si="21"/>
        <v>Liberica</v>
      </c>
      <c r="O658" t="str" cm="1">
        <f t="array" ref="O658">_xlfn.IFS(J658="M", "Medium", J658="L", "Light", J658="D", "Dark")</f>
        <v>Dark</v>
      </c>
      <c r="P658" t="str">
        <f>_xlfn.XLOOKUP(Orders[[#This Row],[Customer ID]], customers!$A$2:$A$1001, customers!$I$2:$I$1001, 0)</f>
        <v>No</v>
      </c>
    </row>
    <row r="659" spans="1:16" x14ac:dyDescent="0.35">
      <c r="A659" s="2" t="s">
        <v>4201</v>
      </c>
      <c r="B659" s="3">
        <v>43831</v>
      </c>
      <c r="C659" s="2" t="s">
        <v>4202</v>
      </c>
      <c r="D659" t="s">
        <v>6157</v>
      </c>
      <c r="E659" s="2">
        <v>2</v>
      </c>
      <c r="F659" s="2" t="str" cm="1">
        <f t="array" ref="F659">_xlfn.XLOOKUP(C659, customers!$A$1:A1658, customers!$B$1:B1658, 0)</f>
        <v>Wren Place</v>
      </c>
      <c r="G659" s="2" t="str">
        <f>IF(_xlfn.XLOOKUP(C659, customers!A658:A1658, customers!C658:C1658, 0)=0, "", _xlfn.XLOOKUP(C659, customers!A658:A1658, customers!C658:C1658, 0))</f>
        <v>wplacei9@wsj.com</v>
      </c>
      <c r="H659" s="2" t="str" cm="1">
        <f t="array" ref="H659">_xlfn.XLOOKUP(C659, customers!$A$1:A1658, customers!$G$1:G1658,, 0)</f>
        <v>United States</v>
      </c>
      <c r="I659" t="str" cm="1">
        <f t="array" ref="I659">_xlfn.XLOOKUP(orders!D659, products!$A$1:A706, products!$B$1:B706, 0)</f>
        <v>Ara</v>
      </c>
      <c r="J659" t="str" cm="1">
        <f t="array" ref="J659">_xlfn.XLOOKUP(D659, products!$A$1:A706, products!$C$1:C706, 0)</f>
        <v>M</v>
      </c>
      <c r="K659" s="4" cm="1">
        <f t="array" ref="K659">_xlfn.XLOOKUP(D659, products!$A$1:A706, products!$D$1:D706, 0)</f>
        <v>0.5</v>
      </c>
      <c r="L659" s="4" cm="1">
        <f t="array" ref="L659">_xlfn.XLOOKUP(D659, products!$A$1:A706, products!$E$1:E706)</f>
        <v>6.75</v>
      </c>
      <c r="M659">
        <f t="shared" si="20"/>
        <v>13.5</v>
      </c>
      <c r="N659" t="str">
        <f t="shared" si="21"/>
        <v>Arabica</v>
      </c>
      <c r="O659" t="str" cm="1">
        <f t="array" ref="O659">_xlfn.IFS(J659="M", "Medium", J659="L", "Light", J659="D", "Dark")</f>
        <v>Medium</v>
      </c>
      <c r="P659" t="str">
        <f>_xlfn.XLOOKUP(Orders[[#This Row],[Customer ID]], customers!$A$2:$A$1001, customers!$I$2:$I$1001, 0)</f>
        <v>Yes</v>
      </c>
    </row>
    <row r="660" spans="1:16" x14ac:dyDescent="0.35">
      <c r="A660" s="2" t="s">
        <v>4207</v>
      </c>
      <c r="B660" s="3">
        <v>44630</v>
      </c>
      <c r="C660" s="2" t="s">
        <v>4263</v>
      </c>
      <c r="D660" t="s">
        <v>6139</v>
      </c>
      <c r="E660" s="2">
        <v>3</v>
      </c>
      <c r="F660" s="2" t="str" cm="1">
        <f t="array" ref="F660">_xlfn.XLOOKUP(C660, customers!$A$1:A1659, customers!$B$1:B1659, 0)</f>
        <v>Janella Millett</v>
      </c>
      <c r="G660" s="2" t="str">
        <f>IF(_xlfn.XLOOKUP(C660, customers!A659:A1659, customers!C659:C1659, 0)=0, "", _xlfn.XLOOKUP(C660, customers!A659:A1659, customers!C659:C1659, 0))</f>
        <v>jmillettik@addtoany.com</v>
      </c>
      <c r="H660" s="2" t="str" cm="1">
        <f t="array" ref="H660">_xlfn.XLOOKUP(C660, customers!$A$1:A1659, customers!$G$1:G1659,, 0)</f>
        <v>United States</v>
      </c>
      <c r="I660" t="str" cm="1">
        <f t="array" ref="I660">_xlfn.XLOOKUP(orders!D660, products!$A$1:A707, products!$B$1:B707, 0)</f>
        <v>Exc</v>
      </c>
      <c r="J660" t="str" cm="1">
        <f t="array" ref="J660">_xlfn.XLOOKUP(D660, products!$A$1:A707, products!$C$1:C707, 0)</f>
        <v>M</v>
      </c>
      <c r="K660" s="4" cm="1">
        <f t="array" ref="K660">_xlfn.XLOOKUP(D660, products!$A$1:A707, products!$D$1:D707, 0)</f>
        <v>0.5</v>
      </c>
      <c r="L660" s="4" cm="1">
        <f t="array" ref="L660">_xlfn.XLOOKUP(D660, products!$A$1:A707, products!$E$1:E707)</f>
        <v>8.25</v>
      </c>
      <c r="M660">
        <f t="shared" si="20"/>
        <v>24.75</v>
      </c>
      <c r="N660" t="str">
        <f t="shared" si="21"/>
        <v>Excelsa</v>
      </c>
      <c r="O660" t="str" cm="1">
        <f t="array" ref="O660">_xlfn.IFS(J660="M", "Medium", J660="L", "Light", J660="D", "Dark")</f>
        <v>Medium</v>
      </c>
      <c r="P660" t="str">
        <f>_xlfn.XLOOKUP(Orders[[#This Row],[Customer ID]], customers!$A$2:$A$1001, customers!$I$2:$I$1001, 0)</f>
        <v>Yes</v>
      </c>
    </row>
    <row r="661" spans="1:16" x14ac:dyDescent="0.35">
      <c r="A661" s="2" t="s">
        <v>4211</v>
      </c>
      <c r="B661" s="3">
        <v>44693</v>
      </c>
      <c r="C661" s="2" t="s">
        <v>4212</v>
      </c>
      <c r="D661" t="s">
        <v>6168</v>
      </c>
      <c r="E661" s="2">
        <v>2</v>
      </c>
      <c r="F661" s="2" t="str" cm="1">
        <f t="array" ref="F661">_xlfn.XLOOKUP(C661, customers!$A$1:A1660, customers!$B$1:B1660, 0)</f>
        <v>Dollie Gadsden</v>
      </c>
      <c r="G661" s="2" t="str">
        <f>IF(_xlfn.XLOOKUP(C661, customers!A660:A1660, customers!C660:C1660, 0)=0, "", _xlfn.XLOOKUP(C661, customers!A660:A1660, customers!C660:C1660, 0))</f>
        <v>dgadsdenib@google.com.hk</v>
      </c>
      <c r="H661" s="2" t="str" cm="1">
        <f t="array" ref="H661">_xlfn.XLOOKUP(C661, customers!$A$1:A1660, customers!$G$1:G1660,, 0)</f>
        <v>Ireland</v>
      </c>
      <c r="I661" t="str" cm="1">
        <f t="array" ref="I661">_xlfn.XLOOKUP(orders!D661, products!$A$1:A708, products!$B$1:B708, 0)</f>
        <v>Ara</v>
      </c>
      <c r="J661" t="str" cm="1">
        <f t="array" ref="J661">_xlfn.XLOOKUP(D661, products!$A$1:A708, products!$C$1:C708, 0)</f>
        <v>D</v>
      </c>
      <c r="K661" s="4" cm="1">
        <f t="array" ref="K661">_xlfn.XLOOKUP(D661, products!$A$1:A708, products!$D$1:D708, 0)</f>
        <v>2.5</v>
      </c>
      <c r="L661" s="4" cm="1">
        <f t="array" ref="L661">_xlfn.XLOOKUP(D661, products!$A$1:A708, products!$E$1:E708)</f>
        <v>22.884999999999998</v>
      </c>
      <c r="M661">
        <f t="shared" si="20"/>
        <v>45.769999999999996</v>
      </c>
      <c r="N661" t="str">
        <f t="shared" si="21"/>
        <v>Arabica</v>
      </c>
      <c r="O661" t="str" cm="1">
        <f t="array" ref="O661">_xlfn.IFS(J661="M", "Medium", J661="L", "Light", J661="D", "Dark")</f>
        <v>Dark</v>
      </c>
      <c r="P661" t="str">
        <f>_xlfn.XLOOKUP(Orders[[#This Row],[Customer ID]], customers!$A$2:$A$1001, customers!$I$2:$I$1001, 0)</f>
        <v>Yes</v>
      </c>
    </row>
    <row r="662" spans="1:16" x14ac:dyDescent="0.35">
      <c r="A662" s="2" t="s">
        <v>4217</v>
      </c>
      <c r="B662" s="3">
        <v>44084</v>
      </c>
      <c r="C662" s="2" t="s">
        <v>4218</v>
      </c>
      <c r="D662" t="s">
        <v>6176</v>
      </c>
      <c r="E662" s="2">
        <v>6</v>
      </c>
      <c r="F662" s="2" t="str" cm="1">
        <f t="array" ref="F662">_xlfn.XLOOKUP(C662, customers!$A$1:A1661, customers!$B$1:B1661, 0)</f>
        <v>Val Wakelin</v>
      </c>
      <c r="G662" s="2" t="str">
        <f>IF(_xlfn.XLOOKUP(C662, customers!A661:A1661, customers!C661:C1661, 0)=0, "", _xlfn.XLOOKUP(C662, customers!A661:A1661, customers!C661:C1661, 0))</f>
        <v>vwakelinic@unesco.org</v>
      </c>
      <c r="H662" s="2" t="str" cm="1">
        <f t="array" ref="H662">_xlfn.XLOOKUP(C662, customers!$A$1:A1661, customers!$G$1:G1661,, 0)</f>
        <v>United States</v>
      </c>
      <c r="I662" t="str" cm="1">
        <f t="array" ref="I662">_xlfn.XLOOKUP(orders!D662, products!$A$1:A709, products!$B$1:B709, 0)</f>
        <v>Exc</v>
      </c>
      <c r="J662" t="str" cm="1">
        <f t="array" ref="J662">_xlfn.XLOOKUP(D662, products!$A$1:A709, products!$C$1:C709, 0)</f>
        <v>L</v>
      </c>
      <c r="K662" s="4" cm="1">
        <f t="array" ref="K662">_xlfn.XLOOKUP(D662, products!$A$1:A709, products!$D$1:D709, 0)</f>
        <v>0.5</v>
      </c>
      <c r="L662" s="4" cm="1">
        <f t="array" ref="L662">_xlfn.XLOOKUP(D662, products!$A$1:A709, products!$E$1:E709)</f>
        <v>8.91</v>
      </c>
      <c r="M662">
        <f t="shared" si="20"/>
        <v>53.46</v>
      </c>
      <c r="N662" t="str">
        <f t="shared" si="21"/>
        <v>Excelsa</v>
      </c>
      <c r="O662" t="str" cm="1">
        <f t="array" ref="O662">_xlfn.IFS(J662="M", "Medium", J662="L", "Light", J662="D", "Dark")</f>
        <v>Light</v>
      </c>
      <c r="P662" t="str">
        <f>_xlfn.XLOOKUP(Orders[[#This Row],[Customer ID]], customers!$A$2:$A$1001, customers!$I$2:$I$1001, 0)</f>
        <v>No</v>
      </c>
    </row>
    <row r="663" spans="1:16" x14ac:dyDescent="0.35">
      <c r="A663" s="2" t="s">
        <v>4223</v>
      </c>
      <c r="B663" s="3">
        <v>44485</v>
      </c>
      <c r="C663" s="2" t="s">
        <v>4224</v>
      </c>
      <c r="D663" t="s">
        <v>6152</v>
      </c>
      <c r="E663" s="2">
        <v>6</v>
      </c>
      <c r="F663" s="2" t="str" cm="1">
        <f t="array" ref="F663">_xlfn.XLOOKUP(C663, customers!$A$1:A1662, customers!$B$1:B1662, 0)</f>
        <v>Annie Campsall</v>
      </c>
      <c r="G663" s="2" t="str">
        <f>IF(_xlfn.XLOOKUP(C663, customers!A662:A1662, customers!C662:C1662, 0)=0, "", _xlfn.XLOOKUP(C663, customers!A662:A1662, customers!C662:C1662, 0))</f>
        <v>acampsallid@zimbio.com</v>
      </c>
      <c r="H663" s="2" t="str" cm="1">
        <f t="array" ref="H663">_xlfn.XLOOKUP(C663, customers!$A$1:A1662, customers!$G$1:G1662,, 0)</f>
        <v>United States</v>
      </c>
      <c r="I663" t="str" cm="1">
        <f t="array" ref="I663">_xlfn.XLOOKUP(orders!D663, products!$A$1:A710, products!$B$1:B710, 0)</f>
        <v>Ara</v>
      </c>
      <c r="J663" t="str" cm="1">
        <f t="array" ref="J663">_xlfn.XLOOKUP(D663, products!$A$1:A710, products!$C$1:C710, 0)</f>
        <v>M</v>
      </c>
      <c r="K663" s="4" cm="1">
        <f t="array" ref="K663">_xlfn.XLOOKUP(D663, products!$A$1:A710, products!$D$1:D710, 0)</f>
        <v>0.2</v>
      </c>
      <c r="L663" s="4" cm="1">
        <f t="array" ref="L663">_xlfn.XLOOKUP(D663, products!$A$1:A710, products!$E$1:E710)</f>
        <v>3.375</v>
      </c>
      <c r="M663">
        <f t="shared" si="20"/>
        <v>20.25</v>
      </c>
      <c r="N663" t="str">
        <f t="shared" si="21"/>
        <v>Arabica</v>
      </c>
      <c r="O663" t="str" cm="1">
        <f t="array" ref="O663">_xlfn.IFS(J663="M", "Medium", J663="L", "Light", J663="D", "Dark")</f>
        <v>Medium</v>
      </c>
      <c r="P663" t="str">
        <f>_xlfn.XLOOKUP(Orders[[#This Row],[Customer ID]], customers!$A$2:$A$1001, customers!$I$2:$I$1001, 0)</f>
        <v>Yes</v>
      </c>
    </row>
    <row r="664" spans="1:16" x14ac:dyDescent="0.35">
      <c r="A664" s="2" t="s">
        <v>4229</v>
      </c>
      <c r="B664" s="3">
        <v>44364</v>
      </c>
      <c r="C664" s="2" t="s">
        <v>4230</v>
      </c>
      <c r="D664" t="s">
        <v>6165</v>
      </c>
      <c r="E664" s="2">
        <v>5</v>
      </c>
      <c r="F664" s="2" t="str" cm="1">
        <f t="array" ref="F664">_xlfn.XLOOKUP(C664, customers!$A$1:A1663, customers!$B$1:B1663, 0)</f>
        <v>Shermy Moseby</v>
      </c>
      <c r="G664" s="2" t="str">
        <f>IF(_xlfn.XLOOKUP(C664, customers!A663:A1663, customers!C663:C1663, 0)=0, "", _xlfn.XLOOKUP(C664, customers!A663:A1663, customers!C663:C1663, 0))</f>
        <v>smosebyie@stanford.edu</v>
      </c>
      <c r="H664" s="2" t="str" cm="1">
        <f t="array" ref="H664">_xlfn.XLOOKUP(C664, customers!$A$1:A1663, customers!$G$1:G1663,, 0)</f>
        <v>United States</v>
      </c>
      <c r="I664" t="str" cm="1">
        <f t="array" ref="I664">_xlfn.XLOOKUP(orders!D664, products!$A$1:A711, products!$B$1:B711, 0)</f>
        <v>Lib</v>
      </c>
      <c r="J664" t="str" cm="1">
        <f t="array" ref="J664">_xlfn.XLOOKUP(D664, products!$A$1:A711, products!$C$1:C711, 0)</f>
        <v>D</v>
      </c>
      <c r="K664" s="4" cm="1">
        <f t="array" ref="K664">_xlfn.XLOOKUP(D664, products!$A$1:A711, products!$D$1:D711, 0)</f>
        <v>2.5</v>
      </c>
      <c r="L664" s="4" cm="1">
        <f t="array" ref="L664">_xlfn.XLOOKUP(D664, products!$A$1:A711, products!$E$1:E711)</f>
        <v>29.784999999999997</v>
      </c>
      <c r="M664">
        <f t="shared" si="20"/>
        <v>148.92499999999998</v>
      </c>
      <c r="N664" t="str">
        <f t="shared" si="21"/>
        <v>Liberica</v>
      </c>
      <c r="O664" t="str" cm="1">
        <f t="array" ref="O664">_xlfn.IFS(J664="M", "Medium", J664="L", "Light", J664="D", "Dark")</f>
        <v>Dark</v>
      </c>
      <c r="P664" t="str">
        <f>_xlfn.XLOOKUP(Orders[[#This Row],[Customer ID]], customers!$A$2:$A$1001, customers!$I$2:$I$1001, 0)</f>
        <v>No</v>
      </c>
    </row>
    <row r="665" spans="1:16" x14ac:dyDescent="0.35">
      <c r="A665" s="2" t="s">
        <v>4234</v>
      </c>
      <c r="B665" s="3">
        <v>43554</v>
      </c>
      <c r="C665" s="2" t="s">
        <v>4235</v>
      </c>
      <c r="D665" t="s">
        <v>6155</v>
      </c>
      <c r="E665" s="2">
        <v>6</v>
      </c>
      <c r="F665" s="2" t="str" cm="1">
        <f t="array" ref="F665">_xlfn.XLOOKUP(C665, customers!$A$1:A1664, customers!$B$1:B1664, 0)</f>
        <v>Corrie Wass</v>
      </c>
      <c r="G665" s="2" t="str">
        <f>IF(_xlfn.XLOOKUP(C665, customers!A664:A1664, customers!C664:C1664, 0)=0, "", _xlfn.XLOOKUP(C665, customers!A664:A1664, customers!C664:C1664, 0))</f>
        <v>cwassif@prweb.com</v>
      </c>
      <c r="H665" s="2" t="str" cm="1">
        <f t="array" ref="H665">_xlfn.XLOOKUP(C665, customers!$A$1:A1664, customers!$G$1:G1664,, 0)</f>
        <v>United States</v>
      </c>
      <c r="I665" t="str" cm="1">
        <f t="array" ref="I665">_xlfn.XLOOKUP(orders!D665, products!$A$1:A712, products!$B$1:B712, 0)</f>
        <v>Ara</v>
      </c>
      <c r="J665" t="str" cm="1">
        <f t="array" ref="J665">_xlfn.XLOOKUP(D665, products!$A$1:A712, products!$C$1:C712, 0)</f>
        <v>M</v>
      </c>
      <c r="K665" s="4" cm="1">
        <f t="array" ref="K665">_xlfn.XLOOKUP(D665, products!$A$1:A712, products!$D$1:D712, 0)</f>
        <v>1</v>
      </c>
      <c r="L665" s="4" cm="1">
        <f t="array" ref="L665">_xlfn.XLOOKUP(D665, products!$A$1:A712, products!$E$1:E712)</f>
        <v>11.25</v>
      </c>
      <c r="M665">
        <f t="shared" si="20"/>
        <v>67.5</v>
      </c>
      <c r="N665" t="str">
        <f t="shared" si="21"/>
        <v>Arabica</v>
      </c>
      <c r="O665" t="str" cm="1">
        <f t="array" ref="O665">_xlfn.IFS(J665="M", "Medium", J665="L", "Light", J665="D", "Dark")</f>
        <v>Medium</v>
      </c>
      <c r="P665" t="str">
        <f>_xlfn.XLOOKUP(Orders[[#This Row],[Customer ID]], customers!$A$2:$A$1001, customers!$I$2:$I$1001, 0)</f>
        <v>No</v>
      </c>
    </row>
    <row r="666" spans="1:16" x14ac:dyDescent="0.35">
      <c r="A666" s="2" t="s">
        <v>4239</v>
      </c>
      <c r="B666" s="3">
        <v>44549</v>
      </c>
      <c r="C666" s="2" t="s">
        <v>4240</v>
      </c>
      <c r="D666" t="s">
        <v>6183</v>
      </c>
      <c r="E666" s="2">
        <v>6</v>
      </c>
      <c r="F666" s="2" t="str" cm="1">
        <f t="array" ref="F666">_xlfn.XLOOKUP(C666, customers!$A$1:A1665, customers!$B$1:B1665, 0)</f>
        <v>Ira Sjostrom</v>
      </c>
      <c r="G666" s="2" t="str">
        <f>IF(_xlfn.XLOOKUP(C666, customers!A665:A1665, customers!C665:C1665, 0)=0, "", _xlfn.XLOOKUP(C666, customers!A665:A1665, customers!C665:C1665, 0))</f>
        <v>isjostromig@pbs.org</v>
      </c>
      <c r="H666" s="2" t="str" cm="1">
        <f t="array" ref="H666">_xlfn.XLOOKUP(C666, customers!$A$1:A1665, customers!$G$1:G1665,, 0)</f>
        <v>United States</v>
      </c>
      <c r="I666" t="str" cm="1">
        <f t="array" ref="I666">_xlfn.XLOOKUP(orders!D666, products!$A$1:A713, products!$B$1:B713, 0)</f>
        <v>Exc</v>
      </c>
      <c r="J666" t="str" cm="1">
        <f t="array" ref="J666">_xlfn.XLOOKUP(D666, products!$A$1:A713, products!$C$1:C713, 0)</f>
        <v>D</v>
      </c>
      <c r="K666" s="4" cm="1">
        <f t="array" ref="K666">_xlfn.XLOOKUP(D666, products!$A$1:A713, products!$D$1:D713, 0)</f>
        <v>1</v>
      </c>
      <c r="L666" s="4" cm="1">
        <f t="array" ref="L666">_xlfn.XLOOKUP(D666, products!$A$1:A713, products!$E$1:E713)</f>
        <v>12.15</v>
      </c>
      <c r="M666">
        <f t="shared" si="20"/>
        <v>72.900000000000006</v>
      </c>
      <c r="N666" t="str">
        <f t="shared" si="21"/>
        <v>Excelsa</v>
      </c>
      <c r="O666" t="str" cm="1">
        <f t="array" ref="O666">_xlfn.IFS(J666="M", "Medium", J666="L", "Light", J666="D", "Dark")</f>
        <v>Dark</v>
      </c>
      <c r="P666" t="str">
        <f>_xlfn.XLOOKUP(Orders[[#This Row],[Customer ID]], customers!$A$2:$A$1001, customers!$I$2:$I$1001, 0)</f>
        <v>No</v>
      </c>
    </row>
    <row r="667" spans="1:16" x14ac:dyDescent="0.35">
      <c r="A667" s="2" t="s">
        <v>4239</v>
      </c>
      <c r="B667" s="3">
        <v>44549</v>
      </c>
      <c r="C667" s="2" t="s">
        <v>4240</v>
      </c>
      <c r="D667" t="s">
        <v>6150</v>
      </c>
      <c r="E667" s="2">
        <v>2</v>
      </c>
      <c r="F667" s="2" t="str" cm="1">
        <f t="array" ref="F667">_xlfn.XLOOKUP(C667, customers!$A$1:A1666, customers!$B$1:B1666, 0)</f>
        <v>Ira Sjostrom</v>
      </c>
      <c r="G667" s="2" t="str">
        <f>IF(_xlfn.XLOOKUP(C667, customers!A666:A1666, customers!C666:C1666, 0)=0, "", _xlfn.XLOOKUP(C667, customers!A666:A1666, customers!C666:C1666, 0))</f>
        <v>isjostromig@pbs.org</v>
      </c>
      <c r="H667" s="2" t="str" cm="1">
        <f t="array" ref="H667">_xlfn.XLOOKUP(C667, customers!$A$1:A1666, customers!$G$1:G1666,, 0)</f>
        <v>United States</v>
      </c>
      <c r="I667" t="str" cm="1">
        <f t="array" ref="I667">_xlfn.XLOOKUP(orders!D667, products!$A$1:A714, products!$B$1:B714, 0)</f>
        <v>Lib</v>
      </c>
      <c r="J667" t="str" cm="1">
        <f t="array" ref="J667">_xlfn.XLOOKUP(D667, products!$A$1:A714, products!$C$1:C714, 0)</f>
        <v>D</v>
      </c>
      <c r="K667" s="4" cm="1">
        <f t="array" ref="K667">_xlfn.XLOOKUP(D667, products!$A$1:A714, products!$D$1:D714, 0)</f>
        <v>0.2</v>
      </c>
      <c r="L667" s="4" cm="1">
        <f t="array" ref="L667">_xlfn.XLOOKUP(D667, products!$A$1:A714, products!$E$1:E714)</f>
        <v>3.8849999999999998</v>
      </c>
      <c r="M667">
        <f t="shared" si="20"/>
        <v>7.77</v>
      </c>
      <c r="N667" t="str">
        <f t="shared" si="21"/>
        <v>Liberica</v>
      </c>
      <c r="O667" t="str" cm="1">
        <f t="array" ref="O667">_xlfn.IFS(J667="M", "Medium", J667="L", "Light", J667="D", "Dark")</f>
        <v>Dark</v>
      </c>
      <c r="P667" t="str">
        <f>_xlfn.XLOOKUP(Orders[[#This Row],[Customer ID]], customers!$A$2:$A$1001, customers!$I$2:$I$1001, 0)</f>
        <v>No</v>
      </c>
    </row>
    <row r="668" spans="1:16" x14ac:dyDescent="0.35">
      <c r="A668" s="2" t="s">
        <v>4250</v>
      </c>
      <c r="B668" s="3">
        <v>43987</v>
      </c>
      <c r="C668" s="2" t="s">
        <v>4251</v>
      </c>
      <c r="D668" t="s">
        <v>6168</v>
      </c>
      <c r="E668" s="2">
        <v>4</v>
      </c>
      <c r="F668" s="2" t="str" cm="1">
        <f t="array" ref="F668">_xlfn.XLOOKUP(C668, customers!$A$1:A1667, customers!$B$1:B1667, 0)</f>
        <v>Jermaine Branchett</v>
      </c>
      <c r="G668" s="2" t="str">
        <f>IF(_xlfn.XLOOKUP(C668, customers!A667:A1667, customers!C667:C1667, 0)=0, "", _xlfn.XLOOKUP(C668, customers!A667:A1667, customers!C667:C1667, 0))</f>
        <v>jbranchettii@bravesites.com</v>
      </c>
      <c r="H668" s="2" t="str" cm="1">
        <f t="array" ref="H668">_xlfn.XLOOKUP(C668, customers!$A$1:A1667, customers!$G$1:G1667,, 0)</f>
        <v>United States</v>
      </c>
      <c r="I668" t="str" cm="1">
        <f t="array" ref="I668">_xlfn.XLOOKUP(orders!D668, products!$A$1:A715, products!$B$1:B715, 0)</f>
        <v>Ara</v>
      </c>
      <c r="J668" t="str" cm="1">
        <f t="array" ref="J668">_xlfn.XLOOKUP(D668, products!$A$1:A715, products!$C$1:C715, 0)</f>
        <v>D</v>
      </c>
      <c r="K668" s="4" cm="1">
        <f t="array" ref="K668">_xlfn.XLOOKUP(D668, products!$A$1:A715, products!$D$1:D715, 0)</f>
        <v>2.5</v>
      </c>
      <c r="L668" s="4" cm="1">
        <f t="array" ref="L668">_xlfn.XLOOKUP(D668, products!$A$1:A715, products!$E$1:E715)</f>
        <v>22.884999999999998</v>
      </c>
      <c r="M668">
        <f t="shared" si="20"/>
        <v>91.539999999999992</v>
      </c>
      <c r="N668" t="str">
        <f t="shared" si="21"/>
        <v>Arabica</v>
      </c>
      <c r="O668" t="str" cm="1">
        <f t="array" ref="O668">_xlfn.IFS(J668="M", "Medium", J668="L", "Light", J668="D", "Dark")</f>
        <v>Dark</v>
      </c>
      <c r="P668" t="str">
        <f>_xlfn.XLOOKUP(Orders[[#This Row],[Customer ID]], customers!$A$2:$A$1001, customers!$I$2:$I$1001, 0)</f>
        <v>No</v>
      </c>
    </row>
    <row r="669" spans="1:16" x14ac:dyDescent="0.35">
      <c r="A669" s="2" t="s">
        <v>4256</v>
      </c>
      <c r="B669" s="3">
        <v>44451</v>
      </c>
      <c r="C669" s="2" t="s">
        <v>4257</v>
      </c>
      <c r="D669" t="s">
        <v>6147</v>
      </c>
      <c r="E669" s="2">
        <v>6</v>
      </c>
      <c r="F669" s="2" t="str" cm="1">
        <f t="array" ref="F669">_xlfn.XLOOKUP(C669, customers!$A$1:A1668, customers!$B$1:B1668, 0)</f>
        <v>Nissie Rudland</v>
      </c>
      <c r="G669" s="2" t="str">
        <f>IF(_xlfn.XLOOKUP(C669, customers!A668:A1668, customers!C668:C1668, 0)=0, "", _xlfn.XLOOKUP(C669, customers!A668:A1668, customers!C668:C1668, 0))</f>
        <v>nrudlandij@blogs.com</v>
      </c>
      <c r="H669" s="2" t="str" cm="1">
        <f t="array" ref="H669">_xlfn.XLOOKUP(C669, customers!$A$1:A1668, customers!$G$1:G1668,, 0)</f>
        <v>Ireland</v>
      </c>
      <c r="I669" t="str" cm="1">
        <f t="array" ref="I669">_xlfn.XLOOKUP(orders!D669, products!$A$1:A716, products!$B$1:B716, 0)</f>
        <v>Ara</v>
      </c>
      <c r="J669" t="str" cm="1">
        <f t="array" ref="J669">_xlfn.XLOOKUP(D669, products!$A$1:A716, products!$C$1:C716, 0)</f>
        <v>D</v>
      </c>
      <c r="K669" s="4" cm="1">
        <f t="array" ref="K669">_xlfn.XLOOKUP(D669, products!$A$1:A716, products!$D$1:D716, 0)</f>
        <v>1</v>
      </c>
      <c r="L669" s="4" cm="1">
        <f t="array" ref="L669">_xlfn.XLOOKUP(D669, products!$A$1:A716, products!$E$1:E716)</f>
        <v>9.9499999999999993</v>
      </c>
      <c r="M669">
        <f t="shared" si="20"/>
        <v>59.699999999999996</v>
      </c>
      <c r="N669" t="str">
        <f t="shared" si="21"/>
        <v>Arabica</v>
      </c>
      <c r="O669" t="str" cm="1">
        <f t="array" ref="O669">_xlfn.IFS(J669="M", "Medium", J669="L", "Light", J669="D", "Dark")</f>
        <v>Dark</v>
      </c>
      <c r="P669" t="str">
        <f>_xlfn.XLOOKUP(Orders[[#This Row],[Customer ID]], customers!$A$2:$A$1001, customers!$I$2:$I$1001, 0)</f>
        <v>No</v>
      </c>
    </row>
    <row r="670" spans="1:16" x14ac:dyDescent="0.35">
      <c r="A670" s="2" t="s">
        <v>4262</v>
      </c>
      <c r="B670" s="3">
        <v>44636</v>
      </c>
      <c r="C670" s="2" t="s">
        <v>4263</v>
      </c>
      <c r="D670" t="s">
        <v>6142</v>
      </c>
      <c r="E670" s="2">
        <v>5</v>
      </c>
      <c r="F670" s="2" t="str" cm="1">
        <f t="array" ref="F670">_xlfn.XLOOKUP(C670, customers!$A$1:A1669, customers!$B$1:B1669, 0)</f>
        <v>Janella Millett</v>
      </c>
      <c r="G670" s="2" t="str">
        <f>IF(_xlfn.XLOOKUP(C670, customers!A669:A1669, customers!C669:C1669, 0)=0, "", _xlfn.XLOOKUP(C670, customers!A669:A1669, customers!C669:C1669, 0))</f>
        <v>jmillettik@addtoany.com</v>
      </c>
      <c r="H670" s="2" t="str" cm="1">
        <f t="array" ref="H670">_xlfn.XLOOKUP(C670, customers!$A$1:A1669, customers!$G$1:G1669,, 0)</f>
        <v>United States</v>
      </c>
      <c r="I670" t="str" cm="1">
        <f t="array" ref="I670">_xlfn.XLOOKUP(orders!D670, products!$A$1:A717, products!$B$1:B717, 0)</f>
        <v>Rob</v>
      </c>
      <c r="J670" t="str" cm="1">
        <f t="array" ref="J670">_xlfn.XLOOKUP(D670, products!$A$1:A717, products!$C$1:C717, 0)</f>
        <v>L</v>
      </c>
      <c r="K670" s="4" cm="1">
        <f t="array" ref="K670">_xlfn.XLOOKUP(D670, products!$A$1:A717, products!$D$1:D717, 0)</f>
        <v>2.5</v>
      </c>
      <c r="L670" s="4" cm="1">
        <f t="array" ref="L670">_xlfn.XLOOKUP(D670, products!$A$1:A717, products!$E$1:E717)</f>
        <v>27.484999999999996</v>
      </c>
      <c r="M670">
        <f t="shared" si="20"/>
        <v>137.42499999999998</v>
      </c>
      <c r="N670" t="str">
        <f t="shared" si="21"/>
        <v>Robusta</v>
      </c>
      <c r="O670" t="str" cm="1">
        <f t="array" ref="O670">_xlfn.IFS(J670="M", "Medium", J670="L", "Light", J670="D", "Dark")</f>
        <v>Light</v>
      </c>
      <c r="P670" t="str">
        <f>_xlfn.XLOOKUP(Orders[[#This Row],[Customer ID]], customers!$A$2:$A$1001, customers!$I$2:$I$1001, 0)</f>
        <v>Yes</v>
      </c>
    </row>
    <row r="671" spans="1:16" x14ac:dyDescent="0.35">
      <c r="A671" s="2" t="s">
        <v>4268</v>
      </c>
      <c r="B671" s="3">
        <v>44551</v>
      </c>
      <c r="C671" s="2" t="s">
        <v>4269</v>
      </c>
      <c r="D671" t="s">
        <v>6181</v>
      </c>
      <c r="E671" s="2">
        <v>2</v>
      </c>
      <c r="F671" s="2" t="str" cm="1">
        <f t="array" ref="F671">_xlfn.XLOOKUP(C671, customers!$A$1:A1670, customers!$B$1:B1670, 0)</f>
        <v>Ferdie Tourry</v>
      </c>
      <c r="G671" s="2" t="str">
        <f>IF(_xlfn.XLOOKUP(C671, customers!A670:A1670, customers!C670:C1670, 0)=0, "", _xlfn.XLOOKUP(C671, customers!A670:A1670, customers!C670:C1670, 0))</f>
        <v>ftourryil@google.de</v>
      </c>
      <c r="H671" s="2" t="str" cm="1">
        <f t="array" ref="H671">_xlfn.XLOOKUP(C671, customers!$A$1:A1670, customers!$G$1:G1670,, 0)</f>
        <v>United States</v>
      </c>
      <c r="I671" t="str" cm="1">
        <f t="array" ref="I671">_xlfn.XLOOKUP(orders!D671, products!$A$1:A718, products!$B$1:B718, 0)</f>
        <v>Lib</v>
      </c>
      <c r="J671" t="str" cm="1">
        <f t="array" ref="J671">_xlfn.XLOOKUP(D671, products!$A$1:A718, products!$C$1:C718, 0)</f>
        <v>M</v>
      </c>
      <c r="K671" s="4" cm="1">
        <f t="array" ref="K671">_xlfn.XLOOKUP(D671, products!$A$1:A718, products!$D$1:D718, 0)</f>
        <v>2.5</v>
      </c>
      <c r="L671" s="4" cm="1">
        <f t="array" ref="L671">_xlfn.XLOOKUP(D671, products!$A$1:A718, products!$E$1:E718)</f>
        <v>33.464999999999996</v>
      </c>
      <c r="M671">
        <f t="shared" si="20"/>
        <v>66.929999999999993</v>
      </c>
      <c r="N671" t="str">
        <f t="shared" si="21"/>
        <v>Liberica</v>
      </c>
      <c r="O671" t="str" cm="1">
        <f t="array" ref="O671">_xlfn.IFS(J671="M", "Medium", J671="L", "Light", J671="D", "Dark")</f>
        <v>Medium</v>
      </c>
      <c r="P671" t="str">
        <f>_xlfn.XLOOKUP(Orders[[#This Row],[Customer ID]], customers!$A$2:$A$1001, customers!$I$2:$I$1001, 0)</f>
        <v>No</v>
      </c>
    </row>
    <row r="672" spans="1:16" x14ac:dyDescent="0.35">
      <c r="A672" s="2" t="s">
        <v>4274</v>
      </c>
      <c r="B672" s="3">
        <v>43606</v>
      </c>
      <c r="C672" s="2" t="s">
        <v>4275</v>
      </c>
      <c r="D672" t="s">
        <v>6159</v>
      </c>
      <c r="E672" s="2">
        <v>3</v>
      </c>
      <c r="F672" s="2" t="str" cm="1">
        <f t="array" ref="F672">_xlfn.XLOOKUP(C672, customers!$A$1:A1671, customers!$B$1:B1671, 0)</f>
        <v>Cecil Weatherall</v>
      </c>
      <c r="G672" s="2" t="str">
        <f>IF(_xlfn.XLOOKUP(C672, customers!A671:A1671, customers!C671:C1671, 0)=0, "", _xlfn.XLOOKUP(C672, customers!A671:A1671, customers!C671:C1671, 0))</f>
        <v>cweatherallim@toplist.cz</v>
      </c>
      <c r="H672" s="2" t="str" cm="1">
        <f t="array" ref="H672">_xlfn.XLOOKUP(C672, customers!$A$1:A1671, customers!$G$1:G1671,, 0)</f>
        <v>United States</v>
      </c>
      <c r="I672" t="str" cm="1">
        <f t="array" ref="I672">_xlfn.XLOOKUP(orders!D672, products!$A$1:A719, products!$B$1:B719, 0)</f>
        <v>Lib</v>
      </c>
      <c r="J672" t="str" cm="1">
        <f t="array" ref="J672">_xlfn.XLOOKUP(D672, products!$A$1:A719, products!$C$1:C719, 0)</f>
        <v>M</v>
      </c>
      <c r="K672" s="4" cm="1">
        <f t="array" ref="K672">_xlfn.XLOOKUP(D672, products!$A$1:A719, products!$D$1:D719, 0)</f>
        <v>0.2</v>
      </c>
      <c r="L672" s="4" cm="1">
        <f t="array" ref="L672">_xlfn.XLOOKUP(D672, products!$A$1:A719, products!$E$1:E719)</f>
        <v>4.3650000000000002</v>
      </c>
      <c r="M672">
        <f t="shared" si="20"/>
        <v>13.095000000000001</v>
      </c>
      <c r="N672" t="str">
        <f t="shared" si="21"/>
        <v>Liberica</v>
      </c>
      <c r="O672" t="str" cm="1">
        <f t="array" ref="O672">_xlfn.IFS(J672="M", "Medium", J672="L", "Light", J672="D", "Dark")</f>
        <v>Medium</v>
      </c>
      <c r="P672" t="str">
        <f>_xlfn.XLOOKUP(Orders[[#This Row],[Customer ID]], customers!$A$2:$A$1001, customers!$I$2:$I$1001, 0)</f>
        <v>Yes</v>
      </c>
    </row>
    <row r="673" spans="1:16" x14ac:dyDescent="0.35">
      <c r="A673" s="2" t="s">
        <v>4280</v>
      </c>
      <c r="B673" s="3">
        <v>44495</v>
      </c>
      <c r="C673" s="2" t="s">
        <v>4281</v>
      </c>
      <c r="D673" t="s">
        <v>6179</v>
      </c>
      <c r="E673" s="2">
        <v>5</v>
      </c>
      <c r="F673" s="2" t="str" cm="1">
        <f t="array" ref="F673">_xlfn.XLOOKUP(C673, customers!$A$1:A1672, customers!$B$1:B1672, 0)</f>
        <v>Gale Heindrick</v>
      </c>
      <c r="G673" s="2" t="str">
        <f>IF(_xlfn.XLOOKUP(C673, customers!A672:A1672, customers!C672:C1672, 0)=0, "", _xlfn.XLOOKUP(C673, customers!A672:A1672, customers!C672:C1672, 0))</f>
        <v>gheindrickin@usda.gov</v>
      </c>
      <c r="H673" s="2" t="str" cm="1">
        <f t="array" ref="H673">_xlfn.XLOOKUP(C673, customers!$A$1:A1672, customers!$G$1:G1672,, 0)</f>
        <v>United States</v>
      </c>
      <c r="I673" t="str" cm="1">
        <f t="array" ref="I673">_xlfn.XLOOKUP(orders!D673, products!$A$1:A720, products!$B$1:B720, 0)</f>
        <v>Rob</v>
      </c>
      <c r="J673" t="str" cm="1">
        <f t="array" ref="J673">_xlfn.XLOOKUP(D673, products!$A$1:A720, products!$C$1:C720, 0)</f>
        <v>L</v>
      </c>
      <c r="K673" s="4" cm="1">
        <f t="array" ref="K673">_xlfn.XLOOKUP(D673, products!$A$1:A720, products!$D$1:D720, 0)</f>
        <v>1</v>
      </c>
      <c r="L673" s="4" cm="1">
        <f t="array" ref="L673">_xlfn.XLOOKUP(D673, products!$A$1:A720, products!$E$1:E720)</f>
        <v>11.95</v>
      </c>
      <c r="M673">
        <f t="shared" si="20"/>
        <v>59.75</v>
      </c>
      <c r="N673" t="str">
        <f t="shared" si="21"/>
        <v>Robusta</v>
      </c>
      <c r="O673" t="str" cm="1">
        <f t="array" ref="O673">_xlfn.IFS(J673="M", "Medium", J673="L", "Light", J673="D", "Dark")</f>
        <v>Light</v>
      </c>
      <c r="P673" t="str">
        <f>_xlfn.XLOOKUP(Orders[[#This Row],[Customer ID]], customers!$A$2:$A$1001, customers!$I$2:$I$1001, 0)</f>
        <v>No</v>
      </c>
    </row>
    <row r="674" spans="1:16" x14ac:dyDescent="0.35">
      <c r="A674" s="2" t="s">
        <v>4286</v>
      </c>
      <c r="B674" s="3">
        <v>43916</v>
      </c>
      <c r="C674" s="2" t="s">
        <v>4287</v>
      </c>
      <c r="D674" t="s">
        <v>6160</v>
      </c>
      <c r="E674" s="2">
        <v>5</v>
      </c>
      <c r="F674" s="2" t="str" cm="1">
        <f t="array" ref="F674">_xlfn.XLOOKUP(C674, customers!$A$1:A1673, customers!$B$1:B1673, 0)</f>
        <v>Layne Imason</v>
      </c>
      <c r="G674" s="2" t="str">
        <f>IF(_xlfn.XLOOKUP(C674, customers!A673:A1673, customers!C673:C1673, 0)=0, "", _xlfn.XLOOKUP(C674, customers!A673:A1673, customers!C673:C1673, 0))</f>
        <v>limasonio@discuz.net</v>
      </c>
      <c r="H674" s="2" t="str" cm="1">
        <f t="array" ref="H674">_xlfn.XLOOKUP(C674, customers!$A$1:A1673, customers!$G$1:G1673,, 0)</f>
        <v>United States</v>
      </c>
      <c r="I674" t="str" cm="1">
        <f t="array" ref="I674">_xlfn.XLOOKUP(orders!D674, products!$A$1:A721, products!$B$1:B721, 0)</f>
        <v>Lib</v>
      </c>
      <c r="J674" t="str" cm="1">
        <f t="array" ref="J674">_xlfn.XLOOKUP(D674, products!$A$1:A721, products!$C$1:C721, 0)</f>
        <v>M</v>
      </c>
      <c r="K674" s="4" cm="1">
        <f t="array" ref="K674">_xlfn.XLOOKUP(D674, products!$A$1:A721, products!$D$1:D721, 0)</f>
        <v>0.5</v>
      </c>
      <c r="L674" s="4" cm="1">
        <f t="array" ref="L674">_xlfn.XLOOKUP(D674, products!$A$1:A721, products!$E$1:E721)</f>
        <v>8.73</v>
      </c>
      <c r="M674">
        <f t="shared" si="20"/>
        <v>43.650000000000006</v>
      </c>
      <c r="N674" t="str">
        <f t="shared" si="21"/>
        <v>Liberica</v>
      </c>
      <c r="O674" t="str" cm="1">
        <f t="array" ref="O674">_xlfn.IFS(J674="M", "Medium", J674="L", "Light", J674="D", "Dark")</f>
        <v>Medium</v>
      </c>
      <c r="P674" t="str">
        <f>_xlfn.XLOOKUP(Orders[[#This Row],[Customer ID]], customers!$A$2:$A$1001, customers!$I$2:$I$1001, 0)</f>
        <v>Yes</v>
      </c>
    </row>
    <row r="675" spans="1:16" x14ac:dyDescent="0.35">
      <c r="A675" s="2" t="s">
        <v>4291</v>
      </c>
      <c r="B675" s="3">
        <v>44118</v>
      </c>
      <c r="C675" s="2" t="s">
        <v>4292</v>
      </c>
      <c r="D675" t="s">
        <v>6141</v>
      </c>
      <c r="E675" s="2">
        <v>6</v>
      </c>
      <c r="F675" s="2" t="str" cm="1">
        <f t="array" ref="F675">_xlfn.XLOOKUP(C675, customers!$A$1:A1674, customers!$B$1:B1674, 0)</f>
        <v>Hazel Saill</v>
      </c>
      <c r="G675" s="2" t="str">
        <f>IF(_xlfn.XLOOKUP(C675, customers!A674:A1674, customers!C674:C1674, 0)=0, "", _xlfn.XLOOKUP(C675, customers!A674:A1674, customers!C674:C1674, 0))</f>
        <v>hsaillip@odnoklassniki.ru</v>
      </c>
      <c r="H675" s="2" t="str" cm="1">
        <f t="array" ref="H675">_xlfn.XLOOKUP(C675, customers!$A$1:A1674, customers!$G$1:G1674,, 0)</f>
        <v>United States</v>
      </c>
      <c r="I675" t="str" cm="1">
        <f t="array" ref="I675">_xlfn.XLOOKUP(orders!D675, products!$A$1:A722, products!$B$1:B722, 0)</f>
        <v>Exc</v>
      </c>
      <c r="J675" t="str" cm="1">
        <f t="array" ref="J675">_xlfn.XLOOKUP(D675, products!$A$1:A722, products!$C$1:C722, 0)</f>
        <v>M</v>
      </c>
      <c r="K675" s="4" cm="1">
        <f t="array" ref="K675">_xlfn.XLOOKUP(D675, products!$A$1:A722, products!$D$1:D722, 0)</f>
        <v>1</v>
      </c>
      <c r="L675" s="4" cm="1">
        <f t="array" ref="L675">_xlfn.XLOOKUP(D675, products!$A$1:A722, products!$E$1:E722)</f>
        <v>13.75</v>
      </c>
      <c r="M675">
        <f t="shared" si="20"/>
        <v>82.5</v>
      </c>
      <c r="N675" t="str">
        <f t="shared" si="21"/>
        <v>Excelsa</v>
      </c>
      <c r="O675" t="str" cm="1">
        <f t="array" ref="O675">_xlfn.IFS(J675="M", "Medium", J675="L", "Light", J675="D", "Dark")</f>
        <v>Medium</v>
      </c>
      <c r="P675" t="str">
        <f>_xlfn.XLOOKUP(Orders[[#This Row],[Customer ID]], customers!$A$2:$A$1001, customers!$I$2:$I$1001, 0)</f>
        <v>Yes</v>
      </c>
    </row>
    <row r="676" spans="1:16" x14ac:dyDescent="0.35">
      <c r="A676" s="2" t="s">
        <v>4297</v>
      </c>
      <c r="B676" s="3">
        <v>44543</v>
      </c>
      <c r="C676" s="2" t="s">
        <v>4298</v>
      </c>
      <c r="D676" t="s">
        <v>6182</v>
      </c>
      <c r="E676" s="2">
        <v>6</v>
      </c>
      <c r="F676" s="2" t="str" cm="1">
        <f t="array" ref="F676">_xlfn.XLOOKUP(C676, customers!$A$1:A1675, customers!$B$1:B1675, 0)</f>
        <v>Hermann Larvor</v>
      </c>
      <c r="G676" s="2" t="str">
        <f>IF(_xlfn.XLOOKUP(C676, customers!A675:A1675, customers!C675:C1675, 0)=0, "", _xlfn.XLOOKUP(C676, customers!A675:A1675, customers!C675:C1675, 0))</f>
        <v>hlarvoriq@last.fm</v>
      </c>
      <c r="H676" s="2" t="str" cm="1">
        <f t="array" ref="H676">_xlfn.XLOOKUP(C676, customers!$A$1:A1675, customers!$G$1:G1675,, 0)</f>
        <v>United States</v>
      </c>
      <c r="I676" t="str" cm="1">
        <f t="array" ref="I676">_xlfn.XLOOKUP(orders!D676, products!$A$1:A723, products!$B$1:B723, 0)</f>
        <v>Ara</v>
      </c>
      <c r="J676" t="str" cm="1">
        <f t="array" ref="J676">_xlfn.XLOOKUP(D676, products!$A$1:A723, products!$C$1:C723, 0)</f>
        <v>L</v>
      </c>
      <c r="K676" s="4" cm="1">
        <f t="array" ref="K676">_xlfn.XLOOKUP(D676, products!$A$1:A723, products!$D$1:D723, 0)</f>
        <v>2.5</v>
      </c>
      <c r="L676" s="4" cm="1">
        <f t="array" ref="L676">_xlfn.XLOOKUP(D676, products!$A$1:A723, products!$E$1:E723)</f>
        <v>29.784999999999997</v>
      </c>
      <c r="M676">
        <f t="shared" si="20"/>
        <v>178.70999999999998</v>
      </c>
      <c r="N676" t="str">
        <f t="shared" si="21"/>
        <v>Arabica</v>
      </c>
      <c r="O676" t="str" cm="1">
        <f t="array" ref="O676">_xlfn.IFS(J676="M", "Medium", J676="L", "Light", J676="D", "Dark")</f>
        <v>Light</v>
      </c>
      <c r="P676" t="str">
        <f>_xlfn.XLOOKUP(Orders[[#This Row],[Customer ID]], customers!$A$2:$A$1001, customers!$I$2:$I$1001, 0)</f>
        <v>Yes</v>
      </c>
    </row>
    <row r="677" spans="1:16" x14ac:dyDescent="0.35">
      <c r="A677" s="2" t="s">
        <v>4303</v>
      </c>
      <c r="B677" s="3">
        <v>44263</v>
      </c>
      <c r="C677" s="2" t="s">
        <v>4304</v>
      </c>
      <c r="D677" t="s">
        <v>6165</v>
      </c>
      <c r="E677" s="2">
        <v>4</v>
      </c>
      <c r="F677" s="2" t="str" cm="1">
        <f t="array" ref="F677">_xlfn.XLOOKUP(C677, customers!$A$1:A1676, customers!$B$1:B1676, 0)</f>
        <v>Terri Lyford</v>
      </c>
      <c r="G677" s="2" t="str">
        <f>IF(_xlfn.XLOOKUP(C677, customers!A676:A1676, customers!C676:C1676, 0)=0, "", _xlfn.XLOOKUP(C677, customers!A676:A1676, customers!C676:C1676, 0))</f>
        <v/>
      </c>
      <c r="H677" s="2" t="str" cm="1">
        <f t="array" ref="H677">_xlfn.XLOOKUP(C677, customers!$A$1:A1676, customers!$G$1:G1676,, 0)</f>
        <v>United States</v>
      </c>
      <c r="I677" t="str" cm="1">
        <f t="array" ref="I677">_xlfn.XLOOKUP(orders!D677, products!$A$1:A724, products!$B$1:B724, 0)</f>
        <v>Lib</v>
      </c>
      <c r="J677" t="str" cm="1">
        <f t="array" ref="J677">_xlfn.XLOOKUP(D677, products!$A$1:A724, products!$C$1:C724, 0)</f>
        <v>D</v>
      </c>
      <c r="K677" s="4" cm="1">
        <f t="array" ref="K677">_xlfn.XLOOKUP(D677, products!$A$1:A724, products!$D$1:D724, 0)</f>
        <v>2.5</v>
      </c>
      <c r="L677" s="4" cm="1">
        <f t="array" ref="L677">_xlfn.XLOOKUP(D677, products!$A$1:A724, products!$E$1:E724)</f>
        <v>29.784999999999997</v>
      </c>
      <c r="M677">
        <f t="shared" si="20"/>
        <v>119.13999999999999</v>
      </c>
      <c r="N677" t="str">
        <f t="shared" si="21"/>
        <v>Liberica</v>
      </c>
      <c r="O677" t="str" cm="1">
        <f t="array" ref="O677">_xlfn.IFS(J677="M", "Medium", J677="L", "Light", J677="D", "Dark")</f>
        <v>Dark</v>
      </c>
      <c r="P677" t="str">
        <f>_xlfn.XLOOKUP(Orders[[#This Row],[Customer ID]], customers!$A$2:$A$1001, customers!$I$2:$I$1001, 0)</f>
        <v>Yes</v>
      </c>
    </row>
    <row r="678" spans="1:16" x14ac:dyDescent="0.35">
      <c r="A678" s="2" t="s">
        <v>4308</v>
      </c>
      <c r="B678" s="3">
        <v>44217</v>
      </c>
      <c r="C678" s="2" t="s">
        <v>4309</v>
      </c>
      <c r="D678" t="s">
        <v>6161</v>
      </c>
      <c r="E678" s="2">
        <v>5</v>
      </c>
      <c r="F678" s="2" t="str" cm="1">
        <f t="array" ref="F678">_xlfn.XLOOKUP(C678, customers!$A$1:A1677, customers!$B$1:B1677, 0)</f>
        <v>Gabey Cogan</v>
      </c>
      <c r="G678" s="2" t="str">
        <f>IF(_xlfn.XLOOKUP(C678, customers!A677:A1677, customers!C677:C1677, 0)=0, "", _xlfn.XLOOKUP(C678, customers!A677:A1677, customers!C677:C1677, 0))</f>
        <v/>
      </c>
      <c r="H678" s="2" t="str" cm="1">
        <f t="array" ref="H678">_xlfn.XLOOKUP(C678, customers!$A$1:A1677, customers!$G$1:G1677,, 0)</f>
        <v>United States</v>
      </c>
      <c r="I678" t="str" cm="1">
        <f t="array" ref="I678">_xlfn.XLOOKUP(orders!D678, products!$A$1:A725, products!$B$1:B725, 0)</f>
        <v>Lib</v>
      </c>
      <c r="J678" t="str" cm="1">
        <f t="array" ref="J678">_xlfn.XLOOKUP(D678, products!$A$1:A725, products!$C$1:C725, 0)</f>
        <v>L</v>
      </c>
      <c r="K678" s="4" cm="1">
        <f t="array" ref="K678">_xlfn.XLOOKUP(D678, products!$A$1:A725, products!$D$1:D725, 0)</f>
        <v>0.5</v>
      </c>
      <c r="L678" s="4" cm="1">
        <f t="array" ref="L678">_xlfn.XLOOKUP(D678, products!$A$1:A725, products!$E$1:E725)</f>
        <v>9.51</v>
      </c>
      <c r="M678">
        <f t="shared" si="20"/>
        <v>47.55</v>
      </c>
      <c r="N678" t="str">
        <f t="shared" si="21"/>
        <v>Liberica</v>
      </c>
      <c r="O678" t="str" cm="1">
        <f t="array" ref="O678">_xlfn.IFS(J678="M", "Medium", J678="L", "Light", J678="D", "Dark")</f>
        <v>Light</v>
      </c>
      <c r="P678" t="str">
        <f>_xlfn.XLOOKUP(Orders[[#This Row],[Customer ID]], customers!$A$2:$A$1001, customers!$I$2:$I$1001, 0)</f>
        <v>No</v>
      </c>
    </row>
    <row r="679" spans="1:16" x14ac:dyDescent="0.35">
      <c r="A679" s="2" t="s">
        <v>4313</v>
      </c>
      <c r="B679" s="3">
        <v>44206</v>
      </c>
      <c r="C679" s="2" t="s">
        <v>4314</v>
      </c>
      <c r="D679" t="s">
        <v>6160</v>
      </c>
      <c r="E679" s="2">
        <v>5</v>
      </c>
      <c r="F679" s="2" t="str" cm="1">
        <f t="array" ref="F679">_xlfn.XLOOKUP(C679, customers!$A$1:A1678, customers!$B$1:B1678, 0)</f>
        <v>Charin Penwarden</v>
      </c>
      <c r="G679" s="2" t="str">
        <f>IF(_xlfn.XLOOKUP(C679, customers!A678:A1678, customers!C678:C1678, 0)=0, "", _xlfn.XLOOKUP(C679, customers!A678:A1678, customers!C678:C1678, 0))</f>
        <v>cpenwardenit@mlb.com</v>
      </c>
      <c r="H679" s="2" t="str" cm="1">
        <f t="array" ref="H679">_xlfn.XLOOKUP(C679, customers!$A$1:A1678, customers!$G$1:G1678,, 0)</f>
        <v>Ireland</v>
      </c>
      <c r="I679" t="str" cm="1">
        <f t="array" ref="I679">_xlfn.XLOOKUP(orders!D679, products!$A$1:A726, products!$B$1:B726, 0)</f>
        <v>Lib</v>
      </c>
      <c r="J679" t="str" cm="1">
        <f t="array" ref="J679">_xlfn.XLOOKUP(D679, products!$A$1:A726, products!$C$1:C726, 0)</f>
        <v>M</v>
      </c>
      <c r="K679" s="4" cm="1">
        <f t="array" ref="K679">_xlfn.XLOOKUP(D679, products!$A$1:A726, products!$D$1:D726, 0)</f>
        <v>0.5</v>
      </c>
      <c r="L679" s="4" cm="1">
        <f t="array" ref="L679">_xlfn.XLOOKUP(D679, products!$A$1:A726, products!$E$1:E726)</f>
        <v>8.73</v>
      </c>
      <c r="M679">
        <f t="shared" si="20"/>
        <v>43.650000000000006</v>
      </c>
      <c r="N679" t="str">
        <f t="shared" si="21"/>
        <v>Liberica</v>
      </c>
      <c r="O679" t="str" cm="1">
        <f t="array" ref="O679">_xlfn.IFS(J679="M", "Medium", J679="L", "Light", J679="D", "Dark")</f>
        <v>Medium</v>
      </c>
      <c r="P679" t="str">
        <f>_xlfn.XLOOKUP(Orders[[#This Row],[Customer ID]], customers!$A$2:$A$1001, customers!$I$2:$I$1001, 0)</f>
        <v>No</v>
      </c>
    </row>
    <row r="680" spans="1:16" x14ac:dyDescent="0.35">
      <c r="A680" s="2" t="s">
        <v>4319</v>
      </c>
      <c r="B680" s="3">
        <v>44281</v>
      </c>
      <c r="C680" s="2" t="s">
        <v>4320</v>
      </c>
      <c r="D680" t="s">
        <v>6182</v>
      </c>
      <c r="E680" s="2">
        <v>6</v>
      </c>
      <c r="F680" s="2" t="str" cm="1">
        <f t="array" ref="F680">_xlfn.XLOOKUP(C680, customers!$A$1:A1679, customers!$B$1:B1679, 0)</f>
        <v>Milty Middis</v>
      </c>
      <c r="G680" s="2" t="str">
        <f>IF(_xlfn.XLOOKUP(C680, customers!A679:A1679, customers!C679:C1679, 0)=0, "", _xlfn.XLOOKUP(C680, customers!A679:A1679, customers!C679:C1679, 0))</f>
        <v>mmiddisiu@dmoz.org</v>
      </c>
      <c r="H680" s="2" t="str" cm="1">
        <f t="array" ref="H680">_xlfn.XLOOKUP(C680, customers!$A$1:A1679, customers!$G$1:G1679,, 0)</f>
        <v>United States</v>
      </c>
      <c r="I680" t="str" cm="1">
        <f t="array" ref="I680">_xlfn.XLOOKUP(orders!D680, products!$A$1:A727, products!$B$1:B727, 0)</f>
        <v>Ara</v>
      </c>
      <c r="J680" t="str" cm="1">
        <f t="array" ref="J680">_xlfn.XLOOKUP(D680, products!$A$1:A727, products!$C$1:C727, 0)</f>
        <v>L</v>
      </c>
      <c r="K680" s="4" cm="1">
        <f t="array" ref="K680">_xlfn.XLOOKUP(D680, products!$A$1:A727, products!$D$1:D727, 0)</f>
        <v>2.5</v>
      </c>
      <c r="L680" s="4" cm="1">
        <f t="array" ref="L680">_xlfn.XLOOKUP(D680, products!$A$1:A727, products!$E$1:E727)</f>
        <v>29.784999999999997</v>
      </c>
      <c r="M680">
        <f t="shared" si="20"/>
        <v>178.70999999999998</v>
      </c>
      <c r="N680" t="str">
        <f t="shared" si="21"/>
        <v>Arabica</v>
      </c>
      <c r="O680" t="str" cm="1">
        <f t="array" ref="O680">_xlfn.IFS(J680="M", "Medium", J680="L", "Light", J680="D", "Dark")</f>
        <v>Light</v>
      </c>
      <c r="P680" t="str">
        <f>_xlfn.XLOOKUP(Orders[[#This Row],[Customer ID]], customers!$A$2:$A$1001, customers!$I$2:$I$1001, 0)</f>
        <v>Yes</v>
      </c>
    </row>
    <row r="681" spans="1:16" x14ac:dyDescent="0.35">
      <c r="A681" s="2" t="s">
        <v>4325</v>
      </c>
      <c r="B681" s="3">
        <v>44645</v>
      </c>
      <c r="C681" s="2" t="s">
        <v>4326</v>
      </c>
      <c r="D681" t="s">
        <v>6142</v>
      </c>
      <c r="E681" s="2">
        <v>1</v>
      </c>
      <c r="F681" s="2" t="str" cm="1">
        <f t="array" ref="F681">_xlfn.XLOOKUP(C681, customers!$A$1:A1680, customers!$B$1:B1680, 0)</f>
        <v>Adrianne Vairow</v>
      </c>
      <c r="G681" s="2" t="str">
        <f>IF(_xlfn.XLOOKUP(C681, customers!A680:A1680, customers!C680:C1680, 0)=0, "", _xlfn.XLOOKUP(C681, customers!A680:A1680, customers!C680:C1680, 0))</f>
        <v>avairowiv@studiopress.com</v>
      </c>
      <c r="H681" s="2" t="str" cm="1">
        <f t="array" ref="H681">_xlfn.XLOOKUP(C681, customers!$A$1:A1680, customers!$G$1:G1680,, 0)</f>
        <v>United Kingdom</v>
      </c>
      <c r="I681" t="str" cm="1">
        <f t="array" ref="I681">_xlfn.XLOOKUP(orders!D681, products!$A$1:A728, products!$B$1:B728, 0)</f>
        <v>Rob</v>
      </c>
      <c r="J681" t="str" cm="1">
        <f t="array" ref="J681">_xlfn.XLOOKUP(D681, products!$A$1:A728, products!$C$1:C728, 0)</f>
        <v>L</v>
      </c>
      <c r="K681" s="4" cm="1">
        <f t="array" ref="K681">_xlfn.XLOOKUP(D681, products!$A$1:A728, products!$D$1:D728, 0)</f>
        <v>2.5</v>
      </c>
      <c r="L681" s="4" cm="1">
        <f t="array" ref="L681">_xlfn.XLOOKUP(D681, products!$A$1:A728, products!$E$1:E728)</f>
        <v>27.484999999999996</v>
      </c>
      <c r="M681">
        <f t="shared" si="20"/>
        <v>27.484999999999996</v>
      </c>
      <c r="N681" t="str">
        <f t="shared" si="21"/>
        <v>Robusta</v>
      </c>
      <c r="O681" t="str" cm="1">
        <f t="array" ref="O681">_xlfn.IFS(J681="M", "Medium", J681="L", "Light", J681="D", "Dark")</f>
        <v>Light</v>
      </c>
      <c r="P681" t="str">
        <f>_xlfn.XLOOKUP(Orders[[#This Row],[Customer ID]], customers!$A$2:$A$1001, customers!$I$2:$I$1001, 0)</f>
        <v>No</v>
      </c>
    </row>
    <row r="682" spans="1:16" x14ac:dyDescent="0.35">
      <c r="A682" s="2" t="s">
        <v>4331</v>
      </c>
      <c r="B682" s="3">
        <v>44399</v>
      </c>
      <c r="C682" s="2" t="s">
        <v>4332</v>
      </c>
      <c r="D682" t="s">
        <v>6155</v>
      </c>
      <c r="E682" s="2">
        <v>5</v>
      </c>
      <c r="F682" s="2" t="str" cm="1">
        <f t="array" ref="F682">_xlfn.XLOOKUP(C682, customers!$A$1:A1681, customers!$B$1:B1681, 0)</f>
        <v>Anjanette Goldie</v>
      </c>
      <c r="G682" s="2" t="str">
        <f>IF(_xlfn.XLOOKUP(C682, customers!A681:A1681, customers!C681:C1681, 0)=0, "", _xlfn.XLOOKUP(C682, customers!A681:A1681, customers!C681:C1681, 0))</f>
        <v>agoldieiw@goo.gl</v>
      </c>
      <c r="H682" s="2" t="str" cm="1">
        <f t="array" ref="H682">_xlfn.XLOOKUP(C682, customers!$A$1:A1681, customers!$G$1:G1681,, 0)</f>
        <v>United States</v>
      </c>
      <c r="I682" t="str" cm="1">
        <f t="array" ref="I682">_xlfn.XLOOKUP(orders!D682, products!$A$1:A729, products!$B$1:B729, 0)</f>
        <v>Ara</v>
      </c>
      <c r="J682" t="str" cm="1">
        <f t="array" ref="J682">_xlfn.XLOOKUP(D682, products!$A$1:A729, products!$C$1:C729, 0)</f>
        <v>M</v>
      </c>
      <c r="K682" s="4" cm="1">
        <f t="array" ref="K682">_xlfn.XLOOKUP(D682, products!$A$1:A729, products!$D$1:D729, 0)</f>
        <v>1</v>
      </c>
      <c r="L682" s="4" cm="1">
        <f t="array" ref="L682">_xlfn.XLOOKUP(D682, products!$A$1:A729, products!$E$1:E729)</f>
        <v>11.25</v>
      </c>
      <c r="M682">
        <f t="shared" si="20"/>
        <v>56.25</v>
      </c>
      <c r="N682" t="str">
        <f t="shared" si="21"/>
        <v>Arabica</v>
      </c>
      <c r="O682" t="str" cm="1">
        <f t="array" ref="O682">_xlfn.IFS(J682="M", "Medium", J682="L", "Light", J682="D", "Dark")</f>
        <v>Medium</v>
      </c>
      <c r="P682" t="str">
        <f>_xlfn.XLOOKUP(Orders[[#This Row],[Customer ID]], customers!$A$2:$A$1001, customers!$I$2:$I$1001, 0)</f>
        <v>No</v>
      </c>
    </row>
    <row r="683" spans="1:16" x14ac:dyDescent="0.35">
      <c r="A683" s="2" t="s">
        <v>4336</v>
      </c>
      <c r="B683" s="3">
        <v>44080</v>
      </c>
      <c r="C683" s="2" t="s">
        <v>4337</v>
      </c>
      <c r="D683" t="s">
        <v>6145</v>
      </c>
      <c r="E683" s="2">
        <v>2</v>
      </c>
      <c r="F683" s="2" t="str" cm="1">
        <f t="array" ref="F683">_xlfn.XLOOKUP(C683, customers!$A$1:A1682, customers!$B$1:B1682, 0)</f>
        <v>Nicky Ayris</v>
      </c>
      <c r="G683" s="2" t="str">
        <f>IF(_xlfn.XLOOKUP(C683, customers!A682:A1682, customers!C682:C1682, 0)=0, "", _xlfn.XLOOKUP(C683, customers!A682:A1682, customers!C682:C1682, 0))</f>
        <v>nayrisix@t-online.de</v>
      </c>
      <c r="H683" s="2" t="str" cm="1">
        <f t="array" ref="H683">_xlfn.XLOOKUP(C683, customers!$A$1:A1682, customers!$G$1:G1682,, 0)</f>
        <v>United Kingdom</v>
      </c>
      <c r="I683" t="str" cm="1">
        <f t="array" ref="I683">_xlfn.XLOOKUP(orders!D683, products!$A$1:A730, products!$B$1:B730, 0)</f>
        <v>Lib</v>
      </c>
      <c r="J683" t="str" cm="1">
        <f t="array" ref="J683">_xlfn.XLOOKUP(D683, products!$A$1:A730, products!$C$1:C730, 0)</f>
        <v>L</v>
      </c>
      <c r="K683" s="4" cm="1">
        <f t="array" ref="K683">_xlfn.XLOOKUP(D683, products!$A$1:A730, products!$D$1:D730, 0)</f>
        <v>0.2</v>
      </c>
      <c r="L683" s="4" cm="1">
        <f t="array" ref="L683">_xlfn.XLOOKUP(D683, products!$A$1:A730, products!$E$1:E730)</f>
        <v>4.7549999999999999</v>
      </c>
      <c r="M683">
        <f t="shared" si="20"/>
        <v>9.51</v>
      </c>
      <c r="N683" t="str">
        <f t="shared" si="21"/>
        <v>Liberica</v>
      </c>
      <c r="O683" t="str" cm="1">
        <f t="array" ref="O683">_xlfn.IFS(J683="M", "Medium", J683="L", "Light", J683="D", "Dark")</f>
        <v>Light</v>
      </c>
      <c r="P683" t="str">
        <f>_xlfn.XLOOKUP(Orders[[#This Row],[Customer ID]], customers!$A$2:$A$1001, customers!$I$2:$I$1001, 0)</f>
        <v>Yes</v>
      </c>
    </row>
    <row r="684" spans="1:16" x14ac:dyDescent="0.35">
      <c r="A684" s="2" t="s">
        <v>4342</v>
      </c>
      <c r="B684" s="3">
        <v>43827</v>
      </c>
      <c r="C684" s="2" t="s">
        <v>4343</v>
      </c>
      <c r="D684" t="s">
        <v>6156</v>
      </c>
      <c r="E684" s="2">
        <v>2</v>
      </c>
      <c r="F684" s="2" t="str" cm="1">
        <f t="array" ref="F684">_xlfn.XLOOKUP(C684, customers!$A$1:A1683, customers!$B$1:B1683, 0)</f>
        <v>Laryssa Benediktovich</v>
      </c>
      <c r="G684" s="2" t="str">
        <f>IF(_xlfn.XLOOKUP(C684, customers!A683:A1683, customers!C683:C1683, 0)=0, "", _xlfn.XLOOKUP(C684, customers!A683:A1683, customers!C683:C1683, 0))</f>
        <v>lbenediktovichiy@wunderground.com</v>
      </c>
      <c r="H684" s="2" t="str" cm="1">
        <f t="array" ref="H684">_xlfn.XLOOKUP(C684, customers!$A$1:A1683, customers!$G$1:G1683,, 0)</f>
        <v>United States</v>
      </c>
      <c r="I684" t="str" cm="1">
        <f t="array" ref="I684">_xlfn.XLOOKUP(orders!D684, products!$A$1:A731, products!$B$1:B731, 0)</f>
        <v>Exc</v>
      </c>
      <c r="J684" t="str" cm="1">
        <f t="array" ref="J684">_xlfn.XLOOKUP(D684, products!$A$1:A731, products!$C$1:C731, 0)</f>
        <v>M</v>
      </c>
      <c r="K684" s="4" cm="1">
        <f t="array" ref="K684">_xlfn.XLOOKUP(D684, products!$A$1:A731, products!$D$1:D731, 0)</f>
        <v>0.2</v>
      </c>
      <c r="L684" s="4" cm="1">
        <f t="array" ref="L684">_xlfn.XLOOKUP(D684, products!$A$1:A731, products!$E$1:E731)</f>
        <v>4.125</v>
      </c>
      <c r="M684">
        <f t="shared" si="20"/>
        <v>8.25</v>
      </c>
      <c r="N684" t="str">
        <f t="shared" si="21"/>
        <v>Excelsa</v>
      </c>
      <c r="O684" t="str" cm="1">
        <f t="array" ref="O684">_xlfn.IFS(J684="M", "Medium", J684="L", "Light", J684="D", "Dark")</f>
        <v>Medium</v>
      </c>
      <c r="P684" t="str">
        <f>_xlfn.XLOOKUP(Orders[[#This Row],[Customer ID]], customers!$A$2:$A$1001, customers!$I$2:$I$1001, 0)</f>
        <v>Yes</v>
      </c>
    </row>
    <row r="685" spans="1:16" x14ac:dyDescent="0.35">
      <c r="A685" s="2" t="s">
        <v>4348</v>
      </c>
      <c r="B685" s="3">
        <v>43941</v>
      </c>
      <c r="C685" s="2" t="s">
        <v>4349</v>
      </c>
      <c r="D685" t="s">
        <v>6169</v>
      </c>
      <c r="E685" s="2">
        <v>6</v>
      </c>
      <c r="F685" s="2" t="str" cm="1">
        <f t="array" ref="F685">_xlfn.XLOOKUP(C685, customers!$A$1:A1684, customers!$B$1:B1684, 0)</f>
        <v>Theo Jacobovitz</v>
      </c>
      <c r="G685" s="2" t="str">
        <f>IF(_xlfn.XLOOKUP(C685, customers!A684:A1684, customers!C684:C1684, 0)=0, "", _xlfn.XLOOKUP(C685, customers!A684:A1684, customers!C684:C1684, 0))</f>
        <v>tjacobovitziz@cbc.ca</v>
      </c>
      <c r="H685" s="2" t="str" cm="1">
        <f t="array" ref="H685">_xlfn.XLOOKUP(C685, customers!$A$1:A1684, customers!$G$1:G1684,, 0)</f>
        <v>United States</v>
      </c>
      <c r="I685" t="str" cm="1">
        <f t="array" ref="I685">_xlfn.XLOOKUP(orders!D685, products!$A$1:A732, products!$B$1:B732, 0)</f>
        <v>Lib</v>
      </c>
      <c r="J685" t="str" cm="1">
        <f t="array" ref="J685">_xlfn.XLOOKUP(D685, products!$A$1:A732, products!$C$1:C732, 0)</f>
        <v>D</v>
      </c>
      <c r="K685" s="4" cm="1">
        <f t="array" ref="K685">_xlfn.XLOOKUP(D685, products!$A$1:A732, products!$D$1:D732, 0)</f>
        <v>0.5</v>
      </c>
      <c r="L685" s="4" cm="1">
        <f t="array" ref="L685">_xlfn.XLOOKUP(D685, products!$A$1:A732, products!$E$1:E732)</f>
        <v>7.77</v>
      </c>
      <c r="M685">
        <f t="shared" si="20"/>
        <v>46.62</v>
      </c>
      <c r="N685" t="str">
        <f t="shared" si="21"/>
        <v>Liberica</v>
      </c>
      <c r="O685" t="str" cm="1">
        <f t="array" ref="O685">_xlfn.IFS(J685="M", "Medium", J685="L", "Light", J685="D", "Dark")</f>
        <v>Dark</v>
      </c>
      <c r="P685" t="str">
        <f>_xlfn.XLOOKUP(Orders[[#This Row],[Customer ID]], customers!$A$2:$A$1001, customers!$I$2:$I$1001, 0)</f>
        <v>No</v>
      </c>
    </row>
    <row r="686" spans="1:16" x14ac:dyDescent="0.35">
      <c r="A686" s="2" t="s">
        <v>4354</v>
      </c>
      <c r="B686" s="3">
        <v>43517</v>
      </c>
      <c r="C686" s="2" t="s">
        <v>4355</v>
      </c>
      <c r="D686" t="s">
        <v>6179</v>
      </c>
      <c r="E686" s="2">
        <v>6</v>
      </c>
      <c r="F686" s="2" t="str" cm="1">
        <f t="array" ref="F686">_xlfn.XLOOKUP(C686, customers!$A$1:A1685, customers!$B$1:B1685, 0)</f>
        <v>Becca Ableson</v>
      </c>
      <c r="G686" s="2" t="str">
        <f>IF(_xlfn.XLOOKUP(C686, customers!A685:A1685, customers!C685:C1685, 0)=0, "", _xlfn.XLOOKUP(C686, customers!A685:A1685, customers!C685:C1685, 0))</f>
        <v/>
      </c>
      <c r="H686" s="2" t="str" cm="1">
        <f t="array" ref="H686">_xlfn.XLOOKUP(C686, customers!$A$1:A1685, customers!$G$1:G1685,, 0)</f>
        <v>United States</v>
      </c>
      <c r="I686" t="str" cm="1">
        <f t="array" ref="I686">_xlfn.XLOOKUP(orders!D686, products!$A$1:A733, products!$B$1:B733, 0)</f>
        <v>Rob</v>
      </c>
      <c r="J686" t="str" cm="1">
        <f t="array" ref="J686">_xlfn.XLOOKUP(D686, products!$A$1:A733, products!$C$1:C733, 0)</f>
        <v>L</v>
      </c>
      <c r="K686" s="4" cm="1">
        <f t="array" ref="K686">_xlfn.XLOOKUP(D686, products!$A$1:A733, products!$D$1:D733, 0)</f>
        <v>1</v>
      </c>
      <c r="L686" s="4" cm="1">
        <f t="array" ref="L686">_xlfn.XLOOKUP(D686, products!$A$1:A733, products!$E$1:E733)</f>
        <v>11.95</v>
      </c>
      <c r="M686">
        <f t="shared" si="20"/>
        <v>71.699999999999989</v>
      </c>
      <c r="N686" t="str">
        <f t="shared" si="21"/>
        <v>Robusta</v>
      </c>
      <c r="O686" t="str" cm="1">
        <f t="array" ref="O686">_xlfn.IFS(J686="M", "Medium", J686="L", "Light", J686="D", "Dark")</f>
        <v>Light</v>
      </c>
      <c r="P686" t="str">
        <f>_xlfn.XLOOKUP(Orders[[#This Row],[Customer ID]], customers!$A$2:$A$1001, customers!$I$2:$I$1001, 0)</f>
        <v>No</v>
      </c>
    </row>
    <row r="687" spans="1:16" x14ac:dyDescent="0.35">
      <c r="A687" s="2" t="s">
        <v>4359</v>
      </c>
      <c r="B687" s="3">
        <v>44637</v>
      </c>
      <c r="C687" s="2" t="s">
        <v>4360</v>
      </c>
      <c r="D687" t="s">
        <v>6164</v>
      </c>
      <c r="E687" s="2">
        <v>2</v>
      </c>
      <c r="F687" s="2" t="str" cm="1">
        <f t="array" ref="F687">_xlfn.XLOOKUP(C687, customers!$A$1:A1686, customers!$B$1:B1686, 0)</f>
        <v>Jeno Druitt</v>
      </c>
      <c r="G687" s="2" t="str">
        <f>IF(_xlfn.XLOOKUP(C687, customers!A686:A1686, customers!C686:C1686, 0)=0, "", _xlfn.XLOOKUP(C687, customers!A686:A1686, customers!C686:C1686, 0))</f>
        <v>jdruittj1@feedburner.com</v>
      </c>
      <c r="H687" s="2" t="str" cm="1">
        <f t="array" ref="H687">_xlfn.XLOOKUP(C687, customers!$A$1:A1686, customers!$G$1:G1686,, 0)</f>
        <v>United States</v>
      </c>
      <c r="I687" t="str" cm="1">
        <f t="array" ref="I687">_xlfn.XLOOKUP(orders!D687, products!$A$1:A734, products!$B$1:B734, 0)</f>
        <v>Lib</v>
      </c>
      <c r="J687" t="str" cm="1">
        <f t="array" ref="J687">_xlfn.XLOOKUP(D687, products!$A$1:A734, products!$C$1:C734, 0)</f>
        <v>L</v>
      </c>
      <c r="K687" s="4" cm="1">
        <f t="array" ref="K687">_xlfn.XLOOKUP(D687, products!$A$1:A734, products!$D$1:D734, 0)</f>
        <v>2.5</v>
      </c>
      <c r="L687" s="4" cm="1">
        <f t="array" ref="L687">_xlfn.XLOOKUP(D687, products!$A$1:A734, products!$E$1:E734)</f>
        <v>36.454999999999998</v>
      </c>
      <c r="M687">
        <f t="shared" si="20"/>
        <v>72.91</v>
      </c>
      <c r="N687" t="str">
        <f t="shared" si="21"/>
        <v>Liberica</v>
      </c>
      <c r="O687" t="str" cm="1">
        <f t="array" ref="O687">_xlfn.IFS(J687="M", "Medium", J687="L", "Light", J687="D", "Dark")</f>
        <v>Light</v>
      </c>
      <c r="P687" t="str">
        <f>_xlfn.XLOOKUP(Orders[[#This Row],[Customer ID]], customers!$A$2:$A$1001, customers!$I$2:$I$1001, 0)</f>
        <v>Yes</v>
      </c>
    </row>
    <row r="688" spans="1:16" x14ac:dyDescent="0.35">
      <c r="A688" s="2" t="s">
        <v>4365</v>
      </c>
      <c r="B688" s="3">
        <v>44330</v>
      </c>
      <c r="C688" s="2" t="s">
        <v>4366</v>
      </c>
      <c r="D688" t="s">
        <v>6163</v>
      </c>
      <c r="E688" s="2">
        <v>3</v>
      </c>
      <c r="F688" s="2" t="str" cm="1">
        <f t="array" ref="F688">_xlfn.XLOOKUP(C688, customers!$A$1:A1687, customers!$B$1:B1687, 0)</f>
        <v>Deonne Shortall</v>
      </c>
      <c r="G688" s="2" t="str">
        <f>IF(_xlfn.XLOOKUP(C688, customers!A687:A1687, customers!C687:C1687, 0)=0, "", _xlfn.XLOOKUP(C688, customers!A687:A1687, customers!C687:C1687, 0))</f>
        <v>dshortallj2@wikipedia.org</v>
      </c>
      <c r="H688" s="2" t="str" cm="1">
        <f t="array" ref="H688">_xlfn.XLOOKUP(C688, customers!$A$1:A1687, customers!$G$1:G1687,, 0)</f>
        <v>United States</v>
      </c>
      <c r="I688" t="str" cm="1">
        <f t="array" ref="I688">_xlfn.XLOOKUP(orders!D688, products!$A$1:A735, products!$B$1:B735, 0)</f>
        <v>Rob</v>
      </c>
      <c r="J688" t="str" cm="1">
        <f t="array" ref="J688">_xlfn.XLOOKUP(D688, products!$A$1:A735, products!$C$1:C735, 0)</f>
        <v>D</v>
      </c>
      <c r="K688" s="4" cm="1">
        <f t="array" ref="K688">_xlfn.XLOOKUP(D688, products!$A$1:A735, products!$D$1:D735, 0)</f>
        <v>0.2</v>
      </c>
      <c r="L688" s="4" cm="1">
        <f t="array" ref="L688">_xlfn.XLOOKUP(D688, products!$A$1:A735, products!$E$1:E735)</f>
        <v>2.6849999999999996</v>
      </c>
      <c r="M688">
        <f t="shared" si="20"/>
        <v>8.0549999999999997</v>
      </c>
      <c r="N688" t="str">
        <f t="shared" si="21"/>
        <v>Robusta</v>
      </c>
      <c r="O688" t="str" cm="1">
        <f t="array" ref="O688">_xlfn.IFS(J688="M", "Medium", J688="L", "Light", J688="D", "Dark")</f>
        <v>Dark</v>
      </c>
      <c r="P688" t="str">
        <f>_xlfn.XLOOKUP(Orders[[#This Row],[Customer ID]], customers!$A$2:$A$1001, customers!$I$2:$I$1001, 0)</f>
        <v>Yes</v>
      </c>
    </row>
    <row r="689" spans="1:16" x14ac:dyDescent="0.35">
      <c r="A689" s="2" t="s">
        <v>4371</v>
      </c>
      <c r="B689" s="3">
        <v>43471</v>
      </c>
      <c r="C689" s="2" t="s">
        <v>4372</v>
      </c>
      <c r="D689" t="s">
        <v>6139</v>
      </c>
      <c r="E689" s="2">
        <v>2</v>
      </c>
      <c r="F689" s="2" t="str" cm="1">
        <f t="array" ref="F689">_xlfn.XLOOKUP(C689, customers!$A$1:A1688, customers!$B$1:B1688, 0)</f>
        <v>Wilton Cottier</v>
      </c>
      <c r="G689" s="2" t="str">
        <f>IF(_xlfn.XLOOKUP(C689, customers!A688:A1688, customers!C688:C1688, 0)=0, "", _xlfn.XLOOKUP(C689, customers!A688:A1688, customers!C688:C1688, 0))</f>
        <v>wcottierj3@cafepress.com</v>
      </c>
      <c r="H689" s="2" t="str" cm="1">
        <f t="array" ref="H689">_xlfn.XLOOKUP(C689, customers!$A$1:A1688, customers!$G$1:G1688,, 0)</f>
        <v>United States</v>
      </c>
      <c r="I689" t="str" cm="1">
        <f t="array" ref="I689">_xlfn.XLOOKUP(orders!D689, products!$A$1:A736, products!$B$1:B736, 0)</f>
        <v>Exc</v>
      </c>
      <c r="J689" t="str" cm="1">
        <f t="array" ref="J689">_xlfn.XLOOKUP(D689, products!$A$1:A736, products!$C$1:C736, 0)</f>
        <v>M</v>
      </c>
      <c r="K689" s="4" cm="1">
        <f t="array" ref="K689">_xlfn.XLOOKUP(D689, products!$A$1:A736, products!$D$1:D736, 0)</f>
        <v>0.5</v>
      </c>
      <c r="L689" s="4" cm="1">
        <f t="array" ref="L689">_xlfn.XLOOKUP(D689, products!$A$1:A736, products!$E$1:E736)</f>
        <v>8.25</v>
      </c>
      <c r="M689">
        <f t="shared" si="20"/>
        <v>16.5</v>
      </c>
      <c r="N689" t="str">
        <f t="shared" si="21"/>
        <v>Excelsa</v>
      </c>
      <c r="O689" t="str" cm="1">
        <f t="array" ref="O689">_xlfn.IFS(J689="M", "Medium", J689="L", "Light", J689="D", "Dark")</f>
        <v>Medium</v>
      </c>
      <c r="P689" t="str">
        <f>_xlfn.XLOOKUP(Orders[[#This Row],[Customer ID]], customers!$A$2:$A$1001, customers!$I$2:$I$1001, 0)</f>
        <v>No</v>
      </c>
    </row>
    <row r="690" spans="1:16" x14ac:dyDescent="0.35">
      <c r="A690" s="2" t="s">
        <v>4377</v>
      </c>
      <c r="B690" s="3">
        <v>43579</v>
      </c>
      <c r="C690" s="2" t="s">
        <v>4378</v>
      </c>
      <c r="D690" t="s">
        <v>6140</v>
      </c>
      <c r="E690" s="2">
        <v>5</v>
      </c>
      <c r="F690" s="2" t="str" cm="1">
        <f t="array" ref="F690">_xlfn.XLOOKUP(C690, customers!$A$1:A1689, customers!$B$1:B1689, 0)</f>
        <v>Kevan Grinsted</v>
      </c>
      <c r="G690" s="2" t="str">
        <f>IF(_xlfn.XLOOKUP(C690, customers!A689:A1689, customers!C689:C1689, 0)=0, "", _xlfn.XLOOKUP(C690, customers!A689:A1689, customers!C689:C1689, 0))</f>
        <v>kgrinstedj4@google.com.br</v>
      </c>
      <c r="H690" s="2" t="str" cm="1">
        <f t="array" ref="H690">_xlfn.XLOOKUP(C690, customers!$A$1:A1689, customers!$G$1:G1689,, 0)</f>
        <v>Ireland</v>
      </c>
      <c r="I690" t="str" cm="1">
        <f t="array" ref="I690">_xlfn.XLOOKUP(orders!D690, products!$A$1:A737, products!$B$1:B737, 0)</f>
        <v>Ara</v>
      </c>
      <c r="J690" t="str" cm="1">
        <f t="array" ref="J690">_xlfn.XLOOKUP(D690, products!$A$1:A737, products!$C$1:C737, 0)</f>
        <v>L</v>
      </c>
      <c r="K690" s="4" cm="1">
        <f t="array" ref="K690">_xlfn.XLOOKUP(D690, products!$A$1:A737, products!$D$1:D737, 0)</f>
        <v>1</v>
      </c>
      <c r="L690" s="4" cm="1">
        <f t="array" ref="L690">_xlfn.XLOOKUP(D690, products!$A$1:A737, products!$E$1:E737)</f>
        <v>12.95</v>
      </c>
      <c r="M690">
        <f t="shared" si="20"/>
        <v>64.75</v>
      </c>
      <c r="N690" t="str">
        <f t="shared" si="21"/>
        <v>Arabica</v>
      </c>
      <c r="O690" t="str" cm="1">
        <f t="array" ref="O690">_xlfn.IFS(J690="M", "Medium", J690="L", "Light", J690="D", "Dark")</f>
        <v>Light</v>
      </c>
      <c r="P690" t="str">
        <f>_xlfn.XLOOKUP(Orders[[#This Row],[Customer ID]], customers!$A$2:$A$1001, customers!$I$2:$I$1001, 0)</f>
        <v>No</v>
      </c>
    </row>
    <row r="691" spans="1:16" x14ac:dyDescent="0.35">
      <c r="A691" s="2" t="s">
        <v>4383</v>
      </c>
      <c r="B691" s="3">
        <v>44346</v>
      </c>
      <c r="C691" s="2" t="s">
        <v>4384</v>
      </c>
      <c r="D691" t="s">
        <v>6157</v>
      </c>
      <c r="E691" s="2">
        <v>5</v>
      </c>
      <c r="F691" s="2" t="str" cm="1">
        <f t="array" ref="F691">_xlfn.XLOOKUP(C691, customers!$A$1:A1690, customers!$B$1:B1690, 0)</f>
        <v>Dionne Skyner</v>
      </c>
      <c r="G691" s="2" t="str">
        <f>IF(_xlfn.XLOOKUP(C691, customers!A690:A1690, customers!C690:C1690, 0)=0, "", _xlfn.XLOOKUP(C691, customers!A690:A1690, customers!C690:C1690, 0))</f>
        <v>dskynerj5@hubpages.com</v>
      </c>
      <c r="H691" s="2" t="str" cm="1">
        <f t="array" ref="H691">_xlfn.XLOOKUP(C691, customers!$A$1:A1690, customers!$G$1:G1690,, 0)</f>
        <v>United States</v>
      </c>
      <c r="I691" t="str" cm="1">
        <f t="array" ref="I691">_xlfn.XLOOKUP(orders!D691, products!$A$1:A738, products!$B$1:B738, 0)</f>
        <v>Ara</v>
      </c>
      <c r="J691" t="str" cm="1">
        <f t="array" ref="J691">_xlfn.XLOOKUP(D691, products!$A$1:A738, products!$C$1:C738, 0)</f>
        <v>M</v>
      </c>
      <c r="K691" s="4" cm="1">
        <f t="array" ref="K691">_xlfn.XLOOKUP(D691, products!$A$1:A738, products!$D$1:D738, 0)</f>
        <v>0.5</v>
      </c>
      <c r="L691" s="4" cm="1">
        <f t="array" ref="L691">_xlfn.XLOOKUP(D691, products!$A$1:A738, products!$E$1:E738)</f>
        <v>6.75</v>
      </c>
      <c r="M691">
        <f t="shared" si="20"/>
        <v>33.75</v>
      </c>
      <c r="N691" t="str">
        <f t="shared" si="21"/>
        <v>Arabica</v>
      </c>
      <c r="O691" t="str" cm="1">
        <f t="array" ref="O691">_xlfn.IFS(J691="M", "Medium", J691="L", "Light", J691="D", "Dark")</f>
        <v>Medium</v>
      </c>
      <c r="P691" t="str">
        <f>_xlfn.XLOOKUP(Orders[[#This Row],[Customer ID]], customers!$A$2:$A$1001, customers!$I$2:$I$1001, 0)</f>
        <v>No</v>
      </c>
    </row>
    <row r="692" spans="1:16" x14ac:dyDescent="0.35">
      <c r="A692" s="2" t="s">
        <v>4389</v>
      </c>
      <c r="B692" s="3">
        <v>44754</v>
      </c>
      <c r="C692" s="2" t="s">
        <v>4390</v>
      </c>
      <c r="D692" t="s">
        <v>6165</v>
      </c>
      <c r="E692" s="2">
        <v>6</v>
      </c>
      <c r="F692" s="2" t="str" cm="1">
        <f t="array" ref="F692">_xlfn.XLOOKUP(C692, customers!$A$1:A1691, customers!$B$1:B1691, 0)</f>
        <v>Francesco Dressel</v>
      </c>
      <c r="G692" s="2" t="str">
        <f>IF(_xlfn.XLOOKUP(C692, customers!A691:A1691, customers!C691:C1691, 0)=0, "", _xlfn.XLOOKUP(C692, customers!A691:A1691, customers!C691:C1691, 0))</f>
        <v/>
      </c>
      <c r="H692" s="2" t="str" cm="1">
        <f t="array" ref="H692">_xlfn.XLOOKUP(C692, customers!$A$1:A1691, customers!$G$1:G1691,, 0)</f>
        <v>United States</v>
      </c>
      <c r="I692" t="str" cm="1">
        <f t="array" ref="I692">_xlfn.XLOOKUP(orders!D692, products!$A$1:A739, products!$B$1:B739, 0)</f>
        <v>Lib</v>
      </c>
      <c r="J692" t="str" cm="1">
        <f t="array" ref="J692">_xlfn.XLOOKUP(D692, products!$A$1:A739, products!$C$1:C739, 0)</f>
        <v>D</v>
      </c>
      <c r="K692" s="4" cm="1">
        <f t="array" ref="K692">_xlfn.XLOOKUP(D692, products!$A$1:A739, products!$D$1:D739, 0)</f>
        <v>2.5</v>
      </c>
      <c r="L692" s="4" cm="1">
        <f t="array" ref="L692">_xlfn.XLOOKUP(D692, products!$A$1:A739, products!$E$1:E739)</f>
        <v>29.784999999999997</v>
      </c>
      <c r="M692">
        <f t="shared" si="20"/>
        <v>178.70999999999998</v>
      </c>
      <c r="N692" t="str">
        <f t="shared" si="21"/>
        <v>Liberica</v>
      </c>
      <c r="O692" t="str" cm="1">
        <f t="array" ref="O692">_xlfn.IFS(J692="M", "Medium", J692="L", "Light", J692="D", "Dark")</f>
        <v>Dark</v>
      </c>
      <c r="P692" t="str">
        <f>_xlfn.XLOOKUP(Orders[[#This Row],[Customer ID]], customers!$A$2:$A$1001, customers!$I$2:$I$1001, 0)</f>
        <v>No</v>
      </c>
    </row>
    <row r="693" spans="1:16" x14ac:dyDescent="0.35">
      <c r="A693" s="2" t="s">
        <v>4393</v>
      </c>
      <c r="B693" s="3">
        <v>44227</v>
      </c>
      <c r="C693" s="2" t="s">
        <v>4434</v>
      </c>
      <c r="D693" t="s">
        <v>6155</v>
      </c>
      <c r="E693" s="2">
        <v>2</v>
      </c>
      <c r="F693" s="2" t="str" cm="1">
        <f t="array" ref="F693">_xlfn.XLOOKUP(C693, customers!$A$1:A1692, customers!$B$1:B1692, 0)</f>
        <v>Jimmy Dymoke</v>
      </c>
      <c r="G693" s="2" t="str">
        <f>IF(_xlfn.XLOOKUP(C693, customers!A692:A1692, customers!C692:C1692, 0)=0, "", _xlfn.XLOOKUP(C693, customers!A692:A1692, customers!C692:C1692, 0))</f>
        <v>jdymokeje@prnewswire.com</v>
      </c>
      <c r="H693" s="2" t="str" cm="1">
        <f t="array" ref="H693">_xlfn.XLOOKUP(C693, customers!$A$1:A1692, customers!$G$1:G1692,, 0)</f>
        <v>Ireland</v>
      </c>
      <c r="I693" t="str" cm="1">
        <f t="array" ref="I693">_xlfn.XLOOKUP(orders!D693, products!$A$1:A740, products!$B$1:B740, 0)</f>
        <v>Ara</v>
      </c>
      <c r="J693" t="str" cm="1">
        <f t="array" ref="J693">_xlfn.XLOOKUP(D693, products!$A$1:A740, products!$C$1:C740, 0)</f>
        <v>M</v>
      </c>
      <c r="K693" s="4" cm="1">
        <f t="array" ref="K693">_xlfn.XLOOKUP(D693, products!$A$1:A740, products!$D$1:D740, 0)</f>
        <v>1</v>
      </c>
      <c r="L693" s="4" cm="1">
        <f t="array" ref="L693">_xlfn.XLOOKUP(D693, products!$A$1:A740, products!$E$1:E740)</f>
        <v>11.25</v>
      </c>
      <c r="M693">
        <f t="shared" si="20"/>
        <v>22.5</v>
      </c>
      <c r="N693" t="str">
        <f t="shared" si="21"/>
        <v>Arabica</v>
      </c>
      <c r="O693" t="str" cm="1">
        <f t="array" ref="O693">_xlfn.IFS(J693="M", "Medium", J693="L", "Light", J693="D", "Dark")</f>
        <v>Medium</v>
      </c>
      <c r="P693" t="str">
        <f>_xlfn.XLOOKUP(Orders[[#This Row],[Customer ID]], customers!$A$2:$A$1001, customers!$I$2:$I$1001, 0)</f>
        <v>No</v>
      </c>
    </row>
    <row r="694" spans="1:16" x14ac:dyDescent="0.35">
      <c r="A694" s="2" t="s">
        <v>4399</v>
      </c>
      <c r="B694" s="3">
        <v>43720</v>
      </c>
      <c r="C694" s="2" t="s">
        <v>4400</v>
      </c>
      <c r="D694" t="s">
        <v>6143</v>
      </c>
      <c r="E694" s="2">
        <v>1</v>
      </c>
      <c r="F694" s="2" t="str" cm="1">
        <f t="array" ref="F694">_xlfn.XLOOKUP(C694, customers!$A$1:A1693, customers!$B$1:B1693, 0)</f>
        <v>Ambrosio Weinmann</v>
      </c>
      <c r="G694" s="2" t="str">
        <f>IF(_xlfn.XLOOKUP(C694, customers!A693:A1693, customers!C693:C1693, 0)=0, "", _xlfn.XLOOKUP(C694, customers!A693:A1693, customers!C693:C1693, 0))</f>
        <v>aweinmannj8@shinystat.com</v>
      </c>
      <c r="H694" s="2" t="str" cm="1">
        <f t="array" ref="H694">_xlfn.XLOOKUP(C694, customers!$A$1:A1693, customers!$G$1:G1693,, 0)</f>
        <v>United States</v>
      </c>
      <c r="I694" t="str" cm="1">
        <f t="array" ref="I694">_xlfn.XLOOKUP(orders!D694, products!$A$1:A741, products!$B$1:B741, 0)</f>
        <v>Lib</v>
      </c>
      <c r="J694" t="str" cm="1">
        <f t="array" ref="J694">_xlfn.XLOOKUP(D694, products!$A$1:A741, products!$C$1:C741, 0)</f>
        <v>D</v>
      </c>
      <c r="K694" s="4" cm="1">
        <f t="array" ref="K694">_xlfn.XLOOKUP(D694, products!$A$1:A741, products!$D$1:D741, 0)</f>
        <v>1</v>
      </c>
      <c r="L694" s="4" cm="1">
        <f t="array" ref="L694">_xlfn.XLOOKUP(D694, products!$A$1:A741, products!$E$1:E741)</f>
        <v>12.95</v>
      </c>
      <c r="M694">
        <f t="shared" si="20"/>
        <v>12.95</v>
      </c>
      <c r="N694" t="str">
        <f t="shared" si="21"/>
        <v>Liberica</v>
      </c>
      <c r="O694" t="str" cm="1">
        <f t="array" ref="O694">_xlfn.IFS(J694="M", "Medium", J694="L", "Light", J694="D", "Dark")</f>
        <v>Dark</v>
      </c>
      <c r="P694" t="str">
        <f>_xlfn.XLOOKUP(Orders[[#This Row],[Customer ID]], customers!$A$2:$A$1001, customers!$I$2:$I$1001, 0)</f>
        <v>No</v>
      </c>
    </row>
    <row r="695" spans="1:16" x14ac:dyDescent="0.35">
      <c r="A695" s="2" t="s">
        <v>4405</v>
      </c>
      <c r="B695" s="3">
        <v>44012</v>
      </c>
      <c r="C695" s="2" t="s">
        <v>4406</v>
      </c>
      <c r="D695" t="s">
        <v>6175</v>
      </c>
      <c r="E695" s="2">
        <v>2</v>
      </c>
      <c r="F695" s="2" t="str" cm="1">
        <f t="array" ref="F695">_xlfn.XLOOKUP(C695, customers!$A$1:A1694, customers!$B$1:B1694, 0)</f>
        <v>Elden Andriessen</v>
      </c>
      <c r="G695" s="2" t="str">
        <f>IF(_xlfn.XLOOKUP(C695, customers!A694:A1694, customers!C694:C1694, 0)=0, "", _xlfn.XLOOKUP(C695, customers!A694:A1694, customers!C694:C1694, 0))</f>
        <v>eandriessenj9@europa.eu</v>
      </c>
      <c r="H695" s="2" t="str" cm="1">
        <f t="array" ref="H695">_xlfn.XLOOKUP(C695, customers!$A$1:A1694, customers!$G$1:G1694,, 0)</f>
        <v>United States</v>
      </c>
      <c r="I695" t="str" cm="1">
        <f t="array" ref="I695">_xlfn.XLOOKUP(orders!D695, products!$A$1:A742, products!$B$1:B742, 0)</f>
        <v>Ara</v>
      </c>
      <c r="J695" t="str" cm="1">
        <f t="array" ref="J695">_xlfn.XLOOKUP(D695, products!$A$1:A742, products!$C$1:C742, 0)</f>
        <v>M</v>
      </c>
      <c r="K695" s="4" cm="1">
        <f t="array" ref="K695">_xlfn.XLOOKUP(D695, products!$A$1:A742, products!$D$1:D742, 0)</f>
        <v>2.5</v>
      </c>
      <c r="L695" s="4" cm="1">
        <f t="array" ref="L695">_xlfn.XLOOKUP(D695, products!$A$1:A742, products!$E$1:E742)</f>
        <v>25.874999999999996</v>
      </c>
      <c r="M695">
        <f t="shared" si="20"/>
        <v>51.749999999999993</v>
      </c>
      <c r="N695" t="str">
        <f t="shared" si="21"/>
        <v>Arabica</v>
      </c>
      <c r="O695" t="str" cm="1">
        <f t="array" ref="O695">_xlfn.IFS(J695="M", "Medium", J695="L", "Light", J695="D", "Dark")</f>
        <v>Medium</v>
      </c>
      <c r="P695" t="str">
        <f>_xlfn.XLOOKUP(Orders[[#This Row],[Customer ID]], customers!$A$2:$A$1001, customers!$I$2:$I$1001, 0)</f>
        <v>Yes</v>
      </c>
    </row>
    <row r="696" spans="1:16" x14ac:dyDescent="0.35">
      <c r="A696" s="2" t="s">
        <v>4411</v>
      </c>
      <c r="B696" s="3">
        <v>43915</v>
      </c>
      <c r="C696" s="2" t="s">
        <v>4412</v>
      </c>
      <c r="D696" t="s">
        <v>6144</v>
      </c>
      <c r="E696" s="2">
        <v>5</v>
      </c>
      <c r="F696" s="2" t="str" cm="1">
        <f t="array" ref="F696">_xlfn.XLOOKUP(C696, customers!$A$1:A1695, customers!$B$1:B1695, 0)</f>
        <v>Roxie Deaconson</v>
      </c>
      <c r="G696" s="2" t="str">
        <f>IF(_xlfn.XLOOKUP(C696, customers!A695:A1695, customers!C695:C1695, 0)=0, "", _xlfn.XLOOKUP(C696, customers!A695:A1695, customers!C695:C1695, 0))</f>
        <v>rdeaconsonja@archive.org</v>
      </c>
      <c r="H696" s="2" t="str" cm="1">
        <f t="array" ref="H696">_xlfn.XLOOKUP(C696, customers!$A$1:A1695, customers!$G$1:G1695,, 0)</f>
        <v>United States</v>
      </c>
      <c r="I696" t="str" cm="1">
        <f t="array" ref="I696">_xlfn.XLOOKUP(orders!D696, products!$A$1:A743, products!$B$1:B743, 0)</f>
        <v>Exc</v>
      </c>
      <c r="J696" t="str" cm="1">
        <f t="array" ref="J696">_xlfn.XLOOKUP(D696, products!$A$1:A743, products!$C$1:C743, 0)</f>
        <v>D</v>
      </c>
      <c r="K696" s="4" cm="1">
        <f t="array" ref="K696">_xlfn.XLOOKUP(D696, products!$A$1:A743, products!$D$1:D743, 0)</f>
        <v>0.5</v>
      </c>
      <c r="L696" s="4" cm="1">
        <f t="array" ref="L696">_xlfn.XLOOKUP(D696, products!$A$1:A743, products!$E$1:E743)</f>
        <v>7.29</v>
      </c>
      <c r="M696">
        <f t="shared" si="20"/>
        <v>36.450000000000003</v>
      </c>
      <c r="N696" t="str">
        <f t="shared" si="21"/>
        <v>Excelsa</v>
      </c>
      <c r="O696" t="str" cm="1">
        <f t="array" ref="O696">_xlfn.IFS(J696="M", "Medium", J696="L", "Light", J696="D", "Dark")</f>
        <v>Dark</v>
      </c>
      <c r="P696" t="str">
        <f>_xlfn.XLOOKUP(Orders[[#This Row],[Customer ID]], customers!$A$2:$A$1001, customers!$I$2:$I$1001, 0)</f>
        <v>No</v>
      </c>
    </row>
    <row r="697" spans="1:16" x14ac:dyDescent="0.35">
      <c r="A697" s="2" t="s">
        <v>4417</v>
      </c>
      <c r="B697" s="3">
        <v>44300</v>
      </c>
      <c r="C697" s="2" t="s">
        <v>4418</v>
      </c>
      <c r="D697" t="s">
        <v>6164</v>
      </c>
      <c r="E697" s="2">
        <v>5</v>
      </c>
      <c r="F697" s="2" t="str" cm="1">
        <f t="array" ref="F697">_xlfn.XLOOKUP(C697, customers!$A$1:A1696, customers!$B$1:B1696, 0)</f>
        <v>Davida Caro</v>
      </c>
      <c r="G697" s="2" t="str">
        <f>IF(_xlfn.XLOOKUP(C697, customers!A696:A1696, customers!C696:C1696, 0)=0, "", _xlfn.XLOOKUP(C697, customers!A696:A1696, customers!C696:C1696, 0))</f>
        <v>dcarojb@twitter.com</v>
      </c>
      <c r="H697" s="2" t="str" cm="1">
        <f t="array" ref="H697">_xlfn.XLOOKUP(C697, customers!$A$1:A1696, customers!$G$1:G1696,, 0)</f>
        <v>United States</v>
      </c>
      <c r="I697" t="str" cm="1">
        <f t="array" ref="I697">_xlfn.XLOOKUP(orders!D697, products!$A$1:A744, products!$B$1:B744, 0)</f>
        <v>Lib</v>
      </c>
      <c r="J697" t="str" cm="1">
        <f t="array" ref="J697">_xlfn.XLOOKUP(D697, products!$A$1:A744, products!$C$1:C744, 0)</f>
        <v>L</v>
      </c>
      <c r="K697" s="4" cm="1">
        <f t="array" ref="K697">_xlfn.XLOOKUP(D697, products!$A$1:A744, products!$D$1:D744, 0)</f>
        <v>2.5</v>
      </c>
      <c r="L697" s="4" cm="1">
        <f t="array" ref="L697">_xlfn.XLOOKUP(D697, products!$A$1:A744, products!$E$1:E744)</f>
        <v>36.454999999999998</v>
      </c>
      <c r="M697">
        <f t="shared" si="20"/>
        <v>182.27499999999998</v>
      </c>
      <c r="N697" t="str">
        <f t="shared" si="21"/>
        <v>Liberica</v>
      </c>
      <c r="O697" t="str" cm="1">
        <f t="array" ref="O697">_xlfn.IFS(J697="M", "Medium", J697="L", "Light", J697="D", "Dark")</f>
        <v>Light</v>
      </c>
      <c r="P697" t="str">
        <f>_xlfn.XLOOKUP(Orders[[#This Row],[Customer ID]], customers!$A$2:$A$1001, customers!$I$2:$I$1001, 0)</f>
        <v>Yes</v>
      </c>
    </row>
    <row r="698" spans="1:16" x14ac:dyDescent="0.35">
      <c r="A698" s="2" t="s">
        <v>4423</v>
      </c>
      <c r="B698" s="3">
        <v>43693</v>
      </c>
      <c r="C698" s="2" t="s">
        <v>4424</v>
      </c>
      <c r="D698" t="s">
        <v>6169</v>
      </c>
      <c r="E698" s="2">
        <v>4</v>
      </c>
      <c r="F698" s="2" t="str" cm="1">
        <f t="array" ref="F698">_xlfn.XLOOKUP(C698, customers!$A$1:A1697, customers!$B$1:B1697, 0)</f>
        <v>Johna Bluck</v>
      </c>
      <c r="G698" s="2" t="str">
        <f>IF(_xlfn.XLOOKUP(C698, customers!A697:A1697, customers!C697:C1697, 0)=0, "", _xlfn.XLOOKUP(C698, customers!A697:A1697, customers!C697:C1697, 0))</f>
        <v>jbluckjc@imageshack.us</v>
      </c>
      <c r="H698" s="2" t="str" cm="1">
        <f t="array" ref="H698">_xlfn.XLOOKUP(C698, customers!$A$1:A1697, customers!$G$1:G1697,, 0)</f>
        <v>United States</v>
      </c>
      <c r="I698" t="str" cm="1">
        <f t="array" ref="I698">_xlfn.XLOOKUP(orders!D698, products!$A$1:A745, products!$B$1:B745, 0)</f>
        <v>Lib</v>
      </c>
      <c r="J698" t="str" cm="1">
        <f t="array" ref="J698">_xlfn.XLOOKUP(D698, products!$A$1:A745, products!$C$1:C745, 0)</f>
        <v>D</v>
      </c>
      <c r="K698" s="4" cm="1">
        <f t="array" ref="K698">_xlfn.XLOOKUP(D698, products!$A$1:A745, products!$D$1:D745, 0)</f>
        <v>0.5</v>
      </c>
      <c r="L698" s="4" cm="1">
        <f t="array" ref="L698">_xlfn.XLOOKUP(D698, products!$A$1:A745, products!$E$1:E745)</f>
        <v>7.77</v>
      </c>
      <c r="M698">
        <f t="shared" si="20"/>
        <v>31.08</v>
      </c>
      <c r="N698" t="str">
        <f t="shared" si="21"/>
        <v>Liberica</v>
      </c>
      <c r="O698" t="str" cm="1">
        <f t="array" ref="O698">_xlfn.IFS(J698="M", "Medium", J698="L", "Light", J698="D", "Dark")</f>
        <v>Dark</v>
      </c>
      <c r="P698" t="str">
        <f>_xlfn.XLOOKUP(Orders[[#This Row],[Customer ID]], customers!$A$2:$A$1001, customers!$I$2:$I$1001, 0)</f>
        <v>No</v>
      </c>
    </row>
    <row r="699" spans="1:16" x14ac:dyDescent="0.35">
      <c r="A699" s="2" t="s">
        <v>4429</v>
      </c>
      <c r="B699" s="3">
        <v>44547</v>
      </c>
      <c r="C699" s="2" t="s">
        <v>4430</v>
      </c>
      <c r="D699" t="s">
        <v>6157</v>
      </c>
      <c r="E699" s="2">
        <v>3</v>
      </c>
      <c r="F699" s="2" t="str" cm="1">
        <f t="array" ref="F699">_xlfn.XLOOKUP(C699, customers!$A$1:A1698, customers!$B$1:B1698, 0)</f>
        <v>Myrle Dearden</v>
      </c>
      <c r="G699" s="2" t="str">
        <f>IF(_xlfn.XLOOKUP(C699, customers!A698:A1698, customers!C698:C1698, 0)=0, "", _xlfn.XLOOKUP(C699, customers!A698:A1698, customers!C698:C1698, 0))</f>
        <v/>
      </c>
      <c r="H699" s="2" t="str" cm="1">
        <f t="array" ref="H699">_xlfn.XLOOKUP(C699, customers!$A$1:A1698, customers!$G$1:G1698,, 0)</f>
        <v>Ireland</v>
      </c>
      <c r="I699" t="str" cm="1">
        <f t="array" ref="I699">_xlfn.XLOOKUP(orders!D699, products!$A$1:A746, products!$B$1:B746, 0)</f>
        <v>Ara</v>
      </c>
      <c r="J699" t="str" cm="1">
        <f t="array" ref="J699">_xlfn.XLOOKUP(D699, products!$A$1:A746, products!$C$1:C746, 0)</f>
        <v>M</v>
      </c>
      <c r="K699" s="4" cm="1">
        <f t="array" ref="K699">_xlfn.XLOOKUP(D699, products!$A$1:A746, products!$D$1:D746, 0)</f>
        <v>0.5</v>
      </c>
      <c r="L699" s="4" cm="1">
        <f t="array" ref="L699">_xlfn.XLOOKUP(D699, products!$A$1:A746, products!$E$1:E746)</f>
        <v>6.75</v>
      </c>
      <c r="M699">
        <f t="shared" si="20"/>
        <v>20.25</v>
      </c>
      <c r="N699" t="str">
        <f t="shared" si="21"/>
        <v>Arabica</v>
      </c>
      <c r="O699" t="str" cm="1">
        <f t="array" ref="O699">_xlfn.IFS(J699="M", "Medium", J699="L", "Light", J699="D", "Dark")</f>
        <v>Medium</v>
      </c>
      <c r="P699" t="str">
        <f>_xlfn.XLOOKUP(Orders[[#This Row],[Customer ID]], customers!$A$2:$A$1001, customers!$I$2:$I$1001, 0)</f>
        <v>No</v>
      </c>
    </row>
    <row r="700" spans="1:16" x14ac:dyDescent="0.35">
      <c r="A700" s="2" t="s">
        <v>4433</v>
      </c>
      <c r="B700" s="3">
        <v>43830</v>
      </c>
      <c r="C700" s="2" t="s">
        <v>4434</v>
      </c>
      <c r="D700" t="s">
        <v>6143</v>
      </c>
      <c r="E700" s="2">
        <v>2</v>
      </c>
      <c r="F700" s="2" t="str" cm="1">
        <f t="array" ref="F700">_xlfn.XLOOKUP(C700, customers!$A$1:A1699, customers!$B$1:B1699, 0)</f>
        <v>Jimmy Dymoke</v>
      </c>
      <c r="G700" s="2" t="str">
        <f>IF(_xlfn.XLOOKUP(C700, customers!A699:A1699, customers!C699:C1699, 0)=0, "", _xlfn.XLOOKUP(C700, customers!A699:A1699, customers!C699:C1699, 0))</f>
        <v>jdymokeje@prnewswire.com</v>
      </c>
      <c r="H700" s="2" t="str" cm="1">
        <f t="array" ref="H700">_xlfn.XLOOKUP(C700, customers!$A$1:A1699, customers!$G$1:G1699,, 0)</f>
        <v>Ireland</v>
      </c>
      <c r="I700" t="str" cm="1">
        <f t="array" ref="I700">_xlfn.XLOOKUP(orders!D700, products!$A$1:A747, products!$B$1:B747, 0)</f>
        <v>Lib</v>
      </c>
      <c r="J700" t="str" cm="1">
        <f t="array" ref="J700">_xlfn.XLOOKUP(D700, products!$A$1:A747, products!$C$1:C747, 0)</f>
        <v>D</v>
      </c>
      <c r="K700" s="4" cm="1">
        <f t="array" ref="K700">_xlfn.XLOOKUP(D700, products!$A$1:A747, products!$D$1:D747, 0)</f>
        <v>1</v>
      </c>
      <c r="L700" s="4" cm="1">
        <f t="array" ref="L700">_xlfn.XLOOKUP(D700, products!$A$1:A747, products!$E$1:E747)</f>
        <v>12.95</v>
      </c>
      <c r="M700">
        <f t="shared" si="20"/>
        <v>25.9</v>
      </c>
      <c r="N700" t="str">
        <f t="shared" si="21"/>
        <v>Liberica</v>
      </c>
      <c r="O700" t="str" cm="1">
        <f t="array" ref="O700">_xlfn.IFS(J700="M", "Medium", J700="L", "Light", J700="D", "Dark")</f>
        <v>Dark</v>
      </c>
      <c r="P700" t="str">
        <f>_xlfn.XLOOKUP(Orders[[#This Row],[Customer ID]], customers!$A$2:$A$1001, customers!$I$2:$I$1001, 0)</f>
        <v>No</v>
      </c>
    </row>
    <row r="701" spans="1:16" x14ac:dyDescent="0.35">
      <c r="A701" s="2" t="s">
        <v>4439</v>
      </c>
      <c r="B701" s="3">
        <v>44298</v>
      </c>
      <c r="C701" s="2" t="s">
        <v>4440</v>
      </c>
      <c r="D701" t="s">
        <v>6158</v>
      </c>
      <c r="E701" s="2">
        <v>4</v>
      </c>
      <c r="F701" s="2" t="str" cm="1">
        <f t="array" ref="F701">_xlfn.XLOOKUP(C701, customers!$A$1:A1700, customers!$B$1:B1700, 0)</f>
        <v>Orland Tadman</v>
      </c>
      <c r="G701" s="2" t="str">
        <f>IF(_xlfn.XLOOKUP(C701, customers!A700:A1700, customers!C700:C1700, 0)=0, "", _xlfn.XLOOKUP(C701, customers!A700:A1700, customers!C700:C1700, 0))</f>
        <v>otadmanjf@ft.com</v>
      </c>
      <c r="H701" s="2" t="str" cm="1">
        <f t="array" ref="H701">_xlfn.XLOOKUP(C701, customers!$A$1:A1700, customers!$G$1:G1700,, 0)</f>
        <v>United States</v>
      </c>
      <c r="I701" t="str" cm="1">
        <f t="array" ref="I701">_xlfn.XLOOKUP(orders!D701, products!$A$1:A748, products!$B$1:B748, 0)</f>
        <v>Ara</v>
      </c>
      <c r="J701" t="str" cm="1">
        <f t="array" ref="J701">_xlfn.XLOOKUP(D701, products!$A$1:A748, products!$C$1:C748, 0)</f>
        <v>D</v>
      </c>
      <c r="K701" s="4" cm="1">
        <f t="array" ref="K701">_xlfn.XLOOKUP(D701, products!$A$1:A748, products!$D$1:D748, 0)</f>
        <v>0.5</v>
      </c>
      <c r="L701" s="4" cm="1">
        <f t="array" ref="L701">_xlfn.XLOOKUP(D701, products!$A$1:A748, products!$E$1:E748)</f>
        <v>5.97</v>
      </c>
      <c r="M701">
        <f t="shared" si="20"/>
        <v>23.88</v>
      </c>
      <c r="N701" t="str">
        <f t="shared" si="21"/>
        <v>Arabica</v>
      </c>
      <c r="O701" t="str" cm="1">
        <f t="array" ref="O701">_xlfn.IFS(J701="M", "Medium", J701="L", "Light", J701="D", "Dark")</f>
        <v>Dark</v>
      </c>
      <c r="P701" t="str">
        <f>_xlfn.XLOOKUP(Orders[[#This Row],[Customer ID]], customers!$A$2:$A$1001, customers!$I$2:$I$1001, 0)</f>
        <v>Yes</v>
      </c>
    </row>
    <row r="702" spans="1:16" x14ac:dyDescent="0.35">
      <c r="A702" s="2" t="s">
        <v>4445</v>
      </c>
      <c r="B702" s="3">
        <v>43736</v>
      </c>
      <c r="C702" s="2" t="s">
        <v>4446</v>
      </c>
      <c r="D702" t="s">
        <v>6161</v>
      </c>
      <c r="E702" s="2">
        <v>2</v>
      </c>
      <c r="F702" s="2" t="str" cm="1">
        <f t="array" ref="F702">_xlfn.XLOOKUP(C702, customers!$A$1:A1701, customers!$B$1:B1701, 0)</f>
        <v>Barrett Gudde</v>
      </c>
      <c r="G702" s="2" t="str">
        <f>IF(_xlfn.XLOOKUP(C702, customers!A701:A1701, customers!C701:C1701, 0)=0, "", _xlfn.XLOOKUP(C702, customers!A701:A1701, customers!C701:C1701, 0))</f>
        <v>bguddejg@dailymotion.com</v>
      </c>
      <c r="H702" s="2" t="str" cm="1">
        <f t="array" ref="H702">_xlfn.XLOOKUP(C702, customers!$A$1:A1701, customers!$G$1:G1701,, 0)</f>
        <v>United States</v>
      </c>
      <c r="I702" t="str" cm="1">
        <f t="array" ref="I702">_xlfn.XLOOKUP(orders!D702, products!$A$1:A749, products!$B$1:B749, 0)</f>
        <v>Lib</v>
      </c>
      <c r="J702" t="str" cm="1">
        <f t="array" ref="J702">_xlfn.XLOOKUP(D702, products!$A$1:A749, products!$C$1:C749, 0)</f>
        <v>L</v>
      </c>
      <c r="K702" s="4" cm="1">
        <f t="array" ref="K702">_xlfn.XLOOKUP(D702, products!$A$1:A749, products!$D$1:D749, 0)</f>
        <v>0.5</v>
      </c>
      <c r="L702" s="4" cm="1">
        <f t="array" ref="L702">_xlfn.XLOOKUP(D702, products!$A$1:A749, products!$E$1:E749)</f>
        <v>9.51</v>
      </c>
      <c r="M702">
        <f t="shared" si="20"/>
        <v>19.02</v>
      </c>
      <c r="N702" t="str">
        <f t="shared" si="21"/>
        <v>Liberica</v>
      </c>
      <c r="O702" t="str" cm="1">
        <f t="array" ref="O702">_xlfn.IFS(J702="M", "Medium", J702="L", "Light", J702="D", "Dark")</f>
        <v>Light</v>
      </c>
      <c r="P702" t="str">
        <f>_xlfn.XLOOKUP(Orders[[#This Row],[Customer ID]], customers!$A$2:$A$1001, customers!$I$2:$I$1001, 0)</f>
        <v>No</v>
      </c>
    </row>
    <row r="703" spans="1:16" x14ac:dyDescent="0.35">
      <c r="A703" s="2" t="s">
        <v>4450</v>
      </c>
      <c r="B703" s="3">
        <v>44727</v>
      </c>
      <c r="C703" s="2" t="s">
        <v>4451</v>
      </c>
      <c r="D703" t="s">
        <v>6158</v>
      </c>
      <c r="E703" s="2">
        <v>5</v>
      </c>
      <c r="F703" s="2" t="str" cm="1">
        <f t="array" ref="F703">_xlfn.XLOOKUP(C703, customers!$A$1:A1702, customers!$B$1:B1702, 0)</f>
        <v>Nathan Sictornes</v>
      </c>
      <c r="G703" s="2" t="str">
        <f>IF(_xlfn.XLOOKUP(C703, customers!A702:A1702, customers!C702:C1702, 0)=0, "", _xlfn.XLOOKUP(C703, customers!A702:A1702, customers!C702:C1702, 0))</f>
        <v>nsictornesjh@buzzfeed.com</v>
      </c>
      <c r="H703" s="2" t="str" cm="1">
        <f t="array" ref="H703">_xlfn.XLOOKUP(C703, customers!$A$1:A1702, customers!$G$1:G1702,, 0)</f>
        <v>Ireland</v>
      </c>
      <c r="I703" t="str" cm="1">
        <f t="array" ref="I703">_xlfn.XLOOKUP(orders!D703, products!$A$1:A750, products!$B$1:B750, 0)</f>
        <v>Ara</v>
      </c>
      <c r="J703" t="str" cm="1">
        <f t="array" ref="J703">_xlfn.XLOOKUP(D703, products!$A$1:A750, products!$C$1:C750, 0)</f>
        <v>D</v>
      </c>
      <c r="K703" s="4" cm="1">
        <f t="array" ref="K703">_xlfn.XLOOKUP(D703, products!$A$1:A750, products!$D$1:D750, 0)</f>
        <v>0.5</v>
      </c>
      <c r="L703" s="4" cm="1">
        <f t="array" ref="L703">_xlfn.XLOOKUP(D703, products!$A$1:A750, products!$E$1:E750)</f>
        <v>5.97</v>
      </c>
      <c r="M703">
        <f t="shared" si="20"/>
        <v>29.849999999999998</v>
      </c>
      <c r="N703" t="str">
        <f t="shared" si="21"/>
        <v>Arabica</v>
      </c>
      <c r="O703" t="str" cm="1">
        <f t="array" ref="O703">_xlfn.IFS(J703="M", "Medium", J703="L", "Light", J703="D", "Dark")</f>
        <v>Dark</v>
      </c>
      <c r="P703" t="str">
        <f>_xlfn.XLOOKUP(Orders[[#This Row],[Customer ID]], customers!$A$2:$A$1001, customers!$I$2:$I$1001, 0)</f>
        <v>Yes</v>
      </c>
    </row>
    <row r="704" spans="1:16" x14ac:dyDescent="0.35">
      <c r="A704" s="2" t="s">
        <v>4456</v>
      </c>
      <c r="B704" s="3">
        <v>43661</v>
      </c>
      <c r="C704" s="2" t="s">
        <v>4457</v>
      </c>
      <c r="D704" t="s">
        <v>6180</v>
      </c>
      <c r="E704" s="2">
        <v>1</v>
      </c>
      <c r="F704" s="2" t="str" cm="1">
        <f t="array" ref="F704">_xlfn.XLOOKUP(C704, customers!$A$1:A1703, customers!$B$1:B1703, 0)</f>
        <v>Vivyan Dunning</v>
      </c>
      <c r="G704" s="2" t="str">
        <f>IF(_xlfn.XLOOKUP(C704, customers!A703:A1703, customers!C703:C1703, 0)=0, "", _xlfn.XLOOKUP(C704, customers!A703:A1703, customers!C703:C1703, 0))</f>
        <v>vdunningji@independent.co.uk</v>
      </c>
      <c r="H704" s="2" t="str" cm="1">
        <f t="array" ref="H704">_xlfn.XLOOKUP(C704, customers!$A$1:A1703, customers!$G$1:G1703,, 0)</f>
        <v>United States</v>
      </c>
      <c r="I704" t="str" cm="1">
        <f t="array" ref="I704">_xlfn.XLOOKUP(orders!D704, products!$A$1:A751, products!$B$1:B751, 0)</f>
        <v>Ara</v>
      </c>
      <c r="J704" t="str" cm="1">
        <f t="array" ref="J704">_xlfn.XLOOKUP(D704, products!$A$1:A751, products!$C$1:C751, 0)</f>
        <v>L</v>
      </c>
      <c r="K704" s="4" cm="1">
        <f t="array" ref="K704">_xlfn.XLOOKUP(D704, products!$A$1:A751, products!$D$1:D751, 0)</f>
        <v>0.5</v>
      </c>
      <c r="L704" s="4" cm="1">
        <f t="array" ref="L704">_xlfn.XLOOKUP(D704, products!$A$1:A751, products!$E$1:E751)</f>
        <v>7.77</v>
      </c>
      <c r="M704">
        <f t="shared" si="20"/>
        <v>7.77</v>
      </c>
      <c r="N704" t="str">
        <f t="shared" si="21"/>
        <v>Arabica</v>
      </c>
      <c r="O704" t="str" cm="1">
        <f t="array" ref="O704">_xlfn.IFS(J704="M", "Medium", J704="L", "Light", J704="D", "Dark")</f>
        <v>Light</v>
      </c>
      <c r="P704" t="str">
        <f>_xlfn.XLOOKUP(Orders[[#This Row],[Customer ID]], customers!$A$2:$A$1001, customers!$I$2:$I$1001, 0)</f>
        <v>Yes</v>
      </c>
    </row>
    <row r="705" spans="1:16" x14ac:dyDescent="0.35">
      <c r="A705" s="2" t="s">
        <v>4461</v>
      </c>
      <c r="B705" s="3">
        <v>43506</v>
      </c>
      <c r="C705" s="2" t="s">
        <v>4462</v>
      </c>
      <c r="D705" t="s">
        <v>6165</v>
      </c>
      <c r="E705" s="2">
        <v>4</v>
      </c>
      <c r="F705" s="2" t="str" cm="1">
        <f t="array" ref="F705">_xlfn.XLOOKUP(C705, customers!$A$1:A1704, customers!$B$1:B1704, 0)</f>
        <v>Doralin Baison</v>
      </c>
      <c r="G705" s="2" t="str">
        <f>IF(_xlfn.XLOOKUP(C705, customers!A704:A1704, customers!C704:C1704, 0)=0, "", _xlfn.XLOOKUP(C705, customers!A704:A1704, customers!C704:C1704, 0))</f>
        <v/>
      </c>
      <c r="H705" s="2" t="str" cm="1">
        <f t="array" ref="H705">_xlfn.XLOOKUP(C705, customers!$A$1:A1704, customers!$G$1:G1704,, 0)</f>
        <v>Ireland</v>
      </c>
      <c r="I705" t="str" cm="1">
        <f t="array" ref="I705">_xlfn.XLOOKUP(orders!D705, products!$A$1:A752, products!$B$1:B752, 0)</f>
        <v>Lib</v>
      </c>
      <c r="J705" t="str" cm="1">
        <f t="array" ref="J705">_xlfn.XLOOKUP(D705, products!$A$1:A752, products!$C$1:C752, 0)</f>
        <v>D</v>
      </c>
      <c r="K705" s="4" cm="1">
        <f t="array" ref="K705">_xlfn.XLOOKUP(D705, products!$A$1:A752, products!$D$1:D752, 0)</f>
        <v>2.5</v>
      </c>
      <c r="L705" s="4" cm="1">
        <f t="array" ref="L705">_xlfn.XLOOKUP(D705, products!$A$1:A752, products!$E$1:E752)</f>
        <v>29.784999999999997</v>
      </c>
      <c r="M705">
        <f t="shared" si="20"/>
        <v>119.13999999999999</v>
      </c>
      <c r="N705" t="str">
        <f t="shared" si="21"/>
        <v>Liberica</v>
      </c>
      <c r="O705" t="str" cm="1">
        <f t="array" ref="O705">_xlfn.IFS(J705="M", "Medium", J705="L", "Light", J705="D", "Dark")</f>
        <v>Dark</v>
      </c>
      <c r="P705" t="str">
        <f>_xlfn.XLOOKUP(Orders[[#This Row],[Customer ID]], customers!$A$2:$A$1001, customers!$I$2:$I$1001, 0)</f>
        <v>Yes</v>
      </c>
    </row>
    <row r="706" spans="1:16" x14ac:dyDescent="0.35">
      <c r="A706" s="2" t="s">
        <v>4466</v>
      </c>
      <c r="B706" s="3">
        <v>44716</v>
      </c>
      <c r="C706" s="2" t="s">
        <v>4467</v>
      </c>
      <c r="D706" t="s">
        <v>6153</v>
      </c>
      <c r="E706" s="2">
        <v>6</v>
      </c>
      <c r="F706" s="2" t="str" cm="1">
        <f t="array" ref="F706">_xlfn.XLOOKUP(C706, customers!$A$1:A1705, customers!$B$1:B1705, 0)</f>
        <v>Josefina Ferens</v>
      </c>
      <c r="G706" s="2" t="str">
        <f>IF(_xlfn.XLOOKUP(C706, customers!A705:A1705, customers!C705:C1705, 0)=0, "", _xlfn.XLOOKUP(C706, customers!A705:A1705, customers!C705:C1705, 0))</f>
        <v/>
      </c>
      <c r="H706" s="2" t="str" cm="1">
        <f t="array" ref="H706">_xlfn.XLOOKUP(C706, customers!$A$1:A1705, customers!$G$1:G1705,, 0)</f>
        <v>United States</v>
      </c>
      <c r="I706" t="str" cm="1">
        <f t="array" ref="I706">_xlfn.XLOOKUP(orders!D706, products!$A$1:A753, products!$B$1:B753, 0)</f>
        <v>Exc</v>
      </c>
      <c r="J706" t="str" cm="1">
        <f t="array" ref="J706">_xlfn.XLOOKUP(D706, products!$A$1:A753, products!$C$1:C753, 0)</f>
        <v>D</v>
      </c>
      <c r="K706" s="4" cm="1">
        <f t="array" ref="K706">_xlfn.XLOOKUP(D706, products!$A$1:A753, products!$D$1:D753, 0)</f>
        <v>0.2</v>
      </c>
      <c r="L706" s="4" cm="1">
        <f t="array" ref="L706">_xlfn.XLOOKUP(D706, products!$A$1:A753, products!$E$1:E753)</f>
        <v>3.645</v>
      </c>
      <c r="M706">
        <f t="shared" si="20"/>
        <v>21.87</v>
      </c>
      <c r="N706" t="str">
        <f t="shared" si="21"/>
        <v>Excelsa</v>
      </c>
      <c r="O706" t="str" cm="1">
        <f t="array" ref="O706">_xlfn.IFS(J706="M", "Medium", J706="L", "Light", J706="D", "Dark")</f>
        <v>Dark</v>
      </c>
      <c r="P706" t="str">
        <f>_xlfn.XLOOKUP(Orders[[#This Row],[Customer ID]], customers!$A$2:$A$1001, customers!$I$2:$I$1001, 0)</f>
        <v>Yes</v>
      </c>
    </row>
    <row r="707" spans="1:16" x14ac:dyDescent="0.35">
      <c r="A707" s="2" t="s">
        <v>4471</v>
      </c>
      <c r="B707" s="3">
        <v>44114</v>
      </c>
      <c r="C707" s="2" t="s">
        <v>4472</v>
      </c>
      <c r="D707" t="s">
        <v>6176</v>
      </c>
      <c r="E707" s="2">
        <v>2</v>
      </c>
      <c r="F707" s="2" t="str" cm="1">
        <f t="array" ref="F707">_xlfn.XLOOKUP(C707, customers!$A$1:A1706, customers!$B$1:B1706, 0)</f>
        <v>Shelley Gehring</v>
      </c>
      <c r="G707" s="2" t="str">
        <f>IF(_xlfn.XLOOKUP(C707, customers!A706:A1706, customers!C706:C1706, 0)=0, "", _xlfn.XLOOKUP(C707, customers!A706:A1706, customers!C706:C1706, 0))</f>
        <v>sgehringjl@gnu.org</v>
      </c>
      <c r="H707" s="2" t="str" cm="1">
        <f t="array" ref="H707">_xlfn.XLOOKUP(C707, customers!$A$1:A1706, customers!$G$1:G1706,, 0)</f>
        <v>United States</v>
      </c>
      <c r="I707" t="str" cm="1">
        <f t="array" ref="I707">_xlfn.XLOOKUP(orders!D707, products!$A$1:A754, products!$B$1:B754, 0)</f>
        <v>Exc</v>
      </c>
      <c r="J707" t="str" cm="1">
        <f t="array" ref="J707">_xlfn.XLOOKUP(D707, products!$A$1:A754, products!$C$1:C754, 0)</f>
        <v>L</v>
      </c>
      <c r="K707" s="4" cm="1">
        <f t="array" ref="K707">_xlfn.XLOOKUP(D707, products!$A$1:A754, products!$D$1:D754, 0)</f>
        <v>0.5</v>
      </c>
      <c r="L707" s="4" cm="1">
        <f t="array" ref="L707">_xlfn.XLOOKUP(D707, products!$A$1:A754, products!$E$1:E754)</f>
        <v>8.91</v>
      </c>
      <c r="M707">
        <f t="shared" ref="M707:M770" si="22">L707*E707</f>
        <v>17.82</v>
      </c>
      <c r="N707" t="str">
        <f t="shared" ref="N707:N770" si="23">IF(I707="Rob", "Robusta", IF(I707="Exc", "Excelsa", IF(I707="Ara", "Arabica", IF(I707="Lib", "Liberica", ""))))</f>
        <v>Excelsa</v>
      </c>
      <c r="O707" t="str" cm="1">
        <f t="array" ref="O707">_xlfn.IFS(J707="M", "Medium", J707="L", "Light", J707="D", "Dark")</f>
        <v>Light</v>
      </c>
      <c r="P707" t="str">
        <f>_xlfn.XLOOKUP(Orders[[#This Row],[Customer ID]], customers!$A$2:$A$1001, customers!$I$2:$I$1001, 0)</f>
        <v>No</v>
      </c>
    </row>
    <row r="708" spans="1:16" x14ac:dyDescent="0.35">
      <c r="A708" s="2" t="s">
        <v>4477</v>
      </c>
      <c r="B708" s="3">
        <v>44353</v>
      </c>
      <c r="C708" s="2" t="s">
        <v>4478</v>
      </c>
      <c r="D708" t="s">
        <v>6156</v>
      </c>
      <c r="E708" s="2">
        <v>3</v>
      </c>
      <c r="F708" s="2" t="str" cm="1">
        <f t="array" ref="F708">_xlfn.XLOOKUP(C708, customers!$A$1:A1707, customers!$B$1:B1707, 0)</f>
        <v>Barrie Fallowes</v>
      </c>
      <c r="G708" s="2" t="str">
        <f>IF(_xlfn.XLOOKUP(C708, customers!A707:A1707, customers!C707:C1707, 0)=0, "", _xlfn.XLOOKUP(C708, customers!A707:A1707, customers!C707:C1707, 0))</f>
        <v>bfallowesjm@purevolume.com</v>
      </c>
      <c r="H708" s="2" t="str" cm="1">
        <f t="array" ref="H708">_xlfn.XLOOKUP(C708, customers!$A$1:A1707, customers!$G$1:G1707,, 0)</f>
        <v>United States</v>
      </c>
      <c r="I708" t="str" cm="1">
        <f t="array" ref="I708">_xlfn.XLOOKUP(orders!D708, products!$A$1:A755, products!$B$1:B755, 0)</f>
        <v>Exc</v>
      </c>
      <c r="J708" t="str" cm="1">
        <f t="array" ref="J708">_xlfn.XLOOKUP(D708, products!$A$1:A755, products!$C$1:C755, 0)</f>
        <v>M</v>
      </c>
      <c r="K708" s="4" cm="1">
        <f t="array" ref="K708">_xlfn.XLOOKUP(D708, products!$A$1:A755, products!$D$1:D755, 0)</f>
        <v>0.2</v>
      </c>
      <c r="L708" s="4" cm="1">
        <f t="array" ref="L708">_xlfn.XLOOKUP(D708, products!$A$1:A755, products!$E$1:E755)</f>
        <v>4.125</v>
      </c>
      <c r="M708">
        <f t="shared" si="22"/>
        <v>12.375</v>
      </c>
      <c r="N708" t="str">
        <f t="shared" si="23"/>
        <v>Excelsa</v>
      </c>
      <c r="O708" t="str" cm="1">
        <f t="array" ref="O708">_xlfn.IFS(J708="M", "Medium", J708="L", "Light", J708="D", "Dark")</f>
        <v>Medium</v>
      </c>
      <c r="P708" t="str">
        <f>_xlfn.XLOOKUP(Orders[[#This Row],[Customer ID]], customers!$A$2:$A$1001, customers!$I$2:$I$1001, 0)</f>
        <v>No</v>
      </c>
    </row>
    <row r="709" spans="1:16" x14ac:dyDescent="0.35">
      <c r="A709" s="2" t="s">
        <v>4483</v>
      </c>
      <c r="B709" s="3">
        <v>43540</v>
      </c>
      <c r="C709" s="2" t="s">
        <v>4484</v>
      </c>
      <c r="D709" t="s">
        <v>6143</v>
      </c>
      <c r="E709" s="2">
        <v>2</v>
      </c>
      <c r="F709" s="2" t="str" cm="1">
        <f t="array" ref="F709">_xlfn.XLOOKUP(C709, customers!$A$1:A1708, customers!$B$1:B1708, 0)</f>
        <v>Nicolas Aiton</v>
      </c>
      <c r="G709" s="2" t="str">
        <f>IF(_xlfn.XLOOKUP(C709, customers!A708:A1708, customers!C708:C1708, 0)=0, "", _xlfn.XLOOKUP(C709, customers!A708:A1708, customers!C708:C1708, 0))</f>
        <v/>
      </c>
      <c r="H709" s="2" t="str" cm="1">
        <f t="array" ref="H709">_xlfn.XLOOKUP(C709, customers!$A$1:A1708, customers!$G$1:G1708,, 0)</f>
        <v>Ireland</v>
      </c>
      <c r="I709" t="str" cm="1">
        <f t="array" ref="I709">_xlfn.XLOOKUP(orders!D709, products!$A$1:A756, products!$B$1:B756, 0)</f>
        <v>Lib</v>
      </c>
      <c r="J709" t="str" cm="1">
        <f t="array" ref="J709">_xlfn.XLOOKUP(D709, products!$A$1:A756, products!$C$1:C756, 0)</f>
        <v>D</v>
      </c>
      <c r="K709" s="4" cm="1">
        <f t="array" ref="K709">_xlfn.XLOOKUP(D709, products!$A$1:A756, products!$D$1:D756, 0)</f>
        <v>1</v>
      </c>
      <c r="L709" s="4" cm="1">
        <f t="array" ref="L709">_xlfn.XLOOKUP(D709, products!$A$1:A756, products!$E$1:E756)</f>
        <v>12.95</v>
      </c>
      <c r="M709">
        <f t="shared" si="22"/>
        <v>25.9</v>
      </c>
      <c r="N709" t="str">
        <f t="shared" si="23"/>
        <v>Liberica</v>
      </c>
      <c r="O709" t="str" cm="1">
        <f t="array" ref="O709">_xlfn.IFS(J709="M", "Medium", J709="L", "Light", J709="D", "Dark")</f>
        <v>Dark</v>
      </c>
      <c r="P709" t="str">
        <f>_xlfn.XLOOKUP(Orders[[#This Row],[Customer ID]], customers!$A$2:$A$1001, customers!$I$2:$I$1001, 0)</f>
        <v>No</v>
      </c>
    </row>
    <row r="710" spans="1:16" x14ac:dyDescent="0.35">
      <c r="A710" s="2" t="s">
        <v>4488</v>
      </c>
      <c r="B710" s="3">
        <v>43804</v>
      </c>
      <c r="C710" s="2" t="s">
        <v>4489</v>
      </c>
      <c r="D710" t="s">
        <v>6157</v>
      </c>
      <c r="E710" s="2">
        <v>2</v>
      </c>
      <c r="F710" s="2" t="str" cm="1">
        <f t="array" ref="F710">_xlfn.XLOOKUP(C710, customers!$A$1:A1709, customers!$B$1:B1709, 0)</f>
        <v>Shelli De Banke</v>
      </c>
      <c r="G710" s="2" t="str">
        <f>IF(_xlfn.XLOOKUP(C710, customers!A709:A1709, customers!C709:C1709, 0)=0, "", _xlfn.XLOOKUP(C710, customers!A709:A1709, customers!C709:C1709, 0))</f>
        <v>sdejo@newsvine.com</v>
      </c>
      <c r="H710" s="2" t="str" cm="1">
        <f t="array" ref="H710">_xlfn.XLOOKUP(C710, customers!$A$1:A1709, customers!$G$1:G1709,, 0)</f>
        <v>United States</v>
      </c>
      <c r="I710" t="str" cm="1">
        <f t="array" ref="I710">_xlfn.XLOOKUP(orders!D710, products!$A$1:A757, products!$B$1:B757, 0)</f>
        <v>Ara</v>
      </c>
      <c r="J710" t="str" cm="1">
        <f t="array" ref="J710">_xlfn.XLOOKUP(D710, products!$A$1:A757, products!$C$1:C757, 0)</f>
        <v>M</v>
      </c>
      <c r="K710" s="4" cm="1">
        <f t="array" ref="K710">_xlfn.XLOOKUP(D710, products!$A$1:A757, products!$D$1:D757, 0)</f>
        <v>0.5</v>
      </c>
      <c r="L710" s="4" cm="1">
        <f t="array" ref="L710">_xlfn.XLOOKUP(D710, products!$A$1:A757, products!$E$1:E757)</f>
        <v>6.75</v>
      </c>
      <c r="M710">
        <f t="shared" si="22"/>
        <v>13.5</v>
      </c>
      <c r="N710" t="str">
        <f t="shared" si="23"/>
        <v>Arabica</v>
      </c>
      <c r="O710" t="str" cm="1">
        <f t="array" ref="O710">_xlfn.IFS(J710="M", "Medium", J710="L", "Light", J710="D", "Dark")</f>
        <v>Medium</v>
      </c>
      <c r="P710" t="str">
        <f>_xlfn.XLOOKUP(Orders[[#This Row],[Customer ID]], customers!$A$2:$A$1001, customers!$I$2:$I$1001, 0)</f>
        <v>Yes</v>
      </c>
    </row>
    <row r="711" spans="1:16" x14ac:dyDescent="0.35">
      <c r="A711" s="2" t="s">
        <v>4494</v>
      </c>
      <c r="B711" s="3">
        <v>43485</v>
      </c>
      <c r="C711" s="2" t="s">
        <v>4495</v>
      </c>
      <c r="D711" t="s">
        <v>6176</v>
      </c>
      <c r="E711" s="2">
        <v>2</v>
      </c>
      <c r="F711" s="2" t="str" cm="1">
        <f t="array" ref="F711">_xlfn.XLOOKUP(C711, customers!$A$1:A1710, customers!$B$1:B1710, 0)</f>
        <v>Lyell Murch</v>
      </c>
      <c r="G711" s="2" t="str">
        <f>IF(_xlfn.XLOOKUP(C711, customers!A710:A1710, customers!C710:C1710, 0)=0, "", _xlfn.XLOOKUP(C711, customers!A710:A1710, customers!C710:C1710, 0))</f>
        <v/>
      </c>
      <c r="H711" s="2" t="str" cm="1">
        <f t="array" ref="H711">_xlfn.XLOOKUP(C711, customers!$A$1:A1710, customers!$G$1:G1710,, 0)</f>
        <v>United States</v>
      </c>
      <c r="I711" t="str" cm="1">
        <f t="array" ref="I711">_xlfn.XLOOKUP(orders!D711, products!$A$1:A758, products!$B$1:B758, 0)</f>
        <v>Exc</v>
      </c>
      <c r="J711" t="str" cm="1">
        <f t="array" ref="J711">_xlfn.XLOOKUP(D711, products!$A$1:A758, products!$C$1:C758, 0)</f>
        <v>L</v>
      </c>
      <c r="K711" s="4" cm="1">
        <f t="array" ref="K711">_xlfn.XLOOKUP(D711, products!$A$1:A758, products!$D$1:D758, 0)</f>
        <v>0.5</v>
      </c>
      <c r="L711" s="4" cm="1">
        <f t="array" ref="L711">_xlfn.XLOOKUP(D711, products!$A$1:A758, products!$E$1:E758)</f>
        <v>8.91</v>
      </c>
      <c r="M711">
        <f t="shared" si="22"/>
        <v>17.82</v>
      </c>
      <c r="N711" t="str">
        <f t="shared" si="23"/>
        <v>Excelsa</v>
      </c>
      <c r="O711" t="str" cm="1">
        <f t="array" ref="O711">_xlfn.IFS(J711="M", "Medium", J711="L", "Light", J711="D", "Dark")</f>
        <v>Light</v>
      </c>
      <c r="P711" t="str">
        <f>_xlfn.XLOOKUP(Orders[[#This Row],[Customer ID]], customers!$A$2:$A$1001, customers!$I$2:$I$1001, 0)</f>
        <v>Yes</v>
      </c>
    </row>
    <row r="712" spans="1:16" x14ac:dyDescent="0.35">
      <c r="A712" s="2" t="s">
        <v>4499</v>
      </c>
      <c r="B712" s="3">
        <v>44655</v>
      </c>
      <c r="C712" s="2" t="s">
        <v>4500</v>
      </c>
      <c r="D712" t="s">
        <v>6139</v>
      </c>
      <c r="E712" s="2">
        <v>3</v>
      </c>
      <c r="F712" s="2" t="str" cm="1">
        <f t="array" ref="F712">_xlfn.XLOOKUP(C712, customers!$A$1:A1711, customers!$B$1:B1711, 0)</f>
        <v>Stearne Count</v>
      </c>
      <c r="G712" s="2" t="str">
        <f>IF(_xlfn.XLOOKUP(C712, customers!A711:A1711, customers!C711:C1711, 0)=0, "", _xlfn.XLOOKUP(C712, customers!A711:A1711, customers!C711:C1711, 0))</f>
        <v>scountjq@nba.com</v>
      </c>
      <c r="H712" s="2" t="str" cm="1">
        <f t="array" ref="H712">_xlfn.XLOOKUP(C712, customers!$A$1:A1711, customers!$G$1:G1711,, 0)</f>
        <v>United States</v>
      </c>
      <c r="I712" t="str" cm="1">
        <f t="array" ref="I712">_xlfn.XLOOKUP(orders!D712, products!$A$1:A759, products!$B$1:B759, 0)</f>
        <v>Exc</v>
      </c>
      <c r="J712" t="str" cm="1">
        <f t="array" ref="J712">_xlfn.XLOOKUP(D712, products!$A$1:A759, products!$C$1:C759, 0)</f>
        <v>M</v>
      </c>
      <c r="K712" s="4" cm="1">
        <f t="array" ref="K712">_xlfn.XLOOKUP(D712, products!$A$1:A759, products!$D$1:D759, 0)</f>
        <v>0.5</v>
      </c>
      <c r="L712" s="4" cm="1">
        <f t="array" ref="L712">_xlfn.XLOOKUP(D712, products!$A$1:A759, products!$E$1:E759)</f>
        <v>8.25</v>
      </c>
      <c r="M712">
        <f t="shared" si="22"/>
        <v>24.75</v>
      </c>
      <c r="N712" t="str">
        <f t="shared" si="23"/>
        <v>Excelsa</v>
      </c>
      <c r="O712" t="str" cm="1">
        <f t="array" ref="O712">_xlfn.IFS(J712="M", "Medium", J712="L", "Light", J712="D", "Dark")</f>
        <v>Medium</v>
      </c>
      <c r="P712" t="str">
        <f>_xlfn.XLOOKUP(Orders[[#This Row],[Customer ID]], customers!$A$2:$A$1001, customers!$I$2:$I$1001, 0)</f>
        <v>No</v>
      </c>
    </row>
    <row r="713" spans="1:16" x14ac:dyDescent="0.35">
      <c r="A713" s="2" t="s">
        <v>4505</v>
      </c>
      <c r="B713" s="3">
        <v>44600</v>
      </c>
      <c r="C713" s="2" t="s">
        <v>4506</v>
      </c>
      <c r="D713" t="s">
        <v>6174</v>
      </c>
      <c r="E713" s="2">
        <v>6</v>
      </c>
      <c r="F713" s="2" t="str" cm="1">
        <f t="array" ref="F713">_xlfn.XLOOKUP(C713, customers!$A$1:A1712, customers!$B$1:B1712, 0)</f>
        <v>Selia Ragles</v>
      </c>
      <c r="G713" s="2" t="str">
        <f>IF(_xlfn.XLOOKUP(C713, customers!A712:A1712, customers!C712:C1712, 0)=0, "", _xlfn.XLOOKUP(C713, customers!A712:A1712, customers!C712:C1712, 0))</f>
        <v>sraglesjr@blogtalkradio.com</v>
      </c>
      <c r="H713" s="2" t="str" cm="1">
        <f t="array" ref="H713">_xlfn.XLOOKUP(C713, customers!$A$1:A1712, customers!$G$1:G1712,, 0)</f>
        <v>United States</v>
      </c>
      <c r="I713" t="str" cm="1">
        <f t="array" ref="I713">_xlfn.XLOOKUP(orders!D713, products!$A$1:A760, products!$B$1:B760, 0)</f>
        <v>Rob</v>
      </c>
      <c r="J713" t="str" cm="1">
        <f t="array" ref="J713">_xlfn.XLOOKUP(D713, products!$A$1:A760, products!$C$1:C760, 0)</f>
        <v>M</v>
      </c>
      <c r="K713" s="4" cm="1">
        <f t="array" ref="K713">_xlfn.XLOOKUP(D713, products!$A$1:A760, products!$D$1:D760, 0)</f>
        <v>0.2</v>
      </c>
      <c r="L713" s="4" cm="1">
        <f t="array" ref="L713">_xlfn.XLOOKUP(D713, products!$A$1:A760, products!$E$1:E760)</f>
        <v>2.9849999999999999</v>
      </c>
      <c r="M713">
        <f t="shared" si="22"/>
        <v>17.91</v>
      </c>
      <c r="N713" t="str">
        <f t="shared" si="23"/>
        <v>Robusta</v>
      </c>
      <c r="O713" t="str" cm="1">
        <f t="array" ref="O713">_xlfn.IFS(J713="M", "Medium", J713="L", "Light", J713="D", "Dark")</f>
        <v>Medium</v>
      </c>
      <c r="P713" t="str">
        <f>_xlfn.XLOOKUP(Orders[[#This Row],[Customer ID]], customers!$A$2:$A$1001, customers!$I$2:$I$1001, 0)</f>
        <v>No</v>
      </c>
    </row>
    <row r="714" spans="1:16" x14ac:dyDescent="0.35">
      <c r="A714" s="2" t="s">
        <v>4512</v>
      </c>
      <c r="B714" s="3">
        <v>43646</v>
      </c>
      <c r="C714" s="2" t="s">
        <v>4513</v>
      </c>
      <c r="D714" t="s">
        <v>6139</v>
      </c>
      <c r="E714" s="2">
        <v>2</v>
      </c>
      <c r="F714" s="2" t="str" cm="1">
        <f t="array" ref="F714">_xlfn.XLOOKUP(C714, customers!$A$1:A1713, customers!$B$1:B1713, 0)</f>
        <v>Silas Deehan</v>
      </c>
      <c r="G714" s="2" t="str">
        <f>IF(_xlfn.XLOOKUP(C714, customers!A713:A1713, customers!C713:C1713, 0)=0, "", _xlfn.XLOOKUP(C714, customers!A713:A1713, customers!C713:C1713, 0))</f>
        <v/>
      </c>
      <c r="H714" s="2" t="str" cm="1">
        <f t="array" ref="H714">_xlfn.XLOOKUP(C714, customers!$A$1:A1713, customers!$G$1:G1713,, 0)</f>
        <v>United Kingdom</v>
      </c>
      <c r="I714" t="str" cm="1">
        <f t="array" ref="I714">_xlfn.XLOOKUP(orders!D714, products!$A$1:A761, products!$B$1:B761, 0)</f>
        <v>Exc</v>
      </c>
      <c r="J714" t="str" cm="1">
        <f t="array" ref="J714">_xlfn.XLOOKUP(D714, products!$A$1:A761, products!$C$1:C761, 0)</f>
        <v>M</v>
      </c>
      <c r="K714" s="4" cm="1">
        <f t="array" ref="K714">_xlfn.XLOOKUP(D714, products!$A$1:A761, products!$D$1:D761, 0)</f>
        <v>0.5</v>
      </c>
      <c r="L714" s="4" cm="1">
        <f t="array" ref="L714">_xlfn.XLOOKUP(D714, products!$A$1:A761, products!$E$1:E761)</f>
        <v>8.25</v>
      </c>
      <c r="M714">
        <f t="shared" si="22"/>
        <v>16.5</v>
      </c>
      <c r="N714" t="str">
        <f t="shared" si="23"/>
        <v>Excelsa</v>
      </c>
      <c r="O714" t="str" cm="1">
        <f t="array" ref="O714">_xlfn.IFS(J714="M", "Medium", J714="L", "Light", J714="D", "Dark")</f>
        <v>Medium</v>
      </c>
      <c r="P714" t="str">
        <f>_xlfn.XLOOKUP(Orders[[#This Row],[Customer ID]], customers!$A$2:$A$1001, customers!$I$2:$I$1001, 0)</f>
        <v>No</v>
      </c>
    </row>
    <row r="715" spans="1:16" x14ac:dyDescent="0.35">
      <c r="A715" s="2" t="s">
        <v>4516</v>
      </c>
      <c r="B715" s="3">
        <v>43960</v>
      </c>
      <c r="C715" s="2" t="s">
        <v>4517</v>
      </c>
      <c r="D715" t="s">
        <v>6174</v>
      </c>
      <c r="E715" s="2">
        <v>1</v>
      </c>
      <c r="F715" s="2" t="str" cm="1">
        <f t="array" ref="F715">_xlfn.XLOOKUP(C715, customers!$A$1:A1714, customers!$B$1:B1714, 0)</f>
        <v>Sacha Bruun</v>
      </c>
      <c r="G715" s="2" t="str">
        <f>IF(_xlfn.XLOOKUP(C715, customers!A714:A1714, customers!C714:C1714, 0)=0, "", _xlfn.XLOOKUP(C715, customers!A714:A1714, customers!C714:C1714, 0))</f>
        <v>sbruunjt@blogtalkradio.com</v>
      </c>
      <c r="H715" s="2" t="str" cm="1">
        <f t="array" ref="H715">_xlfn.XLOOKUP(C715, customers!$A$1:A1714, customers!$G$1:G1714,, 0)</f>
        <v>United States</v>
      </c>
      <c r="I715" t="str" cm="1">
        <f t="array" ref="I715">_xlfn.XLOOKUP(orders!D715, products!$A$1:A762, products!$B$1:B762, 0)</f>
        <v>Rob</v>
      </c>
      <c r="J715" t="str" cm="1">
        <f t="array" ref="J715">_xlfn.XLOOKUP(D715, products!$A$1:A762, products!$C$1:C762, 0)</f>
        <v>M</v>
      </c>
      <c r="K715" s="4" cm="1">
        <f t="array" ref="K715">_xlfn.XLOOKUP(D715, products!$A$1:A762, products!$D$1:D762, 0)</f>
        <v>0.2</v>
      </c>
      <c r="L715" s="4" cm="1">
        <f t="array" ref="L715">_xlfn.XLOOKUP(D715, products!$A$1:A762, products!$E$1:E762)</f>
        <v>2.9849999999999999</v>
      </c>
      <c r="M715">
        <f t="shared" si="22"/>
        <v>2.9849999999999999</v>
      </c>
      <c r="N715" t="str">
        <f t="shared" si="23"/>
        <v>Robusta</v>
      </c>
      <c r="O715" t="str" cm="1">
        <f t="array" ref="O715">_xlfn.IFS(J715="M", "Medium", J715="L", "Light", J715="D", "Dark")</f>
        <v>Medium</v>
      </c>
      <c r="P715" t="str">
        <f>_xlfn.XLOOKUP(Orders[[#This Row],[Customer ID]], customers!$A$2:$A$1001, customers!$I$2:$I$1001, 0)</f>
        <v>No</v>
      </c>
    </row>
    <row r="716" spans="1:16" x14ac:dyDescent="0.35">
      <c r="A716" s="2" t="s">
        <v>4522</v>
      </c>
      <c r="B716" s="3">
        <v>44358</v>
      </c>
      <c r="C716" s="2" t="s">
        <v>4523</v>
      </c>
      <c r="D716" t="s">
        <v>6153</v>
      </c>
      <c r="E716" s="2">
        <v>4</v>
      </c>
      <c r="F716" s="2" t="str" cm="1">
        <f t="array" ref="F716">_xlfn.XLOOKUP(C716, customers!$A$1:A1715, customers!$B$1:B1715, 0)</f>
        <v>Alon Pllu</v>
      </c>
      <c r="G716" s="2" t="str">
        <f>IF(_xlfn.XLOOKUP(C716, customers!A715:A1715, customers!C715:C1715, 0)=0, "", _xlfn.XLOOKUP(C716, customers!A715:A1715, customers!C715:C1715, 0))</f>
        <v>aplluju@dagondesign.com</v>
      </c>
      <c r="H716" s="2" t="str" cm="1">
        <f t="array" ref="H716">_xlfn.XLOOKUP(C716, customers!$A$1:A1715, customers!$G$1:G1715,, 0)</f>
        <v>Ireland</v>
      </c>
      <c r="I716" t="str" cm="1">
        <f t="array" ref="I716">_xlfn.XLOOKUP(orders!D716, products!$A$1:A763, products!$B$1:B763, 0)</f>
        <v>Exc</v>
      </c>
      <c r="J716" t="str" cm="1">
        <f t="array" ref="J716">_xlfn.XLOOKUP(D716, products!$A$1:A763, products!$C$1:C763, 0)</f>
        <v>D</v>
      </c>
      <c r="K716" s="4" cm="1">
        <f t="array" ref="K716">_xlfn.XLOOKUP(D716, products!$A$1:A763, products!$D$1:D763, 0)</f>
        <v>0.2</v>
      </c>
      <c r="L716" s="4" cm="1">
        <f t="array" ref="L716">_xlfn.XLOOKUP(D716, products!$A$1:A763, products!$E$1:E763)</f>
        <v>3.645</v>
      </c>
      <c r="M716">
        <f t="shared" si="22"/>
        <v>14.58</v>
      </c>
      <c r="N716" t="str">
        <f t="shared" si="23"/>
        <v>Excelsa</v>
      </c>
      <c r="O716" t="str" cm="1">
        <f t="array" ref="O716">_xlfn.IFS(J716="M", "Medium", J716="L", "Light", J716="D", "Dark")</f>
        <v>Dark</v>
      </c>
      <c r="P716" t="str">
        <f>_xlfn.XLOOKUP(Orders[[#This Row],[Customer ID]], customers!$A$2:$A$1001, customers!$I$2:$I$1001, 0)</f>
        <v>Yes</v>
      </c>
    </row>
    <row r="717" spans="1:16" x14ac:dyDescent="0.35">
      <c r="A717" s="2" t="s">
        <v>4528</v>
      </c>
      <c r="B717" s="3">
        <v>44504</v>
      </c>
      <c r="C717" s="2" t="s">
        <v>4529</v>
      </c>
      <c r="D717" t="s">
        <v>6171</v>
      </c>
      <c r="E717" s="2">
        <v>6</v>
      </c>
      <c r="F717" s="2" t="str" cm="1">
        <f t="array" ref="F717">_xlfn.XLOOKUP(C717, customers!$A$1:A1716, customers!$B$1:B1716, 0)</f>
        <v>Gilberto Cornier</v>
      </c>
      <c r="G717" s="2" t="str">
        <f>IF(_xlfn.XLOOKUP(C717, customers!A716:A1716, customers!C716:C1716, 0)=0, "", _xlfn.XLOOKUP(C717, customers!A716:A1716, customers!C716:C1716, 0))</f>
        <v>gcornierjv@techcrunch.com</v>
      </c>
      <c r="H717" s="2" t="str" cm="1">
        <f t="array" ref="H717">_xlfn.XLOOKUP(C717, customers!$A$1:A1716, customers!$G$1:G1716,, 0)</f>
        <v>United States</v>
      </c>
      <c r="I717" t="str" cm="1">
        <f t="array" ref="I717">_xlfn.XLOOKUP(orders!D717, products!$A$1:A764, products!$B$1:B764, 0)</f>
        <v>Exc</v>
      </c>
      <c r="J717" t="str" cm="1">
        <f t="array" ref="J717">_xlfn.XLOOKUP(D717, products!$A$1:A764, products!$C$1:C764, 0)</f>
        <v>L</v>
      </c>
      <c r="K717" s="4" cm="1">
        <f t="array" ref="K717">_xlfn.XLOOKUP(D717, products!$A$1:A764, products!$D$1:D764, 0)</f>
        <v>1</v>
      </c>
      <c r="L717" s="4" cm="1">
        <f t="array" ref="L717">_xlfn.XLOOKUP(D717, products!$A$1:A764, products!$E$1:E764)</f>
        <v>14.85</v>
      </c>
      <c r="M717">
        <f t="shared" si="22"/>
        <v>89.1</v>
      </c>
      <c r="N717" t="str">
        <f t="shared" si="23"/>
        <v>Excelsa</v>
      </c>
      <c r="O717" t="str" cm="1">
        <f t="array" ref="O717">_xlfn.IFS(J717="M", "Medium", J717="L", "Light", J717="D", "Dark")</f>
        <v>Light</v>
      </c>
      <c r="P717" t="str">
        <f>_xlfn.XLOOKUP(Orders[[#This Row],[Customer ID]], customers!$A$2:$A$1001, customers!$I$2:$I$1001, 0)</f>
        <v>No</v>
      </c>
    </row>
    <row r="718" spans="1:16" x14ac:dyDescent="0.35">
      <c r="A718" s="2" t="s">
        <v>4533</v>
      </c>
      <c r="B718" s="3">
        <v>44612</v>
      </c>
      <c r="C718" s="2" t="s">
        <v>4434</v>
      </c>
      <c r="D718" t="s">
        <v>6179</v>
      </c>
      <c r="E718" s="2">
        <v>3</v>
      </c>
      <c r="F718" s="2" t="str" cm="1">
        <f t="array" ref="F718">_xlfn.XLOOKUP(C718, customers!$A$1:A1717, customers!$B$1:B1717, 0)</f>
        <v>Jimmy Dymoke</v>
      </c>
      <c r="G718" s="2" t="str">
        <f>IF(_xlfn.XLOOKUP(C718, customers!A717:A1717, customers!C717:C1717, 0)=0, "", _xlfn.XLOOKUP(C718, customers!A717:A1717, customers!C717:C1717, 0))</f>
        <v/>
      </c>
      <c r="H718" s="2" t="str" cm="1">
        <f t="array" ref="H718">_xlfn.XLOOKUP(C718, customers!$A$1:A1717, customers!$G$1:G1717,, 0)</f>
        <v>Ireland</v>
      </c>
      <c r="I718" t="str" cm="1">
        <f t="array" ref="I718">_xlfn.XLOOKUP(orders!D718, products!$A$1:A765, products!$B$1:B765, 0)</f>
        <v>Rob</v>
      </c>
      <c r="J718" t="str" cm="1">
        <f t="array" ref="J718">_xlfn.XLOOKUP(D718, products!$A$1:A765, products!$C$1:C765, 0)</f>
        <v>L</v>
      </c>
      <c r="K718" s="4" cm="1">
        <f t="array" ref="K718">_xlfn.XLOOKUP(D718, products!$A$1:A765, products!$D$1:D765, 0)</f>
        <v>1</v>
      </c>
      <c r="L718" s="4" cm="1">
        <f t="array" ref="L718">_xlfn.XLOOKUP(D718, products!$A$1:A765, products!$E$1:E765)</f>
        <v>11.95</v>
      </c>
      <c r="M718">
        <f t="shared" si="22"/>
        <v>35.849999999999994</v>
      </c>
      <c r="N718" t="str">
        <f t="shared" si="23"/>
        <v>Robusta</v>
      </c>
      <c r="O718" t="str" cm="1">
        <f t="array" ref="O718">_xlfn.IFS(J718="M", "Medium", J718="L", "Light", J718="D", "Dark")</f>
        <v>Light</v>
      </c>
      <c r="P718" t="str">
        <f>_xlfn.XLOOKUP(Orders[[#This Row],[Customer ID]], customers!$A$2:$A$1001, customers!$I$2:$I$1001, 0)</f>
        <v>No</v>
      </c>
    </row>
    <row r="719" spans="1:16" x14ac:dyDescent="0.35">
      <c r="A719" s="2" t="s">
        <v>4539</v>
      </c>
      <c r="B719" s="3">
        <v>43649</v>
      </c>
      <c r="C719" s="2" t="s">
        <v>4540</v>
      </c>
      <c r="D719" t="s">
        <v>6168</v>
      </c>
      <c r="E719" s="2">
        <v>3</v>
      </c>
      <c r="F719" s="2" t="str" cm="1">
        <f t="array" ref="F719">_xlfn.XLOOKUP(C719, customers!$A$1:A1718, customers!$B$1:B1718, 0)</f>
        <v>Willabella Harvison</v>
      </c>
      <c r="G719" s="2" t="str">
        <f>IF(_xlfn.XLOOKUP(C719, customers!A718:A1718, customers!C718:C1718, 0)=0, "", _xlfn.XLOOKUP(C719, customers!A718:A1718, customers!C718:C1718, 0))</f>
        <v>wharvisonjx@gizmodo.com</v>
      </c>
      <c r="H719" s="2" t="str" cm="1">
        <f t="array" ref="H719">_xlfn.XLOOKUP(C719, customers!$A$1:A1718, customers!$G$1:G1718,, 0)</f>
        <v>United States</v>
      </c>
      <c r="I719" t="str" cm="1">
        <f t="array" ref="I719">_xlfn.XLOOKUP(orders!D719, products!$A$1:A766, products!$B$1:B766, 0)</f>
        <v>Ara</v>
      </c>
      <c r="J719" t="str" cm="1">
        <f t="array" ref="J719">_xlfn.XLOOKUP(D719, products!$A$1:A766, products!$C$1:C766, 0)</f>
        <v>D</v>
      </c>
      <c r="K719" s="4" cm="1">
        <f t="array" ref="K719">_xlfn.XLOOKUP(D719, products!$A$1:A766, products!$D$1:D766, 0)</f>
        <v>2.5</v>
      </c>
      <c r="L719" s="4" cm="1">
        <f t="array" ref="L719">_xlfn.XLOOKUP(D719, products!$A$1:A766, products!$E$1:E766)</f>
        <v>22.884999999999998</v>
      </c>
      <c r="M719">
        <f t="shared" si="22"/>
        <v>68.655000000000001</v>
      </c>
      <c r="N719" t="str">
        <f t="shared" si="23"/>
        <v>Arabica</v>
      </c>
      <c r="O719" t="str" cm="1">
        <f t="array" ref="O719">_xlfn.IFS(J719="M", "Medium", J719="L", "Light", J719="D", "Dark")</f>
        <v>Dark</v>
      </c>
      <c r="P719" t="str">
        <f>_xlfn.XLOOKUP(Orders[[#This Row],[Customer ID]], customers!$A$2:$A$1001, customers!$I$2:$I$1001, 0)</f>
        <v>No</v>
      </c>
    </row>
    <row r="720" spans="1:16" x14ac:dyDescent="0.35">
      <c r="A720" s="2" t="s">
        <v>4545</v>
      </c>
      <c r="B720" s="3">
        <v>44348</v>
      </c>
      <c r="C720" s="2" t="s">
        <v>4546</v>
      </c>
      <c r="D720" t="s">
        <v>6143</v>
      </c>
      <c r="E720" s="2">
        <v>3</v>
      </c>
      <c r="F720" s="2" t="str" cm="1">
        <f t="array" ref="F720">_xlfn.XLOOKUP(C720, customers!$A$1:A1719, customers!$B$1:B1719, 0)</f>
        <v>Darice Heaford</v>
      </c>
      <c r="G720" s="2" t="str">
        <f>IF(_xlfn.XLOOKUP(C720, customers!A719:A1719, customers!C719:C1719, 0)=0, "", _xlfn.XLOOKUP(C720, customers!A719:A1719, customers!C719:C1719, 0))</f>
        <v>dheafordjy@twitpic.com</v>
      </c>
      <c r="H720" s="2" t="str" cm="1">
        <f t="array" ref="H720">_xlfn.XLOOKUP(C720, customers!$A$1:A1719, customers!$G$1:G1719,, 0)</f>
        <v>United States</v>
      </c>
      <c r="I720" t="str" cm="1">
        <f t="array" ref="I720">_xlfn.XLOOKUP(orders!D720, products!$A$1:A767, products!$B$1:B767, 0)</f>
        <v>Lib</v>
      </c>
      <c r="J720" t="str" cm="1">
        <f t="array" ref="J720">_xlfn.XLOOKUP(D720, products!$A$1:A767, products!$C$1:C767, 0)</f>
        <v>D</v>
      </c>
      <c r="K720" s="4" cm="1">
        <f t="array" ref="K720">_xlfn.XLOOKUP(D720, products!$A$1:A767, products!$D$1:D767, 0)</f>
        <v>1</v>
      </c>
      <c r="L720" s="4" cm="1">
        <f t="array" ref="L720">_xlfn.XLOOKUP(D720, products!$A$1:A767, products!$E$1:E767)</f>
        <v>12.95</v>
      </c>
      <c r="M720">
        <f t="shared" si="22"/>
        <v>38.849999999999994</v>
      </c>
      <c r="N720" t="str">
        <f t="shared" si="23"/>
        <v>Liberica</v>
      </c>
      <c r="O720" t="str" cm="1">
        <f t="array" ref="O720">_xlfn.IFS(J720="M", "Medium", J720="L", "Light", J720="D", "Dark")</f>
        <v>Dark</v>
      </c>
      <c r="P720" t="str">
        <f>_xlfn.XLOOKUP(Orders[[#This Row],[Customer ID]], customers!$A$2:$A$1001, customers!$I$2:$I$1001, 0)</f>
        <v>No</v>
      </c>
    </row>
    <row r="721" spans="1:16" x14ac:dyDescent="0.35">
      <c r="A721" s="2" t="s">
        <v>4551</v>
      </c>
      <c r="B721" s="3">
        <v>44150</v>
      </c>
      <c r="C721" s="2" t="s">
        <v>4552</v>
      </c>
      <c r="D721" t="s">
        <v>6170</v>
      </c>
      <c r="E721" s="2">
        <v>5</v>
      </c>
      <c r="F721" s="2" t="str" cm="1">
        <f t="array" ref="F721">_xlfn.XLOOKUP(C721, customers!$A$1:A1720, customers!$B$1:B1720, 0)</f>
        <v>Granger Fantham</v>
      </c>
      <c r="G721" s="2" t="str">
        <f>IF(_xlfn.XLOOKUP(C721, customers!A720:A1720, customers!C720:C1720, 0)=0, "", _xlfn.XLOOKUP(C721, customers!A720:A1720, customers!C720:C1720, 0))</f>
        <v>gfanthamjz@hexun.com</v>
      </c>
      <c r="H721" s="2" t="str" cm="1">
        <f t="array" ref="H721">_xlfn.XLOOKUP(C721, customers!$A$1:A1720, customers!$G$1:G1720,, 0)</f>
        <v>United States</v>
      </c>
      <c r="I721" t="str" cm="1">
        <f t="array" ref="I721">_xlfn.XLOOKUP(orders!D721, products!$A$1:A768, products!$B$1:B768, 0)</f>
        <v>Lib</v>
      </c>
      <c r="J721" t="str" cm="1">
        <f t="array" ref="J721">_xlfn.XLOOKUP(D721, products!$A$1:A768, products!$C$1:C768, 0)</f>
        <v>L</v>
      </c>
      <c r="K721" s="4" cm="1">
        <f t="array" ref="K721">_xlfn.XLOOKUP(D721, products!$A$1:A768, products!$D$1:D768, 0)</f>
        <v>1</v>
      </c>
      <c r="L721" s="4" cm="1">
        <f t="array" ref="L721">_xlfn.XLOOKUP(D721, products!$A$1:A768, products!$E$1:E768)</f>
        <v>15.85</v>
      </c>
      <c r="M721">
        <f t="shared" si="22"/>
        <v>79.25</v>
      </c>
      <c r="N721" t="str">
        <f t="shared" si="23"/>
        <v>Liberica</v>
      </c>
      <c r="O721" t="str" cm="1">
        <f t="array" ref="O721">_xlfn.IFS(J721="M", "Medium", J721="L", "Light", J721="D", "Dark")</f>
        <v>Light</v>
      </c>
      <c r="P721" t="str">
        <f>_xlfn.XLOOKUP(Orders[[#This Row],[Customer ID]], customers!$A$2:$A$1001, customers!$I$2:$I$1001, 0)</f>
        <v>Yes</v>
      </c>
    </row>
    <row r="722" spans="1:16" x14ac:dyDescent="0.35">
      <c r="A722" s="2" t="s">
        <v>4557</v>
      </c>
      <c r="B722" s="3">
        <v>44215</v>
      </c>
      <c r="C722" s="2" t="s">
        <v>4558</v>
      </c>
      <c r="D722" t="s">
        <v>6144</v>
      </c>
      <c r="E722" s="2">
        <v>5</v>
      </c>
      <c r="F722" s="2" t="str" cm="1">
        <f t="array" ref="F722">_xlfn.XLOOKUP(C722, customers!$A$1:A1721, customers!$B$1:B1721, 0)</f>
        <v>Reynolds Crookshanks</v>
      </c>
      <c r="G722" s="2" t="str">
        <f>IF(_xlfn.XLOOKUP(C722, customers!A721:A1721, customers!C721:C1721, 0)=0, "", _xlfn.XLOOKUP(C722, customers!A721:A1721, customers!C721:C1721, 0))</f>
        <v>rcrookshanksk0@unc.edu</v>
      </c>
      <c r="H722" s="2" t="str" cm="1">
        <f t="array" ref="H722">_xlfn.XLOOKUP(C722, customers!$A$1:A1721, customers!$G$1:G1721,, 0)</f>
        <v>United States</v>
      </c>
      <c r="I722" t="str" cm="1">
        <f t="array" ref="I722">_xlfn.XLOOKUP(orders!D722, products!$A$1:A769, products!$B$1:B769, 0)</f>
        <v>Exc</v>
      </c>
      <c r="J722" t="str" cm="1">
        <f t="array" ref="J722">_xlfn.XLOOKUP(D722, products!$A$1:A769, products!$C$1:C769, 0)</f>
        <v>D</v>
      </c>
      <c r="K722" s="4" cm="1">
        <f t="array" ref="K722">_xlfn.XLOOKUP(D722, products!$A$1:A769, products!$D$1:D769, 0)</f>
        <v>0.5</v>
      </c>
      <c r="L722" s="4" cm="1">
        <f t="array" ref="L722">_xlfn.XLOOKUP(D722, products!$A$1:A769, products!$E$1:E769)</f>
        <v>7.29</v>
      </c>
      <c r="M722">
        <f t="shared" si="22"/>
        <v>36.450000000000003</v>
      </c>
      <c r="N722" t="str">
        <f t="shared" si="23"/>
        <v>Excelsa</v>
      </c>
      <c r="O722" t="str" cm="1">
        <f t="array" ref="O722">_xlfn.IFS(J722="M", "Medium", J722="L", "Light", J722="D", "Dark")</f>
        <v>Dark</v>
      </c>
      <c r="P722" t="str">
        <f>_xlfn.XLOOKUP(Orders[[#This Row],[Customer ID]], customers!$A$2:$A$1001, customers!$I$2:$I$1001, 0)</f>
        <v>Yes</v>
      </c>
    </row>
    <row r="723" spans="1:16" x14ac:dyDescent="0.35">
      <c r="A723" s="2" t="s">
        <v>4563</v>
      </c>
      <c r="B723" s="3">
        <v>44479</v>
      </c>
      <c r="C723" s="2" t="s">
        <v>4564</v>
      </c>
      <c r="D723" t="s">
        <v>6174</v>
      </c>
      <c r="E723" s="2">
        <v>3</v>
      </c>
      <c r="F723" s="2" t="str" cm="1">
        <f t="array" ref="F723">_xlfn.XLOOKUP(C723, customers!$A$1:A1722, customers!$B$1:B1722, 0)</f>
        <v>Niels Leake</v>
      </c>
      <c r="G723" s="2" t="str">
        <f>IF(_xlfn.XLOOKUP(C723, customers!A722:A1722, customers!C722:C1722, 0)=0, "", _xlfn.XLOOKUP(C723, customers!A722:A1722, customers!C722:C1722, 0))</f>
        <v>nleakek1@cmu.edu</v>
      </c>
      <c r="H723" s="2" t="str" cm="1">
        <f t="array" ref="H723">_xlfn.XLOOKUP(C723, customers!$A$1:A1722, customers!$G$1:G1722,, 0)</f>
        <v>United States</v>
      </c>
      <c r="I723" t="str" cm="1">
        <f t="array" ref="I723">_xlfn.XLOOKUP(orders!D723, products!$A$1:A770, products!$B$1:B770, 0)</f>
        <v>Rob</v>
      </c>
      <c r="J723" t="str" cm="1">
        <f t="array" ref="J723">_xlfn.XLOOKUP(D723, products!$A$1:A770, products!$C$1:C770, 0)</f>
        <v>M</v>
      </c>
      <c r="K723" s="4" cm="1">
        <f t="array" ref="K723">_xlfn.XLOOKUP(D723, products!$A$1:A770, products!$D$1:D770, 0)</f>
        <v>0.2</v>
      </c>
      <c r="L723" s="4" cm="1">
        <f t="array" ref="L723">_xlfn.XLOOKUP(D723, products!$A$1:A770, products!$E$1:E770)</f>
        <v>2.9849999999999999</v>
      </c>
      <c r="M723">
        <f t="shared" si="22"/>
        <v>8.9550000000000001</v>
      </c>
      <c r="N723" t="str">
        <f t="shared" si="23"/>
        <v>Robusta</v>
      </c>
      <c r="O723" t="str" cm="1">
        <f t="array" ref="O723">_xlfn.IFS(J723="M", "Medium", J723="L", "Light", J723="D", "Dark")</f>
        <v>Medium</v>
      </c>
      <c r="P723" t="str">
        <f>_xlfn.XLOOKUP(Orders[[#This Row],[Customer ID]], customers!$A$2:$A$1001, customers!$I$2:$I$1001, 0)</f>
        <v>Yes</v>
      </c>
    </row>
    <row r="724" spans="1:16" x14ac:dyDescent="0.35">
      <c r="A724" s="2" t="s">
        <v>4569</v>
      </c>
      <c r="B724" s="3">
        <v>44620</v>
      </c>
      <c r="C724" s="2" t="s">
        <v>4570</v>
      </c>
      <c r="D724" t="s">
        <v>6183</v>
      </c>
      <c r="E724" s="2">
        <v>2</v>
      </c>
      <c r="F724" s="2" t="str" cm="1">
        <f t="array" ref="F724">_xlfn.XLOOKUP(C724, customers!$A$1:A1723, customers!$B$1:B1723, 0)</f>
        <v>Hetti Measures</v>
      </c>
      <c r="G724" s="2" t="str">
        <f>IF(_xlfn.XLOOKUP(C724, customers!A723:A1723, customers!C723:C1723, 0)=0, "", _xlfn.XLOOKUP(C724, customers!A723:A1723, customers!C723:C1723, 0))</f>
        <v/>
      </c>
      <c r="H724" s="2" t="str" cm="1">
        <f t="array" ref="H724">_xlfn.XLOOKUP(C724, customers!$A$1:A1723, customers!$G$1:G1723,, 0)</f>
        <v>United States</v>
      </c>
      <c r="I724" t="str" cm="1">
        <f t="array" ref="I724">_xlfn.XLOOKUP(orders!D724, products!$A$1:A771, products!$B$1:B771, 0)</f>
        <v>Exc</v>
      </c>
      <c r="J724" t="str" cm="1">
        <f t="array" ref="J724">_xlfn.XLOOKUP(D724, products!$A$1:A771, products!$C$1:C771, 0)</f>
        <v>D</v>
      </c>
      <c r="K724" s="4" cm="1">
        <f t="array" ref="K724">_xlfn.XLOOKUP(D724, products!$A$1:A771, products!$D$1:D771, 0)</f>
        <v>1</v>
      </c>
      <c r="L724" s="4" cm="1">
        <f t="array" ref="L724">_xlfn.XLOOKUP(D724, products!$A$1:A771, products!$E$1:E771)</f>
        <v>12.15</v>
      </c>
      <c r="M724">
        <f t="shared" si="22"/>
        <v>24.3</v>
      </c>
      <c r="N724" t="str">
        <f t="shared" si="23"/>
        <v>Excelsa</v>
      </c>
      <c r="O724" t="str" cm="1">
        <f t="array" ref="O724">_xlfn.IFS(J724="M", "Medium", J724="L", "Light", J724="D", "Dark")</f>
        <v>Dark</v>
      </c>
      <c r="P724" t="str">
        <f>_xlfn.XLOOKUP(Orders[[#This Row],[Customer ID]], customers!$A$2:$A$1001, customers!$I$2:$I$1001, 0)</f>
        <v>No</v>
      </c>
    </row>
    <row r="725" spans="1:16" x14ac:dyDescent="0.35">
      <c r="A725" s="2" t="s">
        <v>4574</v>
      </c>
      <c r="B725" s="3">
        <v>44470</v>
      </c>
      <c r="C725" s="2" t="s">
        <v>4575</v>
      </c>
      <c r="D725" t="s">
        <v>6166</v>
      </c>
      <c r="E725" s="2">
        <v>2</v>
      </c>
      <c r="F725" s="2" t="str" cm="1">
        <f t="array" ref="F725">_xlfn.XLOOKUP(C725, customers!$A$1:A1724, customers!$B$1:B1724, 0)</f>
        <v>Gay Eilhersen</v>
      </c>
      <c r="G725" s="2" t="str">
        <f>IF(_xlfn.XLOOKUP(C725, customers!A724:A1724, customers!C724:C1724, 0)=0, "", _xlfn.XLOOKUP(C725, customers!A724:A1724, customers!C724:C1724, 0))</f>
        <v>geilhersenk3@networksolutions.com</v>
      </c>
      <c r="H725" s="2" t="str" cm="1">
        <f t="array" ref="H725">_xlfn.XLOOKUP(C725, customers!$A$1:A1724, customers!$G$1:G1724,, 0)</f>
        <v>United States</v>
      </c>
      <c r="I725" t="str" cm="1">
        <f t="array" ref="I725">_xlfn.XLOOKUP(orders!D725, products!$A$1:A772, products!$B$1:B772, 0)</f>
        <v>Exc</v>
      </c>
      <c r="J725" t="str" cm="1">
        <f t="array" ref="J725">_xlfn.XLOOKUP(D725, products!$A$1:A772, products!$C$1:C772, 0)</f>
        <v>M</v>
      </c>
      <c r="K725" s="4" cm="1">
        <f t="array" ref="K725">_xlfn.XLOOKUP(D725, products!$A$1:A772, products!$D$1:D772, 0)</f>
        <v>2.5</v>
      </c>
      <c r="L725" s="4" cm="1">
        <f t="array" ref="L725">_xlfn.XLOOKUP(D725, products!$A$1:A772, products!$E$1:E772)</f>
        <v>31.624999999999996</v>
      </c>
      <c r="M725">
        <f t="shared" si="22"/>
        <v>63.249999999999993</v>
      </c>
      <c r="N725" t="str">
        <f t="shared" si="23"/>
        <v>Excelsa</v>
      </c>
      <c r="O725" t="str" cm="1">
        <f t="array" ref="O725">_xlfn.IFS(J725="M", "Medium", J725="L", "Light", J725="D", "Dark")</f>
        <v>Medium</v>
      </c>
      <c r="P725" t="str">
        <f>_xlfn.XLOOKUP(Orders[[#This Row],[Customer ID]], customers!$A$2:$A$1001, customers!$I$2:$I$1001, 0)</f>
        <v>No</v>
      </c>
    </row>
    <row r="726" spans="1:16" x14ac:dyDescent="0.35">
      <c r="A726" s="2" t="s">
        <v>4580</v>
      </c>
      <c r="B726" s="3">
        <v>44076</v>
      </c>
      <c r="C726" s="2" t="s">
        <v>4581</v>
      </c>
      <c r="D726" t="s">
        <v>6152</v>
      </c>
      <c r="E726" s="2">
        <v>2</v>
      </c>
      <c r="F726" s="2" t="str" cm="1">
        <f t="array" ref="F726">_xlfn.XLOOKUP(C726, customers!$A$1:A1725, customers!$B$1:B1725, 0)</f>
        <v>Nico Hubert</v>
      </c>
      <c r="G726" s="2" t="str">
        <f>IF(_xlfn.XLOOKUP(C726, customers!A725:A1725, customers!C725:C1725, 0)=0, "", _xlfn.XLOOKUP(C726, customers!A725:A1725, customers!C725:C1725, 0))</f>
        <v/>
      </c>
      <c r="H726" s="2" t="str" cm="1">
        <f t="array" ref="H726">_xlfn.XLOOKUP(C726, customers!$A$1:A1725, customers!$G$1:G1725,, 0)</f>
        <v>United States</v>
      </c>
      <c r="I726" t="str" cm="1">
        <f t="array" ref="I726">_xlfn.XLOOKUP(orders!D726, products!$A$1:A773, products!$B$1:B773, 0)</f>
        <v>Ara</v>
      </c>
      <c r="J726" t="str" cm="1">
        <f t="array" ref="J726">_xlfn.XLOOKUP(D726, products!$A$1:A773, products!$C$1:C773, 0)</f>
        <v>M</v>
      </c>
      <c r="K726" s="4" cm="1">
        <f t="array" ref="K726">_xlfn.XLOOKUP(D726, products!$A$1:A773, products!$D$1:D773, 0)</f>
        <v>0.2</v>
      </c>
      <c r="L726" s="4" cm="1">
        <f t="array" ref="L726">_xlfn.XLOOKUP(D726, products!$A$1:A773, products!$E$1:E773)</f>
        <v>3.375</v>
      </c>
      <c r="M726">
        <f t="shared" si="22"/>
        <v>6.75</v>
      </c>
      <c r="N726" t="str">
        <f t="shared" si="23"/>
        <v>Arabica</v>
      </c>
      <c r="O726" t="str" cm="1">
        <f t="array" ref="O726">_xlfn.IFS(J726="M", "Medium", J726="L", "Light", J726="D", "Dark")</f>
        <v>Medium</v>
      </c>
      <c r="P726" t="str">
        <f>_xlfn.XLOOKUP(Orders[[#This Row],[Customer ID]], customers!$A$2:$A$1001, customers!$I$2:$I$1001, 0)</f>
        <v>Yes</v>
      </c>
    </row>
    <row r="727" spans="1:16" x14ac:dyDescent="0.35">
      <c r="A727" s="2" t="s">
        <v>4585</v>
      </c>
      <c r="B727" s="3">
        <v>44043</v>
      </c>
      <c r="C727" s="2" t="s">
        <v>4586</v>
      </c>
      <c r="D727" t="s">
        <v>6167</v>
      </c>
      <c r="E727" s="2">
        <v>6</v>
      </c>
      <c r="F727" s="2" t="str" cm="1">
        <f t="array" ref="F727">_xlfn.XLOOKUP(C727, customers!$A$1:A1726, customers!$B$1:B1726, 0)</f>
        <v>Cristina Aleixo</v>
      </c>
      <c r="G727" s="2" t="str">
        <f>IF(_xlfn.XLOOKUP(C727, customers!A726:A1726, customers!C726:C1726, 0)=0, "", _xlfn.XLOOKUP(C727, customers!A726:A1726, customers!C726:C1726, 0))</f>
        <v>caleixok5@globo.com</v>
      </c>
      <c r="H727" s="2" t="str" cm="1">
        <f t="array" ref="H727">_xlfn.XLOOKUP(C727, customers!$A$1:A1726, customers!$G$1:G1726,, 0)</f>
        <v>United States</v>
      </c>
      <c r="I727" t="str" cm="1">
        <f t="array" ref="I727">_xlfn.XLOOKUP(orders!D727, products!$A$1:A774, products!$B$1:B774, 0)</f>
        <v>Ara</v>
      </c>
      <c r="J727" t="str" cm="1">
        <f t="array" ref="J727">_xlfn.XLOOKUP(D727, products!$A$1:A774, products!$C$1:C774, 0)</f>
        <v>L</v>
      </c>
      <c r="K727" s="4" cm="1">
        <f t="array" ref="K727">_xlfn.XLOOKUP(D727, products!$A$1:A774, products!$D$1:D774, 0)</f>
        <v>0.2</v>
      </c>
      <c r="L727" s="4" cm="1">
        <f t="array" ref="L727">_xlfn.XLOOKUP(D727, products!$A$1:A774, products!$E$1:E774)</f>
        <v>3.8849999999999998</v>
      </c>
      <c r="M727">
        <f t="shared" si="22"/>
        <v>23.31</v>
      </c>
      <c r="N727" t="str">
        <f t="shared" si="23"/>
        <v>Arabica</v>
      </c>
      <c r="O727" t="str" cm="1">
        <f t="array" ref="O727">_xlfn.IFS(J727="M", "Medium", J727="L", "Light", J727="D", "Dark")</f>
        <v>Light</v>
      </c>
      <c r="P727" t="str">
        <f>_xlfn.XLOOKUP(Orders[[#This Row],[Customer ID]], customers!$A$2:$A$1001, customers!$I$2:$I$1001, 0)</f>
        <v>No</v>
      </c>
    </row>
    <row r="728" spans="1:16" x14ac:dyDescent="0.35">
      <c r="A728" s="2" t="s">
        <v>4591</v>
      </c>
      <c r="B728" s="3">
        <v>44571</v>
      </c>
      <c r="C728" s="2" t="s">
        <v>4592</v>
      </c>
      <c r="D728" t="s">
        <v>6164</v>
      </c>
      <c r="E728" s="2">
        <v>4</v>
      </c>
      <c r="F728" s="2" t="str" cm="1">
        <f t="array" ref="F728">_xlfn.XLOOKUP(C728, customers!$A$1:A1727, customers!$B$1:B1727, 0)</f>
        <v>Derrek Allpress</v>
      </c>
      <c r="G728" s="2" t="str">
        <f>IF(_xlfn.XLOOKUP(C728, customers!A727:A1727, customers!C727:C1727, 0)=0, "", _xlfn.XLOOKUP(C728, customers!A727:A1727, customers!C727:C1727, 0))</f>
        <v/>
      </c>
      <c r="H728" s="2" t="str" cm="1">
        <f t="array" ref="H728">_xlfn.XLOOKUP(C728, customers!$A$1:A1727, customers!$G$1:G1727,, 0)</f>
        <v>United States</v>
      </c>
      <c r="I728" t="str" cm="1">
        <f t="array" ref="I728">_xlfn.XLOOKUP(orders!D728, products!$A$1:A775, products!$B$1:B775, 0)</f>
        <v>Lib</v>
      </c>
      <c r="J728" t="str" cm="1">
        <f t="array" ref="J728">_xlfn.XLOOKUP(D728, products!$A$1:A775, products!$C$1:C775, 0)</f>
        <v>L</v>
      </c>
      <c r="K728" s="4" cm="1">
        <f t="array" ref="K728">_xlfn.XLOOKUP(D728, products!$A$1:A775, products!$D$1:D775, 0)</f>
        <v>2.5</v>
      </c>
      <c r="L728" s="4" cm="1">
        <f t="array" ref="L728">_xlfn.XLOOKUP(D728, products!$A$1:A775, products!$E$1:E775)</f>
        <v>36.454999999999998</v>
      </c>
      <c r="M728">
        <f t="shared" si="22"/>
        <v>145.82</v>
      </c>
      <c r="N728" t="str">
        <f t="shared" si="23"/>
        <v>Liberica</v>
      </c>
      <c r="O728" t="str" cm="1">
        <f t="array" ref="O728">_xlfn.IFS(J728="M", "Medium", J728="L", "Light", J728="D", "Dark")</f>
        <v>Light</v>
      </c>
      <c r="P728" t="str">
        <f>_xlfn.XLOOKUP(Orders[[#This Row],[Customer ID]], customers!$A$2:$A$1001, customers!$I$2:$I$1001, 0)</f>
        <v>No</v>
      </c>
    </row>
    <row r="729" spans="1:16" x14ac:dyDescent="0.35">
      <c r="A729" s="2" t="s">
        <v>4596</v>
      </c>
      <c r="B729" s="3">
        <v>44264</v>
      </c>
      <c r="C729" s="2" t="s">
        <v>4597</v>
      </c>
      <c r="D729" t="s">
        <v>6146</v>
      </c>
      <c r="E729" s="2">
        <v>5</v>
      </c>
      <c r="F729" s="2" t="str" cm="1">
        <f t="array" ref="F729">_xlfn.XLOOKUP(C729, customers!$A$1:A1728, customers!$B$1:B1728, 0)</f>
        <v>Rikki Tomkowicz</v>
      </c>
      <c r="G729" s="2" t="str">
        <f>IF(_xlfn.XLOOKUP(C729, customers!A728:A1728, customers!C728:C1728, 0)=0, "", _xlfn.XLOOKUP(C729, customers!A728:A1728, customers!C728:C1728, 0))</f>
        <v>rtomkowiczk7@bravesites.com</v>
      </c>
      <c r="H729" s="2" t="str" cm="1">
        <f t="array" ref="H729">_xlfn.XLOOKUP(C729, customers!$A$1:A1728, customers!$G$1:G1728,, 0)</f>
        <v>Ireland</v>
      </c>
      <c r="I729" t="str" cm="1">
        <f t="array" ref="I729">_xlfn.XLOOKUP(orders!D729, products!$A$1:A776, products!$B$1:B776, 0)</f>
        <v>Rob</v>
      </c>
      <c r="J729" t="str" cm="1">
        <f t="array" ref="J729">_xlfn.XLOOKUP(D729, products!$A$1:A776, products!$C$1:C776, 0)</f>
        <v>M</v>
      </c>
      <c r="K729" s="4" cm="1">
        <f t="array" ref="K729">_xlfn.XLOOKUP(D729, products!$A$1:A776, products!$D$1:D776, 0)</f>
        <v>0.5</v>
      </c>
      <c r="L729" s="4" cm="1">
        <f t="array" ref="L729">_xlfn.XLOOKUP(D729, products!$A$1:A776, products!$E$1:E776)</f>
        <v>5.97</v>
      </c>
      <c r="M729">
        <f t="shared" si="22"/>
        <v>29.849999999999998</v>
      </c>
      <c r="N729" t="str">
        <f t="shared" si="23"/>
        <v>Robusta</v>
      </c>
      <c r="O729" t="str" cm="1">
        <f t="array" ref="O729">_xlfn.IFS(J729="M", "Medium", J729="L", "Light", J729="D", "Dark")</f>
        <v>Medium</v>
      </c>
      <c r="P729" t="str">
        <f>_xlfn.XLOOKUP(Orders[[#This Row],[Customer ID]], customers!$A$2:$A$1001, customers!$I$2:$I$1001, 0)</f>
        <v>Yes</v>
      </c>
    </row>
    <row r="730" spans="1:16" x14ac:dyDescent="0.35">
      <c r="A730" s="2" t="s">
        <v>4602</v>
      </c>
      <c r="B730" s="3">
        <v>44155</v>
      </c>
      <c r="C730" s="2" t="s">
        <v>4603</v>
      </c>
      <c r="D730" t="s">
        <v>6144</v>
      </c>
      <c r="E730" s="2">
        <v>3</v>
      </c>
      <c r="F730" s="2" t="str" cm="1">
        <f t="array" ref="F730">_xlfn.XLOOKUP(C730, customers!$A$1:A1729, customers!$B$1:B1729, 0)</f>
        <v>Rochette Huscroft</v>
      </c>
      <c r="G730" s="2" t="str">
        <f>IF(_xlfn.XLOOKUP(C730, customers!A729:A1729, customers!C729:C1729, 0)=0, "", _xlfn.XLOOKUP(C730, customers!A729:A1729, customers!C729:C1729, 0))</f>
        <v>rhuscroftk8@jimdo.com</v>
      </c>
      <c r="H730" s="2" t="str" cm="1">
        <f t="array" ref="H730">_xlfn.XLOOKUP(C730, customers!$A$1:A1729, customers!$G$1:G1729,, 0)</f>
        <v>United States</v>
      </c>
      <c r="I730" t="str" cm="1">
        <f t="array" ref="I730">_xlfn.XLOOKUP(orders!D730, products!$A$1:A777, products!$B$1:B777, 0)</f>
        <v>Exc</v>
      </c>
      <c r="J730" t="str" cm="1">
        <f t="array" ref="J730">_xlfn.XLOOKUP(D730, products!$A$1:A777, products!$C$1:C777, 0)</f>
        <v>D</v>
      </c>
      <c r="K730" s="4" cm="1">
        <f t="array" ref="K730">_xlfn.XLOOKUP(D730, products!$A$1:A777, products!$D$1:D777, 0)</f>
        <v>0.5</v>
      </c>
      <c r="L730" s="4" cm="1">
        <f t="array" ref="L730">_xlfn.XLOOKUP(D730, products!$A$1:A777, products!$E$1:E777)</f>
        <v>7.29</v>
      </c>
      <c r="M730">
        <f t="shared" si="22"/>
        <v>21.87</v>
      </c>
      <c r="N730" t="str">
        <f t="shared" si="23"/>
        <v>Excelsa</v>
      </c>
      <c r="O730" t="str" cm="1">
        <f t="array" ref="O730">_xlfn.IFS(J730="M", "Medium", J730="L", "Light", J730="D", "Dark")</f>
        <v>Dark</v>
      </c>
      <c r="P730" t="str">
        <f>_xlfn.XLOOKUP(Orders[[#This Row],[Customer ID]], customers!$A$2:$A$1001, customers!$I$2:$I$1001, 0)</f>
        <v>Yes</v>
      </c>
    </row>
    <row r="731" spans="1:16" x14ac:dyDescent="0.35">
      <c r="A731" s="2" t="s">
        <v>4608</v>
      </c>
      <c r="B731" s="3">
        <v>44634</v>
      </c>
      <c r="C731" s="2" t="s">
        <v>4609</v>
      </c>
      <c r="D731" t="s">
        <v>6159</v>
      </c>
      <c r="E731" s="2">
        <v>1</v>
      </c>
      <c r="F731" s="2" t="str" cm="1">
        <f t="array" ref="F731">_xlfn.XLOOKUP(C731, customers!$A$1:A1730, customers!$B$1:B1730, 0)</f>
        <v>Selle Scurrer</v>
      </c>
      <c r="G731" s="2" t="str">
        <f>IF(_xlfn.XLOOKUP(C731, customers!A730:A1730, customers!C730:C1730, 0)=0, "", _xlfn.XLOOKUP(C731, customers!A730:A1730, customers!C730:C1730, 0))</f>
        <v>sscurrerk9@flavors.me</v>
      </c>
      <c r="H731" s="2" t="str" cm="1">
        <f t="array" ref="H731">_xlfn.XLOOKUP(C731, customers!$A$1:A1730, customers!$G$1:G1730,, 0)</f>
        <v>United Kingdom</v>
      </c>
      <c r="I731" t="str" cm="1">
        <f t="array" ref="I731">_xlfn.XLOOKUP(orders!D731, products!$A$1:A778, products!$B$1:B778, 0)</f>
        <v>Lib</v>
      </c>
      <c r="J731" t="str" cm="1">
        <f t="array" ref="J731">_xlfn.XLOOKUP(D731, products!$A$1:A778, products!$C$1:C778, 0)</f>
        <v>M</v>
      </c>
      <c r="K731" s="4" cm="1">
        <f t="array" ref="K731">_xlfn.XLOOKUP(D731, products!$A$1:A778, products!$D$1:D778, 0)</f>
        <v>0.2</v>
      </c>
      <c r="L731" s="4" cm="1">
        <f t="array" ref="L731">_xlfn.XLOOKUP(D731, products!$A$1:A778, products!$E$1:E778)</f>
        <v>4.3650000000000002</v>
      </c>
      <c r="M731">
        <f t="shared" si="22"/>
        <v>4.3650000000000002</v>
      </c>
      <c r="N731" t="str">
        <f t="shared" si="23"/>
        <v>Liberica</v>
      </c>
      <c r="O731" t="str" cm="1">
        <f t="array" ref="O731">_xlfn.IFS(J731="M", "Medium", J731="L", "Light", J731="D", "Dark")</f>
        <v>Medium</v>
      </c>
      <c r="P731" t="str">
        <f>_xlfn.XLOOKUP(Orders[[#This Row],[Customer ID]], customers!$A$2:$A$1001, customers!$I$2:$I$1001, 0)</f>
        <v>No</v>
      </c>
    </row>
    <row r="732" spans="1:16" x14ac:dyDescent="0.35">
      <c r="A732" s="2" t="s">
        <v>4614</v>
      </c>
      <c r="B732" s="3">
        <v>43475</v>
      </c>
      <c r="C732" s="2" t="s">
        <v>4615</v>
      </c>
      <c r="D732" t="s">
        <v>6164</v>
      </c>
      <c r="E732" s="2">
        <v>1</v>
      </c>
      <c r="F732" s="2" t="str" cm="1">
        <f t="array" ref="F732">_xlfn.XLOOKUP(C732, customers!$A$1:A1731, customers!$B$1:B1731, 0)</f>
        <v>Andie Rudram</v>
      </c>
      <c r="G732" s="2" t="str">
        <f>IF(_xlfn.XLOOKUP(C732, customers!A731:A1731, customers!C731:C1731, 0)=0, "", _xlfn.XLOOKUP(C732, customers!A731:A1731, customers!C731:C1731, 0))</f>
        <v>arudramka@prnewswire.com</v>
      </c>
      <c r="H732" s="2" t="str" cm="1">
        <f t="array" ref="H732">_xlfn.XLOOKUP(C732, customers!$A$1:A1731, customers!$G$1:G1731,, 0)</f>
        <v>United States</v>
      </c>
      <c r="I732" t="str" cm="1">
        <f t="array" ref="I732">_xlfn.XLOOKUP(orders!D732, products!$A$1:A779, products!$B$1:B779, 0)</f>
        <v>Lib</v>
      </c>
      <c r="J732" t="str" cm="1">
        <f t="array" ref="J732">_xlfn.XLOOKUP(D732, products!$A$1:A779, products!$C$1:C779, 0)</f>
        <v>L</v>
      </c>
      <c r="K732" s="4" cm="1">
        <f t="array" ref="K732">_xlfn.XLOOKUP(D732, products!$A$1:A779, products!$D$1:D779, 0)</f>
        <v>2.5</v>
      </c>
      <c r="L732" s="4" cm="1">
        <f t="array" ref="L732">_xlfn.XLOOKUP(D732, products!$A$1:A779, products!$E$1:E779)</f>
        <v>36.454999999999998</v>
      </c>
      <c r="M732">
        <f t="shared" si="22"/>
        <v>36.454999999999998</v>
      </c>
      <c r="N732" t="str">
        <f t="shared" si="23"/>
        <v>Liberica</v>
      </c>
      <c r="O732" t="str" cm="1">
        <f t="array" ref="O732">_xlfn.IFS(J732="M", "Medium", J732="L", "Light", J732="D", "Dark")</f>
        <v>Light</v>
      </c>
      <c r="P732" t="str">
        <f>_xlfn.XLOOKUP(Orders[[#This Row],[Customer ID]], customers!$A$2:$A$1001, customers!$I$2:$I$1001, 0)</f>
        <v>No</v>
      </c>
    </row>
    <row r="733" spans="1:16" x14ac:dyDescent="0.35">
      <c r="A733" s="2" t="s">
        <v>4620</v>
      </c>
      <c r="B733" s="3">
        <v>44222</v>
      </c>
      <c r="C733" s="2" t="s">
        <v>4621</v>
      </c>
      <c r="D733" t="s">
        <v>6150</v>
      </c>
      <c r="E733" s="2">
        <v>4</v>
      </c>
      <c r="F733" s="2" t="str" cm="1">
        <f t="array" ref="F733">_xlfn.XLOOKUP(C733, customers!$A$1:A1732, customers!$B$1:B1732, 0)</f>
        <v>Leta Clarricoates</v>
      </c>
      <c r="G733" s="2" t="str">
        <f>IF(_xlfn.XLOOKUP(C733, customers!A732:A1732, customers!C732:C1732, 0)=0, "", _xlfn.XLOOKUP(C733, customers!A732:A1732, customers!C732:C1732, 0))</f>
        <v/>
      </c>
      <c r="H733" s="2" t="str" cm="1">
        <f t="array" ref="H733">_xlfn.XLOOKUP(C733, customers!$A$1:A1732, customers!$G$1:G1732,, 0)</f>
        <v>United States</v>
      </c>
      <c r="I733" t="str" cm="1">
        <f t="array" ref="I733">_xlfn.XLOOKUP(orders!D733, products!$A$1:A780, products!$B$1:B780, 0)</f>
        <v>Lib</v>
      </c>
      <c r="J733" t="str" cm="1">
        <f t="array" ref="J733">_xlfn.XLOOKUP(D733, products!$A$1:A780, products!$C$1:C780, 0)</f>
        <v>D</v>
      </c>
      <c r="K733" s="4" cm="1">
        <f t="array" ref="K733">_xlfn.XLOOKUP(D733, products!$A$1:A780, products!$D$1:D780, 0)</f>
        <v>0.2</v>
      </c>
      <c r="L733" s="4" cm="1">
        <f t="array" ref="L733">_xlfn.XLOOKUP(D733, products!$A$1:A780, products!$E$1:E780)</f>
        <v>3.8849999999999998</v>
      </c>
      <c r="M733">
        <f t="shared" si="22"/>
        <v>15.54</v>
      </c>
      <c r="N733" t="str">
        <f t="shared" si="23"/>
        <v>Liberica</v>
      </c>
      <c r="O733" t="str" cm="1">
        <f t="array" ref="O733">_xlfn.IFS(J733="M", "Medium", J733="L", "Light", J733="D", "Dark")</f>
        <v>Dark</v>
      </c>
      <c r="P733" t="str">
        <f>_xlfn.XLOOKUP(Orders[[#This Row],[Customer ID]], customers!$A$2:$A$1001, customers!$I$2:$I$1001, 0)</f>
        <v>Yes</v>
      </c>
    </row>
    <row r="734" spans="1:16" x14ac:dyDescent="0.35">
      <c r="A734" s="2" t="s">
        <v>4625</v>
      </c>
      <c r="B734" s="3">
        <v>44312</v>
      </c>
      <c r="C734" s="2" t="s">
        <v>4626</v>
      </c>
      <c r="D734" t="s">
        <v>6184</v>
      </c>
      <c r="E734" s="2">
        <v>2</v>
      </c>
      <c r="F734" s="2" t="str" cm="1">
        <f t="array" ref="F734">_xlfn.XLOOKUP(C734, customers!$A$1:A1733, customers!$B$1:B1733, 0)</f>
        <v>Jacquelyn Maha</v>
      </c>
      <c r="G734" s="2" t="str">
        <f>IF(_xlfn.XLOOKUP(C734, customers!A733:A1733, customers!C733:C1733, 0)=0, "", _xlfn.XLOOKUP(C734, customers!A733:A1733, customers!C733:C1733, 0))</f>
        <v>jmahakc@cyberchimps.com</v>
      </c>
      <c r="H734" s="2" t="str" cm="1">
        <f t="array" ref="H734">_xlfn.XLOOKUP(C734, customers!$A$1:A1733, customers!$G$1:G1733,, 0)</f>
        <v>United States</v>
      </c>
      <c r="I734" t="str" cm="1">
        <f t="array" ref="I734">_xlfn.XLOOKUP(orders!D734, products!$A$1:A781, products!$B$1:B781, 0)</f>
        <v>Exc</v>
      </c>
      <c r="J734" t="str" cm="1">
        <f t="array" ref="J734">_xlfn.XLOOKUP(D734, products!$A$1:A781, products!$C$1:C781, 0)</f>
        <v>L</v>
      </c>
      <c r="K734" s="4" cm="1">
        <f t="array" ref="K734">_xlfn.XLOOKUP(D734, products!$A$1:A781, products!$D$1:D781, 0)</f>
        <v>0.2</v>
      </c>
      <c r="L734" s="4" cm="1">
        <f t="array" ref="L734">_xlfn.XLOOKUP(D734, products!$A$1:A781, products!$E$1:E781)</f>
        <v>4.4550000000000001</v>
      </c>
      <c r="M734">
        <f t="shared" si="22"/>
        <v>8.91</v>
      </c>
      <c r="N734" t="str">
        <f t="shared" si="23"/>
        <v>Excelsa</v>
      </c>
      <c r="O734" t="str" cm="1">
        <f t="array" ref="O734">_xlfn.IFS(J734="M", "Medium", J734="L", "Light", J734="D", "Dark")</f>
        <v>Light</v>
      </c>
      <c r="P734" t="str">
        <f>_xlfn.XLOOKUP(Orders[[#This Row],[Customer ID]], customers!$A$2:$A$1001, customers!$I$2:$I$1001, 0)</f>
        <v>No</v>
      </c>
    </row>
    <row r="735" spans="1:16" x14ac:dyDescent="0.35">
      <c r="A735" s="2" t="s">
        <v>4631</v>
      </c>
      <c r="B735" s="3">
        <v>44565</v>
      </c>
      <c r="C735" s="2" t="s">
        <v>4632</v>
      </c>
      <c r="D735" t="s">
        <v>6181</v>
      </c>
      <c r="E735" s="2">
        <v>3</v>
      </c>
      <c r="F735" s="2" t="str" cm="1">
        <f t="array" ref="F735">_xlfn.XLOOKUP(C735, customers!$A$1:A1734, customers!$B$1:B1734, 0)</f>
        <v>Glory Clemon</v>
      </c>
      <c r="G735" s="2" t="str">
        <f>IF(_xlfn.XLOOKUP(C735, customers!A734:A1734, customers!C734:C1734, 0)=0, "", _xlfn.XLOOKUP(C735, customers!A734:A1734, customers!C734:C1734, 0))</f>
        <v>gclemonkd@networksolutions.com</v>
      </c>
      <c r="H735" s="2" t="str" cm="1">
        <f t="array" ref="H735">_xlfn.XLOOKUP(C735, customers!$A$1:A1734, customers!$G$1:G1734,, 0)</f>
        <v>United States</v>
      </c>
      <c r="I735" t="str" cm="1">
        <f t="array" ref="I735">_xlfn.XLOOKUP(orders!D735, products!$A$1:A782, products!$B$1:B782, 0)</f>
        <v>Lib</v>
      </c>
      <c r="J735" t="str" cm="1">
        <f t="array" ref="J735">_xlfn.XLOOKUP(D735, products!$A$1:A782, products!$C$1:C782, 0)</f>
        <v>M</v>
      </c>
      <c r="K735" s="4" cm="1">
        <f t="array" ref="K735">_xlfn.XLOOKUP(D735, products!$A$1:A782, products!$D$1:D782, 0)</f>
        <v>2.5</v>
      </c>
      <c r="L735" s="4" cm="1">
        <f t="array" ref="L735">_xlfn.XLOOKUP(D735, products!$A$1:A782, products!$E$1:E782)</f>
        <v>33.464999999999996</v>
      </c>
      <c r="M735">
        <f t="shared" si="22"/>
        <v>100.39499999999998</v>
      </c>
      <c r="N735" t="str">
        <f t="shared" si="23"/>
        <v>Liberica</v>
      </c>
      <c r="O735" t="str" cm="1">
        <f t="array" ref="O735">_xlfn.IFS(J735="M", "Medium", J735="L", "Light", J735="D", "Dark")</f>
        <v>Medium</v>
      </c>
      <c r="P735" t="str">
        <f>_xlfn.XLOOKUP(Orders[[#This Row],[Customer ID]], customers!$A$2:$A$1001, customers!$I$2:$I$1001, 0)</f>
        <v>Yes</v>
      </c>
    </row>
    <row r="736" spans="1:16" x14ac:dyDescent="0.35">
      <c r="A736" s="2" t="s">
        <v>4637</v>
      </c>
      <c r="B736" s="3">
        <v>43697</v>
      </c>
      <c r="C736" s="2" t="s">
        <v>4638</v>
      </c>
      <c r="D736" t="s">
        <v>6163</v>
      </c>
      <c r="E736" s="2">
        <v>5</v>
      </c>
      <c r="F736" s="2" t="str" cm="1">
        <f t="array" ref="F736">_xlfn.XLOOKUP(C736, customers!$A$1:A1735, customers!$B$1:B1735, 0)</f>
        <v>Alica Kift</v>
      </c>
      <c r="G736" s="2" t="str">
        <f>IF(_xlfn.XLOOKUP(C736, customers!A735:A1735, customers!C735:C1735, 0)=0, "", _xlfn.XLOOKUP(C736, customers!A735:A1735, customers!C735:C1735, 0))</f>
        <v/>
      </c>
      <c r="H736" s="2" t="str" cm="1">
        <f t="array" ref="H736">_xlfn.XLOOKUP(C736, customers!$A$1:A1735, customers!$G$1:G1735,, 0)</f>
        <v>United States</v>
      </c>
      <c r="I736" t="str" cm="1">
        <f t="array" ref="I736">_xlfn.XLOOKUP(orders!D736, products!$A$1:A783, products!$B$1:B783, 0)</f>
        <v>Rob</v>
      </c>
      <c r="J736" t="str" cm="1">
        <f t="array" ref="J736">_xlfn.XLOOKUP(D736, products!$A$1:A783, products!$C$1:C783, 0)</f>
        <v>D</v>
      </c>
      <c r="K736" s="4" cm="1">
        <f t="array" ref="K736">_xlfn.XLOOKUP(D736, products!$A$1:A783, products!$D$1:D783, 0)</f>
        <v>0.2</v>
      </c>
      <c r="L736" s="4" cm="1">
        <f t="array" ref="L736">_xlfn.XLOOKUP(D736, products!$A$1:A783, products!$E$1:E783)</f>
        <v>2.6849999999999996</v>
      </c>
      <c r="M736">
        <f t="shared" si="22"/>
        <v>13.424999999999997</v>
      </c>
      <c r="N736" t="str">
        <f t="shared" si="23"/>
        <v>Robusta</v>
      </c>
      <c r="O736" t="str" cm="1">
        <f t="array" ref="O736">_xlfn.IFS(J736="M", "Medium", J736="L", "Light", J736="D", "Dark")</f>
        <v>Dark</v>
      </c>
      <c r="P736" t="str">
        <f>_xlfn.XLOOKUP(Orders[[#This Row],[Customer ID]], customers!$A$2:$A$1001, customers!$I$2:$I$1001, 0)</f>
        <v>No</v>
      </c>
    </row>
    <row r="737" spans="1:16" x14ac:dyDescent="0.35">
      <c r="A737" s="2" t="s">
        <v>4642</v>
      </c>
      <c r="B737" s="3">
        <v>44757</v>
      </c>
      <c r="C737" s="2" t="s">
        <v>4643</v>
      </c>
      <c r="D737" t="s">
        <v>6153</v>
      </c>
      <c r="E737" s="2">
        <v>6</v>
      </c>
      <c r="F737" s="2" t="str" cm="1">
        <f t="array" ref="F737">_xlfn.XLOOKUP(C737, customers!$A$1:A1736, customers!$B$1:B1736, 0)</f>
        <v>Babb Pollins</v>
      </c>
      <c r="G737" s="2" t="str">
        <f>IF(_xlfn.XLOOKUP(C737, customers!A736:A1736, customers!C736:C1736, 0)=0, "", _xlfn.XLOOKUP(C737, customers!A736:A1736, customers!C736:C1736, 0))</f>
        <v>bpollinskf@shinystat.com</v>
      </c>
      <c r="H737" s="2" t="str" cm="1">
        <f t="array" ref="H737">_xlfn.XLOOKUP(C737, customers!$A$1:A1736, customers!$G$1:G1736,, 0)</f>
        <v>United States</v>
      </c>
      <c r="I737" t="str" cm="1">
        <f t="array" ref="I737">_xlfn.XLOOKUP(orders!D737, products!$A$1:A784, products!$B$1:B784, 0)</f>
        <v>Exc</v>
      </c>
      <c r="J737" t="str" cm="1">
        <f t="array" ref="J737">_xlfn.XLOOKUP(D737, products!$A$1:A784, products!$C$1:C784, 0)</f>
        <v>D</v>
      </c>
      <c r="K737" s="4" cm="1">
        <f t="array" ref="K737">_xlfn.XLOOKUP(D737, products!$A$1:A784, products!$D$1:D784, 0)</f>
        <v>0.2</v>
      </c>
      <c r="L737" s="4" cm="1">
        <f t="array" ref="L737">_xlfn.XLOOKUP(D737, products!$A$1:A784, products!$E$1:E784)</f>
        <v>3.645</v>
      </c>
      <c r="M737">
        <f t="shared" si="22"/>
        <v>21.87</v>
      </c>
      <c r="N737" t="str">
        <f t="shared" si="23"/>
        <v>Excelsa</v>
      </c>
      <c r="O737" t="str" cm="1">
        <f t="array" ref="O737">_xlfn.IFS(J737="M", "Medium", J737="L", "Light", J737="D", "Dark")</f>
        <v>Dark</v>
      </c>
      <c r="P737" t="str">
        <f>_xlfn.XLOOKUP(Orders[[#This Row],[Customer ID]], customers!$A$2:$A$1001, customers!$I$2:$I$1001, 0)</f>
        <v>No</v>
      </c>
    </row>
    <row r="738" spans="1:16" x14ac:dyDescent="0.35">
      <c r="A738" s="2" t="s">
        <v>4647</v>
      </c>
      <c r="B738" s="3">
        <v>43508</v>
      </c>
      <c r="C738" s="2" t="s">
        <v>4648</v>
      </c>
      <c r="D738" t="s">
        <v>6143</v>
      </c>
      <c r="E738" s="2">
        <v>2</v>
      </c>
      <c r="F738" s="2" t="str" cm="1">
        <f t="array" ref="F738">_xlfn.XLOOKUP(C738, customers!$A$1:A1737, customers!$B$1:B1737, 0)</f>
        <v>Jarret Toye</v>
      </c>
      <c r="G738" s="2" t="str">
        <f>IF(_xlfn.XLOOKUP(C738, customers!A737:A1737, customers!C737:C1737, 0)=0, "", _xlfn.XLOOKUP(C738, customers!A737:A1737, customers!C737:C1737, 0))</f>
        <v>jtoyekg@pinterest.com</v>
      </c>
      <c r="H738" s="2" t="str" cm="1">
        <f t="array" ref="H738">_xlfn.XLOOKUP(C738, customers!$A$1:A1737, customers!$G$1:G1737,, 0)</f>
        <v>Ireland</v>
      </c>
      <c r="I738" t="str" cm="1">
        <f t="array" ref="I738">_xlfn.XLOOKUP(orders!D738, products!$A$1:A785, products!$B$1:B785, 0)</f>
        <v>Lib</v>
      </c>
      <c r="J738" t="str" cm="1">
        <f t="array" ref="J738">_xlfn.XLOOKUP(D738, products!$A$1:A785, products!$C$1:C785, 0)</f>
        <v>D</v>
      </c>
      <c r="K738" s="4" cm="1">
        <f t="array" ref="K738">_xlfn.XLOOKUP(D738, products!$A$1:A785, products!$D$1:D785, 0)</f>
        <v>1</v>
      </c>
      <c r="L738" s="4" cm="1">
        <f t="array" ref="L738">_xlfn.XLOOKUP(D738, products!$A$1:A785, products!$E$1:E785)</f>
        <v>12.95</v>
      </c>
      <c r="M738">
        <f t="shared" si="22"/>
        <v>25.9</v>
      </c>
      <c r="N738" t="str">
        <f t="shared" si="23"/>
        <v>Liberica</v>
      </c>
      <c r="O738" t="str" cm="1">
        <f t="array" ref="O738">_xlfn.IFS(J738="M", "Medium", J738="L", "Light", J738="D", "Dark")</f>
        <v>Dark</v>
      </c>
      <c r="P738" t="str">
        <f>_xlfn.XLOOKUP(Orders[[#This Row],[Customer ID]], customers!$A$2:$A$1001, customers!$I$2:$I$1001, 0)</f>
        <v>Yes</v>
      </c>
    </row>
    <row r="739" spans="1:16" x14ac:dyDescent="0.35">
      <c r="A739" s="2" t="s">
        <v>4653</v>
      </c>
      <c r="B739" s="3">
        <v>44447</v>
      </c>
      <c r="C739" s="2" t="s">
        <v>4654</v>
      </c>
      <c r="D739" t="s">
        <v>6155</v>
      </c>
      <c r="E739" s="2">
        <v>5</v>
      </c>
      <c r="F739" s="2" t="str" cm="1">
        <f t="array" ref="F739">_xlfn.XLOOKUP(C739, customers!$A$1:A1738, customers!$B$1:B1738, 0)</f>
        <v>Carlie Linskill</v>
      </c>
      <c r="G739" s="2" t="str">
        <f>IF(_xlfn.XLOOKUP(C739, customers!A738:A1738, customers!C738:C1738, 0)=0, "", _xlfn.XLOOKUP(C739, customers!A738:A1738, customers!C738:C1738, 0))</f>
        <v>clinskillkh@sphinn.com</v>
      </c>
      <c r="H739" s="2" t="str" cm="1">
        <f t="array" ref="H739">_xlfn.XLOOKUP(C739, customers!$A$1:A1738, customers!$G$1:G1738,, 0)</f>
        <v>United States</v>
      </c>
      <c r="I739" t="str" cm="1">
        <f t="array" ref="I739">_xlfn.XLOOKUP(orders!D739, products!$A$1:A786, products!$B$1:B786, 0)</f>
        <v>Ara</v>
      </c>
      <c r="J739" t="str" cm="1">
        <f t="array" ref="J739">_xlfn.XLOOKUP(D739, products!$A$1:A786, products!$C$1:C786, 0)</f>
        <v>M</v>
      </c>
      <c r="K739" s="4" cm="1">
        <f t="array" ref="K739">_xlfn.XLOOKUP(D739, products!$A$1:A786, products!$D$1:D786, 0)</f>
        <v>1</v>
      </c>
      <c r="L739" s="4" cm="1">
        <f t="array" ref="L739">_xlfn.XLOOKUP(D739, products!$A$1:A786, products!$E$1:E786)</f>
        <v>11.25</v>
      </c>
      <c r="M739">
        <f t="shared" si="22"/>
        <v>56.25</v>
      </c>
      <c r="N739" t="str">
        <f t="shared" si="23"/>
        <v>Arabica</v>
      </c>
      <c r="O739" t="str" cm="1">
        <f t="array" ref="O739">_xlfn.IFS(J739="M", "Medium", J739="L", "Light", J739="D", "Dark")</f>
        <v>Medium</v>
      </c>
      <c r="P739" t="str">
        <f>_xlfn.XLOOKUP(Orders[[#This Row],[Customer ID]], customers!$A$2:$A$1001, customers!$I$2:$I$1001, 0)</f>
        <v>No</v>
      </c>
    </row>
    <row r="740" spans="1:16" x14ac:dyDescent="0.35">
      <c r="A740" s="2" t="s">
        <v>4659</v>
      </c>
      <c r="B740" s="3">
        <v>43812</v>
      </c>
      <c r="C740" s="2" t="s">
        <v>4660</v>
      </c>
      <c r="D740" t="s">
        <v>6178</v>
      </c>
      <c r="E740" s="2">
        <v>3</v>
      </c>
      <c r="F740" s="2" t="str" cm="1">
        <f t="array" ref="F740">_xlfn.XLOOKUP(C740, customers!$A$1:A1739, customers!$B$1:B1739, 0)</f>
        <v>Natal Vigrass</v>
      </c>
      <c r="G740" s="2" t="str">
        <f>IF(_xlfn.XLOOKUP(C740, customers!A739:A1739, customers!C739:C1739, 0)=0, "", _xlfn.XLOOKUP(C740, customers!A739:A1739, customers!C739:C1739, 0))</f>
        <v>nvigrasski@ezinearticles.com</v>
      </c>
      <c r="H740" s="2" t="str" cm="1">
        <f t="array" ref="H740">_xlfn.XLOOKUP(C740, customers!$A$1:A1739, customers!$G$1:G1739,, 0)</f>
        <v>United Kingdom</v>
      </c>
      <c r="I740" t="str" cm="1">
        <f t="array" ref="I740">_xlfn.XLOOKUP(orders!D740, products!$A$1:A787, products!$B$1:B787, 0)</f>
        <v>Rob</v>
      </c>
      <c r="J740" t="str" cm="1">
        <f t="array" ref="J740">_xlfn.XLOOKUP(D740, products!$A$1:A787, products!$C$1:C787, 0)</f>
        <v>L</v>
      </c>
      <c r="K740" s="4" cm="1">
        <f t="array" ref="K740">_xlfn.XLOOKUP(D740, products!$A$1:A787, products!$D$1:D787, 0)</f>
        <v>0.2</v>
      </c>
      <c r="L740" s="4" cm="1">
        <f t="array" ref="L740">_xlfn.XLOOKUP(D740, products!$A$1:A787, products!$E$1:E787)</f>
        <v>3.5849999999999995</v>
      </c>
      <c r="M740">
        <f t="shared" si="22"/>
        <v>10.754999999999999</v>
      </c>
      <c r="N740" t="str">
        <f t="shared" si="23"/>
        <v>Robusta</v>
      </c>
      <c r="O740" t="str" cm="1">
        <f t="array" ref="O740">_xlfn.IFS(J740="M", "Medium", J740="L", "Light", J740="D", "Dark")</f>
        <v>Light</v>
      </c>
      <c r="P740" t="str">
        <f>_xlfn.XLOOKUP(Orders[[#This Row],[Customer ID]], customers!$A$2:$A$1001, customers!$I$2:$I$1001, 0)</f>
        <v>No</v>
      </c>
    </row>
    <row r="741" spans="1:16" x14ac:dyDescent="0.35">
      <c r="A741" s="2" t="s">
        <v>4665</v>
      </c>
      <c r="B741" s="3">
        <v>44433</v>
      </c>
      <c r="C741" s="2" t="s">
        <v>4434</v>
      </c>
      <c r="D741" t="s">
        <v>6153</v>
      </c>
      <c r="E741" s="2">
        <v>5</v>
      </c>
      <c r="F741" s="2" t="str" cm="1">
        <f t="array" ref="F741">_xlfn.XLOOKUP(C741, customers!$A$1:A1740, customers!$B$1:B1740, 0)</f>
        <v>Jimmy Dymoke</v>
      </c>
      <c r="G741" s="2" t="str">
        <f>IF(_xlfn.XLOOKUP(C741, customers!A740:A1740, customers!C740:C1740, 0)=0, "", _xlfn.XLOOKUP(C741, customers!A740:A1740, customers!C740:C1740, 0))</f>
        <v/>
      </c>
      <c r="H741" s="2" t="str" cm="1">
        <f t="array" ref="H741">_xlfn.XLOOKUP(C741, customers!$A$1:A1740, customers!$G$1:G1740,, 0)</f>
        <v>Ireland</v>
      </c>
      <c r="I741" t="str" cm="1">
        <f t="array" ref="I741">_xlfn.XLOOKUP(orders!D741, products!$A$1:A788, products!$B$1:B788, 0)</f>
        <v>Exc</v>
      </c>
      <c r="J741" t="str" cm="1">
        <f t="array" ref="J741">_xlfn.XLOOKUP(D741, products!$A$1:A788, products!$C$1:C788, 0)</f>
        <v>D</v>
      </c>
      <c r="K741" s="4" cm="1">
        <f t="array" ref="K741">_xlfn.XLOOKUP(D741, products!$A$1:A788, products!$D$1:D788, 0)</f>
        <v>0.2</v>
      </c>
      <c r="L741" s="4" cm="1">
        <f t="array" ref="L741">_xlfn.XLOOKUP(D741, products!$A$1:A788, products!$E$1:E788)</f>
        <v>3.645</v>
      </c>
      <c r="M741">
        <f t="shared" si="22"/>
        <v>18.225000000000001</v>
      </c>
      <c r="N741" t="str">
        <f t="shared" si="23"/>
        <v>Excelsa</v>
      </c>
      <c r="O741" t="str" cm="1">
        <f t="array" ref="O741">_xlfn.IFS(J741="M", "Medium", J741="L", "Light", J741="D", "Dark")</f>
        <v>Dark</v>
      </c>
      <c r="P741" t="str">
        <f>_xlfn.XLOOKUP(Orders[[#This Row],[Customer ID]], customers!$A$2:$A$1001, customers!$I$2:$I$1001, 0)</f>
        <v>No</v>
      </c>
    </row>
    <row r="742" spans="1:16" x14ac:dyDescent="0.35">
      <c r="A742" s="2" t="s">
        <v>4670</v>
      </c>
      <c r="B742" s="3">
        <v>44643</v>
      </c>
      <c r="C742" s="2" t="s">
        <v>4671</v>
      </c>
      <c r="D742" t="s">
        <v>6173</v>
      </c>
      <c r="E742" s="2">
        <v>4</v>
      </c>
      <c r="F742" s="2" t="str" cm="1">
        <f t="array" ref="F742">_xlfn.XLOOKUP(C742, customers!$A$1:A1741, customers!$B$1:B1741, 0)</f>
        <v>Kandace Cragell</v>
      </c>
      <c r="G742" s="2" t="str">
        <f>IF(_xlfn.XLOOKUP(C742, customers!A741:A1741, customers!C741:C1741, 0)=0, "", _xlfn.XLOOKUP(C742, customers!A741:A1741, customers!C741:C1741, 0))</f>
        <v>kcragellkk@google.com</v>
      </c>
      <c r="H742" s="2" t="str" cm="1">
        <f t="array" ref="H742">_xlfn.XLOOKUP(C742, customers!$A$1:A1741, customers!$G$1:G1741,, 0)</f>
        <v>Ireland</v>
      </c>
      <c r="I742" t="str" cm="1">
        <f t="array" ref="I742">_xlfn.XLOOKUP(orders!D742, products!$A$1:A789, products!$B$1:B789, 0)</f>
        <v>Rob</v>
      </c>
      <c r="J742" t="str" cm="1">
        <f t="array" ref="J742">_xlfn.XLOOKUP(D742, products!$A$1:A789, products!$C$1:C789, 0)</f>
        <v>L</v>
      </c>
      <c r="K742" s="4" cm="1">
        <f t="array" ref="K742">_xlfn.XLOOKUP(D742, products!$A$1:A789, products!$D$1:D789, 0)</f>
        <v>0.5</v>
      </c>
      <c r="L742" s="4" cm="1">
        <f t="array" ref="L742">_xlfn.XLOOKUP(D742, products!$A$1:A789, products!$E$1:E789)</f>
        <v>7.169999999999999</v>
      </c>
      <c r="M742">
        <f t="shared" si="22"/>
        <v>28.679999999999996</v>
      </c>
      <c r="N742" t="str">
        <f t="shared" si="23"/>
        <v>Robusta</v>
      </c>
      <c r="O742" t="str" cm="1">
        <f t="array" ref="O742">_xlfn.IFS(J742="M", "Medium", J742="L", "Light", J742="D", "Dark")</f>
        <v>Light</v>
      </c>
      <c r="P742" t="str">
        <f>_xlfn.XLOOKUP(Orders[[#This Row],[Customer ID]], customers!$A$2:$A$1001, customers!$I$2:$I$1001, 0)</f>
        <v>No</v>
      </c>
    </row>
    <row r="743" spans="1:16" x14ac:dyDescent="0.35">
      <c r="A743" s="2" t="s">
        <v>4676</v>
      </c>
      <c r="B743" s="3">
        <v>43566</v>
      </c>
      <c r="C743" s="2" t="s">
        <v>4677</v>
      </c>
      <c r="D743" t="s">
        <v>6159</v>
      </c>
      <c r="E743" s="2">
        <v>2</v>
      </c>
      <c r="F743" s="2" t="str" cm="1">
        <f t="array" ref="F743">_xlfn.XLOOKUP(C743, customers!$A$1:A1742, customers!$B$1:B1742, 0)</f>
        <v>Lyon Ibert</v>
      </c>
      <c r="G743" s="2" t="str">
        <f>IF(_xlfn.XLOOKUP(C743, customers!A742:A1742, customers!C742:C1742, 0)=0, "", _xlfn.XLOOKUP(C743, customers!A742:A1742, customers!C742:C1742, 0))</f>
        <v>libertkl@huffingtonpost.com</v>
      </c>
      <c r="H743" s="2" t="str" cm="1">
        <f t="array" ref="H743">_xlfn.XLOOKUP(C743, customers!$A$1:A1742, customers!$G$1:G1742,, 0)</f>
        <v>United States</v>
      </c>
      <c r="I743" t="str" cm="1">
        <f t="array" ref="I743">_xlfn.XLOOKUP(orders!D743, products!$A$1:A790, products!$B$1:B790, 0)</f>
        <v>Lib</v>
      </c>
      <c r="J743" t="str" cm="1">
        <f t="array" ref="J743">_xlfn.XLOOKUP(D743, products!$A$1:A790, products!$C$1:C790, 0)</f>
        <v>M</v>
      </c>
      <c r="K743" s="4" cm="1">
        <f t="array" ref="K743">_xlfn.XLOOKUP(D743, products!$A$1:A790, products!$D$1:D790, 0)</f>
        <v>0.2</v>
      </c>
      <c r="L743" s="4" cm="1">
        <f t="array" ref="L743">_xlfn.XLOOKUP(D743, products!$A$1:A790, products!$E$1:E790)</f>
        <v>4.3650000000000002</v>
      </c>
      <c r="M743">
        <f t="shared" si="22"/>
        <v>8.73</v>
      </c>
      <c r="N743" t="str">
        <f t="shared" si="23"/>
        <v>Liberica</v>
      </c>
      <c r="O743" t="str" cm="1">
        <f t="array" ref="O743">_xlfn.IFS(J743="M", "Medium", J743="L", "Light", J743="D", "Dark")</f>
        <v>Medium</v>
      </c>
      <c r="P743" t="str">
        <f>_xlfn.XLOOKUP(Orders[[#This Row],[Customer ID]], customers!$A$2:$A$1001, customers!$I$2:$I$1001, 0)</f>
        <v>No</v>
      </c>
    </row>
    <row r="744" spans="1:16" x14ac:dyDescent="0.35">
      <c r="A744" s="2" t="s">
        <v>4682</v>
      </c>
      <c r="B744" s="3">
        <v>44133</v>
      </c>
      <c r="C744" s="2" t="s">
        <v>4683</v>
      </c>
      <c r="D744" t="s">
        <v>6162</v>
      </c>
      <c r="E744" s="2">
        <v>4</v>
      </c>
      <c r="F744" s="2" t="str" cm="1">
        <f t="array" ref="F744">_xlfn.XLOOKUP(C744, customers!$A$1:A1743, customers!$B$1:B1743, 0)</f>
        <v>Reese Lidgey</v>
      </c>
      <c r="G744" s="2" t="str">
        <f>IF(_xlfn.XLOOKUP(C744, customers!A743:A1743, customers!C743:C1743, 0)=0, "", _xlfn.XLOOKUP(C744, customers!A743:A1743, customers!C743:C1743, 0))</f>
        <v>rlidgeykm@vimeo.com</v>
      </c>
      <c r="H744" s="2" t="str" cm="1">
        <f t="array" ref="H744">_xlfn.XLOOKUP(C744, customers!$A$1:A1743, customers!$G$1:G1743,, 0)</f>
        <v>United States</v>
      </c>
      <c r="I744" t="str" cm="1">
        <f t="array" ref="I744">_xlfn.XLOOKUP(orders!D744, products!$A$1:A791, products!$B$1:B791, 0)</f>
        <v>Lib</v>
      </c>
      <c r="J744" t="str" cm="1">
        <f t="array" ref="J744">_xlfn.XLOOKUP(D744, products!$A$1:A791, products!$C$1:C791, 0)</f>
        <v>M</v>
      </c>
      <c r="K744" s="4" cm="1">
        <f t="array" ref="K744">_xlfn.XLOOKUP(D744, products!$A$1:A791, products!$D$1:D791, 0)</f>
        <v>1</v>
      </c>
      <c r="L744" s="4" cm="1">
        <f t="array" ref="L744">_xlfn.XLOOKUP(D744, products!$A$1:A791, products!$E$1:E791)</f>
        <v>14.55</v>
      </c>
      <c r="M744">
        <f t="shared" si="22"/>
        <v>58.2</v>
      </c>
      <c r="N744" t="str">
        <f t="shared" si="23"/>
        <v>Liberica</v>
      </c>
      <c r="O744" t="str" cm="1">
        <f t="array" ref="O744">_xlfn.IFS(J744="M", "Medium", J744="L", "Light", J744="D", "Dark")</f>
        <v>Medium</v>
      </c>
      <c r="P744" t="str">
        <f>_xlfn.XLOOKUP(Orders[[#This Row],[Customer ID]], customers!$A$2:$A$1001, customers!$I$2:$I$1001, 0)</f>
        <v>No</v>
      </c>
    </row>
    <row r="745" spans="1:16" x14ac:dyDescent="0.35">
      <c r="A745" s="2" t="s">
        <v>4688</v>
      </c>
      <c r="B745" s="3">
        <v>44042</v>
      </c>
      <c r="C745" s="2" t="s">
        <v>4689</v>
      </c>
      <c r="D745" t="s">
        <v>6158</v>
      </c>
      <c r="E745" s="2">
        <v>3</v>
      </c>
      <c r="F745" s="2" t="str" cm="1">
        <f t="array" ref="F745">_xlfn.XLOOKUP(C745, customers!$A$1:A1744, customers!$B$1:B1744, 0)</f>
        <v>Tersina Castagne</v>
      </c>
      <c r="G745" s="2" t="str">
        <f>IF(_xlfn.XLOOKUP(C745, customers!A744:A1744, customers!C744:C1744, 0)=0, "", _xlfn.XLOOKUP(C745, customers!A744:A1744, customers!C744:C1744, 0))</f>
        <v>tcastagnekn@wikia.com</v>
      </c>
      <c r="H745" s="2" t="str" cm="1">
        <f t="array" ref="H745">_xlfn.XLOOKUP(C745, customers!$A$1:A1744, customers!$G$1:G1744,, 0)</f>
        <v>United States</v>
      </c>
      <c r="I745" t="str" cm="1">
        <f t="array" ref="I745">_xlfn.XLOOKUP(orders!D745, products!$A$1:A792, products!$B$1:B792, 0)</f>
        <v>Ara</v>
      </c>
      <c r="J745" t="str" cm="1">
        <f t="array" ref="J745">_xlfn.XLOOKUP(D745, products!$A$1:A792, products!$C$1:C792, 0)</f>
        <v>D</v>
      </c>
      <c r="K745" s="4" cm="1">
        <f t="array" ref="K745">_xlfn.XLOOKUP(D745, products!$A$1:A792, products!$D$1:D792, 0)</f>
        <v>0.5</v>
      </c>
      <c r="L745" s="4" cm="1">
        <f t="array" ref="L745">_xlfn.XLOOKUP(D745, products!$A$1:A792, products!$E$1:E792)</f>
        <v>5.97</v>
      </c>
      <c r="M745">
        <f t="shared" si="22"/>
        <v>17.91</v>
      </c>
      <c r="N745" t="str">
        <f t="shared" si="23"/>
        <v>Arabica</v>
      </c>
      <c r="O745" t="str" cm="1">
        <f t="array" ref="O745">_xlfn.IFS(J745="M", "Medium", J745="L", "Light", J745="D", "Dark")</f>
        <v>Dark</v>
      </c>
      <c r="P745" t="str">
        <f>_xlfn.XLOOKUP(Orders[[#This Row],[Customer ID]], customers!$A$2:$A$1001, customers!$I$2:$I$1001, 0)</f>
        <v>No</v>
      </c>
    </row>
    <row r="746" spans="1:16" x14ac:dyDescent="0.35">
      <c r="A746" s="2" t="s">
        <v>4694</v>
      </c>
      <c r="B746" s="3">
        <v>43539</v>
      </c>
      <c r="C746" s="2" t="s">
        <v>4695</v>
      </c>
      <c r="D746" t="s">
        <v>6174</v>
      </c>
      <c r="E746" s="2">
        <v>6</v>
      </c>
      <c r="F746" s="2" t="str" cm="1">
        <f t="array" ref="F746">_xlfn.XLOOKUP(C746, customers!$A$1:A1745, customers!$B$1:B1745, 0)</f>
        <v>Samuele Klaaassen</v>
      </c>
      <c r="G746" s="2" t="str">
        <f>IF(_xlfn.XLOOKUP(C746, customers!A745:A1745, customers!C745:C1745, 0)=0, "", _xlfn.XLOOKUP(C746, customers!A745:A1745, customers!C745:C1745, 0))</f>
        <v/>
      </c>
      <c r="H746" s="2" t="str" cm="1">
        <f t="array" ref="H746">_xlfn.XLOOKUP(C746, customers!$A$1:A1745, customers!$G$1:G1745,, 0)</f>
        <v>United States</v>
      </c>
      <c r="I746" t="str" cm="1">
        <f t="array" ref="I746">_xlfn.XLOOKUP(orders!D746, products!$A$1:A793, products!$B$1:B793, 0)</f>
        <v>Rob</v>
      </c>
      <c r="J746" t="str" cm="1">
        <f t="array" ref="J746">_xlfn.XLOOKUP(D746, products!$A$1:A793, products!$C$1:C793, 0)</f>
        <v>M</v>
      </c>
      <c r="K746" s="4" cm="1">
        <f t="array" ref="K746">_xlfn.XLOOKUP(D746, products!$A$1:A793, products!$D$1:D793, 0)</f>
        <v>0.2</v>
      </c>
      <c r="L746" s="4" cm="1">
        <f t="array" ref="L746">_xlfn.XLOOKUP(D746, products!$A$1:A793, products!$E$1:E793)</f>
        <v>2.9849999999999999</v>
      </c>
      <c r="M746">
        <f t="shared" si="22"/>
        <v>17.91</v>
      </c>
      <c r="N746" t="str">
        <f t="shared" si="23"/>
        <v>Robusta</v>
      </c>
      <c r="O746" t="str" cm="1">
        <f t="array" ref="O746">_xlfn.IFS(J746="M", "Medium", J746="L", "Light", J746="D", "Dark")</f>
        <v>Medium</v>
      </c>
      <c r="P746" t="str">
        <f>_xlfn.XLOOKUP(Orders[[#This Row],[Customer ID]], customers!$A$2:$A$1001, customers!$I$2:$I$1001, 0)</f>
        <v>Yes</v>
      </c>
    </row>
    <row r="747" spans="1:16" x14ac:dyDescent="0.35">
      <c r="A747" s="2" t="s">
        <v>4699</v>
      </c>
      <c r="B747" s="3">
        <v>44557</v>
      </c>
      <c r="C747" s="2" t="s">
        <v>4700</v>
      </c>
      <c r="D747" t="s">
        <v>6144</v>
      </c>
      <c r="E747" s="2">
        <v>2</v>
      </c>
      <c r="F747" s="2" t="str" cm="1">
        <f t="array" ref="F747">_xlfn.XLOOKUP(C747, customers!$A$1:A1746, customers!$B$1:B1746, 0)</f>
        <v>Jordana Halden</v>
      </c>
      <c r="G747" s="2" t="str">
        <f>IF(_xlfn.XLOOKUP(C747, customers!A746:A1746, customers!C746:C1746, 0)=0, "", _xlfn.XLOOKUP(C747, customers!A746:A1746, customers!C746:C1746, 0))</f>
        <v>jhaldenkp@comcast.net</v>
      </c>
      <c r="H747" s="2" t="str" cm="1">
        <f t="array" ref="H747">_xlfn.XLOOKUP(C747, customers!$A$1:A1746, customers!$G$1:G1746,, 0)</f>
        <v>Ireland</v>
      </c>
      <c r="I747" t="str" cm="1">
        <f t="array" ref="I747">_xlfn.XLOOKUP(orders!D747, products!$A$1:A794, products!$B$1:B794, 0)</f>
        <v>Exc</v>
      </c>
      <c r="J747" t="str" cm="1">
        <f t="array" ref="J747">_xlfn.XLOOKUP(D747, products!$A$1:A794, products!$C$1:C794, 0)</f>
        <v>D</v>
      </c>
      <c r="K747" s="4" cm="1">
        <f t="array" ref="K747">_xlfn.XLOOKUP(D747, products!$A$1:A794, products!$D$1:D794, 0)</f>
        <v>0.5</v>
      </c>
      <c r="L747" s="4" cm="1">
        <f t="array" ref="L747">_xlfn.XLOOKUP(D747, products!$A$1:A794, products!$E$1:E794)</f>
        <v>7.29</v>
      </c>
      <c r="M747">
        <f t="shared" si="22"/>
        <v>14.58</v>
      </c>
      <c r="N747" t="str">
        <f t="shared" si="23"/>
        <v>Excelsa</v>
      </c>
      <c r="O747" t="str" cm="1">
        <f t="array" ref="O747">_xlfn.IFS(J747="M", "Medium", J747="L", "Light", J747="D", "Dark")</f>
        <v>Dark</v>
      </c>
      <c r="P747" t="str">
        <f>_xlfn.XLOOKUP(Orders[[#This Row],[Customer ID]], customers!$A$2:$A$1001, customers!$I$2:$I$1001, 0)</f>
        <v>No</v>
      </c>
    </row>
    <row r="748" spans="1:16" x14ac:dyDescent="0.35">
      <c r="A748" s="2" t="s">
        <v>4705</v>
      </c>
      <c r="B748" s="3">
        <v>43741</v>
      </c>
      <c r="C748" s="2" t="s">
        <v>4706</v>
      </c>
      <c r="D748" t="s">
        <v>6155</v>
      </c>
      <c r="E748" s="2">
        <v>3</v>
      </c>
      <c r="F748" s="2" t="str" cm="1">
        <f t="array" ref="F748">_xlfn.XLOOKUP(C748, customers!$A$1:A1747, customers!$B$1:B1747, 0)</f>
        <v>Hussein Olliff</v>
      </c>
      <c r="G748" s="2" t="str">
        <f>IF(_xlfn.XLOOKUP(C748, customers!A747:A1747, customers!C747:C1747, 0)=0, "", _xlfn.XLOOKUP(C748, customers!A747:A1747, customers!C747:C1747, 0))</f>
        <v>holliffkq@sciencedirect.com</v>
      </c>
      <c r="H748" s="2" t="str" cm="1">
        <f t="array" ref="H748">_xlfn.XLOOKUP(C748, customers!$A$1:A1747, customers!$G$1:G1747,, 0)</f>
        <v>Ireland</v>
      </c>
      <c r="I748" t="str" cm="1">
        <f t="array" ref="I748">_xlfn.XLOOKUP(orders!D748, products!$A$1:A795, products!$B$1:B795, 0)</f>
        <v>Ara</v>
      </c>
      <c r="J748" t="str" cm="1">
        <f t="array" ref="J748">_xlfn.XLOOKUP(D748, products!$A$1:A795, products!$C$1:C795, 0)</f>
        <v>M</v>
      </c>
      <c r="K748" s="4" cm="1">
        <f t="array" ref="K748">_xlfn.XLOOKUP(D748, products!$A$1:A795, products!$D$1:D795, 0)</f>
        <v>1</v>
      </c>
      <c r="L748" s="4" cm="1">
        <f t="array" ref="L748">_xlfn.XLOOKUP(D748, products!$A$1:A795, products!$E$1:E795)</f>
        <v>11.25</v>
      </c>
      <c r="M748">
        <f t="shared" si="22"/>
        <v>33.75</v>
      </c>
      <c r="N748" t="str">
        <f t="shared" si="23"/>
        <v>Arabica</v>
      </c>
      <c r="O748" t="str" cm="1">
        <f t="array" ref="O748">_xlfn.IFS(J748="M", "Medium", J748="L", "Light", J748="D", "Dark")</f>
        <v>Medium</v>
      </c>
      <c r="P748" t="str">
        <f>_xlfn.XLOOKUP(Orders[[#This Row],[Customer ID]], customers!$A$2:$A$1001, customers!$I$2:$I$1001, 0)</f>
        <v>No</v>
      </c>
    </row>
    <row r="749" spans="1:16" x14ac:dyDescent="0.35">
      <c r="A749" s="2" t="s">
        <v>4711</v>
      </c>
      <c r="B749" s="3">
        <v>43501</v>
      </c>
      <c r="C749" s="2" t="s">
        <v>4712</v>
      </c>
      <c r="D749" t="s">
        <v>6160</v>
      </c>
      <c r="E749" s="2">
        <v>4</v>
      </c>
      <c r="F749" s="2" t="str" cm="1">
        <f t="array" ref="F749">_xlfn.XLOOKUP(C749, customers!$A$1:A1748, customers!$B$1:B1748, 0)</f>
        <v>Teddi Quadri</v>
      </c>
      <c r="G749" s="2" t="str">
        <f>IF(_xlfn.XLOOKUP(C749, customers!A748:A1748, customers!C748:C1748, 0)=0, "", _xlfn.XLOOKUP(C749, customers!A748:A1748, customers!C748:C1748, 0))</f>
        <v>tquadrikr@opensource.org</v>
      </c>
      <c r="H749" s="2" t="str" cm="1">
        <f t="array" ref="H749">_xlfn.XLOOKUP(C749, customers!$A$1:A1748, customers!$G$1:G1748,, 0)</f>
        <v>Ireland</v>
      </c>
      <c r="I749" t="str" cm="1">
        <f t="array" ref="I749">_xlfn.XLOOKUP(orders!D749, products!$A$1:A796, products!$B$1:B796, 0)</f>
        <v>Lib</v>
      </c>
      <c r="J749" t="str" cm="1">
        <f t="array" ref="J749">_xlfn.XLOOKUP(D749, products!$A$1:A796, products!$C$1:C796, 0)</f>
        <v>M</v>
      </c>
      <c r="K749" s="4" cm="1">
        <f t="array" ref="K749">_xlfn.XLOOKUP(D749, products!$A$1:A796, products!$D$1:D796, 0)</f>
        <v>0.5</v>
      </c>
      <c r="L749" s="4" cm="1">
        <f t="array" ref="L749">_xlfn.XLOOKUP(D749, products!$A$1:A796, products!$E$1:E796)</f>
        <v>8.73</v>
      </c>
      <c r="M749">
        <f t="shared" si="22"/>
        <v>34.92</v>
      </c>
      <c r="N749" t="str">
        <f t="shared" si="23"/>
        <v>Liberica</v>
      </c>
      <c r="O749" t="str" cm="1">
        <f t="array" ref="O749">_xlfn.IFS(J749="M", "Medium", J749="L", "Light", J749="D", "Dark")</f>
        <v>Medium</v>
      </c>
      <c r="P749" t="str">
        <f>_xlfn.XLOOKUP(Orders[[#This Row],[Customer ID]], customers!$A$2:$A$1001, customers!$I$2:$I$1001, 0)</f>
        <v>Yes</v>
      </c>
    </row>
    <row r="750" spans="1:16" x14ac:dyDescent="0.35">
      <c r="A750" s="2" t="s">
        <v>4717</v>
      </c>
      <c r="B750" s="3">
        <v>44074</v>
      </c>
      <c r="C750" s="2" t="s">
        <v>4718</v>
      </c>
      <c r="D750" t="s">
        <v>6144</v>
      </c>
      <c r="E750" s="2">
        <v>2</v>
      </c>
      <c r="F750" s="2" t="str" cm="1">
        <f t="array" ref="F750">_xlfn.XLOOKUP(C750, customers!$A$1:A1749, customers!$B$1:B1749, 0)</f>
        <v>Felita Eshmade</v>
      </c>
      <c r="G750" s="2" t="str">
        <f>IF(_xlfn.XLOOKUP(C750, customers!A749:A1749, customers!C749:C1749, 0)=0, "", _xlfn.XLOOKUP(C750, customers!A749:A1749, customers!C749:C1749, 0))</f>
        <v>feshmadeks@umn.edu</v>
      </c>
      <c r="H750" s="2" t="str" cm="1">
        <f t="array" ref="H750">_xlfn.XLOOKUP(C750, customers!$A$1:A1749, customers!$G$1:G1749,, 0)</f>
        <v>United States</v>
      </c>
      <c r="I750" t="str" cm="1">
        <f t="array" ref="I750">_xlfn.XLOOKUP(orders!D750, products!$A$1:A797, products!$B$1:B797, 0)</f>
        <v>Exc</v>
      </c>
      <c r="J750" t="str" cm="1">
        <f t="array" ref="J750">_xlfn.XLOOKUP(D750, products!$A$1:A797, products!$C$1:C797, 0)</f>
        <v>D</v>
      </c>
      <c r="K750" s="4" cm="1">
        <f t="array" ref="K750">_xlfn.XLOOKUP(D750, products!$A$1:A797, products!$D$1:D797, 0)</f>
        <v>0.5</v>
      </c>
      <c r="L750" s="4" cm="1">
        <f t="array" ref="L750">_xlfn.XLOOKUP(D750, products!$A$1:A797, products!$E$1:E797)</f>
        <v>7.29</v>
      </c>
      <c r="M750">
        <f t="shared" si="22"/>
        <v>14.58</v>
      </c>
      <c r="N750" t="str">
        <f t="shared" si="23"/>
        <v>Excelsa</v>
      </c>
      <c r="O750" t="str" cm="1">
        <f t="array" ref="O750">_xlfn.IFS(J750="M", "Medium", J750="L", "Light", J750="D", "Dark")</f>
        <v>Dark</v>
      </c>
      <c r="P750" t="str">
        <f>_xlfn.XLOOKUP(Orders[[#This Row],[Customer ID]], customers!$A$2:$A$1001, customers!$I$2:$I$1001, 0)</f>
        <v>No</v>
      </c>
    </row>
    <row r="751" spans="1:16" x14ac:dyDescent="0.35">
      <c r="A751" s="2" t="s">
        <v>4723</v>
      </c>
      <c r="B751" s="3">
        <v>44209</v>
      </c>
      <c r="C751" s="2" t="s">
        <v>4724</v>
      </c>
      <c r="D751" t="s">
        <v>6163</v>
      </c>
      <c r="E751" s="2">
        <v>2</v>
      </c>
      <c r="F751" s="2" t="str" cm="1">
        <f t="array" ref="F751">_xlfn.XLOOKUP(C751, customers!$A$1:A1750, customers!$B$1:B1750, 0)</f>
        <v>Melodie OIlier</v>
      </c>
      <c r="G751" s="2" t="str">
        <f>IF(_xlfn.XLOOKUP(C751, customers!A750:A1750, customers!C750:C1750, 0)=0, "", _xlfn.XLOOKUP(C751, customers!A750:A1750, customers!C750:C1750, 0))</f>
        <v>moilierkt@paginegialle.it</v>
      </c>
      <c r="H751" s="2" t="str" cm="1">
        <f t="array" ref="H751">_xlfn.XLOOKUP(C751, customers!$A$1:A1750, customers!$G$1:G1750,, 0)</f>
        <v>Ireland</v>
      </c>
      <c r="I751" t="str" cm="1">
        <f t="array" ref="I751">_xlfn.XLOOKUP(orders!D751, products!$A$1:A798, products!$B$1:B798, 0)</f>
        <v>Rob</v>
      </c>
      <c r="J751" t="str" cm="1">
        <f t="array" ref="J751">_xlfn.XLOOKUP(D751, products!$A$1:A798, products!$C$1:C798, 0)</f>
        <v>D</v>
      </c>
      <c r="K751" s="4" cm="1">
        <f t="array" ref="K751">_xlfn.XLOOKUP(D751, products!$A$1:A798, products!$D$1:D798, 0)</f>
        <v>0.2</v>
      </c>
      <c r="L751" s="4" cm="1">
        <f t="array" ref="L751">_xlfn.XLOOKUP(D751, products!$A$1:A798, products!$E$1:E798)</f>
        <v>2.6849999999999996</v>
      </c>
      <c r="M751">
        <f t="shared" si="22"/>
        <v>5.3699999999999992</v>
      </c>
      <c r="N751" t="str">
        <f t="shared" si="23"/>
        <v>Robusta</v>
      </c>
      <c r="O751" t="str" cm="1">
        <f t="array" ref="O751">_xlfn.IFS(J751="M", "Medium", J751="L", "Light", J751="D", "Dark")</f>
        <v>Dark</v>
      </c>
      <c r="P751" t="str">
        <f>_xlfn.XLOOKUP(Orders[[#This Row],[Customer ID]], customers!$A$2:$A$1001, customers!$I$2:$I$1001, 0)</f>
        <v>Yes</v>
      </c>
    </row>
    <row r="752" spans="1:16" x14ac:dyDescent="0.35">
      <c r="A752" s="2" t="s">
        <v>4730</v>
      </c>
      <c r="B752" s="3">
        <v>44277</v>
      </c>
      <c r="C752" s="2" t="s">
        <v>4731</v>
      </c>
      <c r="D752" t="s">
        <v>6146</v>
      </c>
      <c r="E752" s="2">
        <v>1</v>
      </c>
      <c r="F752" s="2" t="str" cm="1">
        <f t="array" ref="F752">_xlfn.XLOOKUP(C752, customers!$A$1:A1751, customers!$B$1:B1751, 0)</f>
        <v>Hazel Iacopini</v>
      </c>
      <c r="G752" s="2" t="str">
        <f>IF(_xlfn.XLOOKUP(C752, customers!A751:A1751, customers!C751:C1751, 0)=0, "", _xlfn.XLOOKUP(C752, customers!A751:A1751, customers!C751:C1751, 0))</f>
        <v/>
      </c>
      <c r="H752" s="2" t="str" cm="1">
        <f t="array" ref="H752">_xlfn.XLOOKUP(C752, customers!$A$1:A1751, customers!$G$1:G1751,, 0)</f>
        <v>United States</v>
      </c>
      <c r="I752" t="str" cm="1">
        <f t="array" ref="I752">_xlfn.XLOOKUP(orders!D752, products!$A$1:A799, products!$B$1:B799, 0)</f>
        <v>Rob</v>
      </c>
      <c r="J752" t="str" cm="1">
        <f t="array" ref="J752">_xlfn.XLOOKUP(D752, products!$A$1:A799, products!$C$1:C799, 0)</f>
        <v>M</v>
      </c>
      <c r="K752" s="4" cm="1">
        <f t="array" ref="K752">_xlfn.XLOOKUP(D752, products!$A$1:A799, products!$D$1:D799, 0)</f>
        <v>0.5</v>
      </c>
      <c r="L752" s="4" cm="1">
        <f t="array" ref="L752">_xlfn.XLOOKUP(D752, products!$A$1:A799, products!$E$1:E799)</f>
        <v>5.97</v>
      </c>
      <c r="M752">
        <f t="shared" si="22"/>
        <v>5.97</v>
      </c>
      <c r="N752" t="str">
        <f t="shared" si="23"/>
        <v>Robusta</v>
      </c>
      <c r="O752" t="str" cm="1">
        <f t="array" ref="O752">_xlfn.IFS(J752="M", "Medium", J752="L", "Light", J752="D", "Dark")</f>
        <v>Medium</v>
      </c>
      <c r="P752" t="str">
        <f>_xlfn.XLOOKUP(Orders[[#This Row],[Customer ID]], customers!$A$2:$A$1001, customers!$I$2:$I$1001, 0)</f>
        <v>Yes</v>
      </c>
    </row>
    <row r="753" spans="1:16" x14ac:dyDescent="0.35">
      <c r="A753" s="2" t="s">
        <v>4735</v>
      </c>
      <c r="B753" s="3">
        <v>43847</v>
      </c>
      <c r="C753" s="2" t="s">
        <v>4736</v>
      </c>
      <c r="D753" t="s">
        <v>6161</v>
      </c>
      <c r="E753" s="2">
        <v>2</v>
      </c>
      <c r="F753" s="2" t="str" cm="1">
        <f t="array" ref="F753">_xlfn.XLOOKUP(C753, customers!$A$1:A1752, customers!$B$1:B1752, 0)</f>
        <v>Vinny Shoebotham</v>
      </c>
      <c r="G753" s="2" t="str">
        <f>IF(_xlfn.XLOOKUP(C753, customers!A752:A1752, customers!C752:C1752, 0)=0, "", _xlfn.XLOOKUP(C753, customers!A752:A1752, customers!C752:C1752, 0))</f>
        <v>vshoebothamkv@redcross.org</v>
      </c>
      <c r="H753" s="2" t="str" cm="1">
        <f t="array" ref="H753">_xlfn.XLOOKUP(C753, customers!$A$1:A1752, customers!$G$1:G1752,, 0)</f>
        <v>United States</v>
      </c>
      <c r="I753" t="str" cm="1">
        <f t="array" ref="I753">_xlfn.XLOOKUP(orders!D753, products!$A$1:A800, products!$B$1:B800, 0)</f>
        <v>Lib</v>
      </c>
      <c r="J753" t="str" cm="1">
        <f t="array" ref="J753">_xlfn.XLOOKUP(D753, products!$A$1:A800, products!$C$1:C800, 0)</f>
        <v>L</v>
      </c>
      <c r="K753" s="4" cm="1">
        <f t="array" ref="K753">_xlfn.XLOOKUP(D753, products!$A$1:A800, products!$D$1:D800, 0)</f>
        <v>0.5</v>
      </c>
      <c r="L753" s="4" cm="1">
        <f t="array" ref="L753">_xlfn.XLOOKUP(D753, products!$A$1:A800, products!$E$1:E800)</f>
        <v>9.51</v>
      </c>
      <c r="M753">
        <f t="shared" si="22"/>
        <v>19.02</v>
      </c>
      <c r="N753" t="str">
        <f t="shared" si="23"/>
        <v>Liberica</v>
      </c>
      <c r="O753" t="str" cm="1">
        <f t="array" ref="O753">_xlfn.IFS(J753="M", "Medium", J753="L", "Light", J753="D", "Dark")</f>
        <v>Light</v>
      </c>
      <c r="P753" t="str">
        <f>_xlfn.XLOOKUP(Orders[[#This Row],[Customer ID]], customers!$A$2:$A$1001, customers!$I$2:$I$1001, 0)</f>
        <v>No</v>
      </c>
    </row>
    <row r="754" spans="1:16" x14ac:dyDescent="0.35">
      <c r="A754" s="2" t="s">
        <v>4741</v>
      </c>
      <c r="B754" s="3">
        <v>43648</v>
      </c>
      <c r="C754" s="2" t="s">
        <v>4742</v>
      </c>
      <c r="D754" t="s">
        <v>6141</v>
      </c>
      <c r="E754" s="2">
        <v>2</v>
      </c>
      <c r="F754" s="2" t="str" cm="1">
        <f t="array" ref="F754">_xlfn.XLOOKUP(C754, customers!$A$1:A1753, customers!$B$1:B1753, 0)</f>
        <v>Bran Sterke</v>
      </c>
      <c r="G754" s="2" t="str">
        <f>IF(_xlfn.XLOOKUP(C754, customers!A753:A1753, customers!C753:C1753, 0)=0, "", _xlfn.XLOOKUP(C754, customers!A753:A1753, customers!C753:C1753, 0))</f>
        <v>bsterkekw@biblegateway.com</v>
      </c>
      <c r="H754" s="2" t="str" cm="1">
        <f t="array" ref="H754">_xlfn.XLOOKUP(C754, customers!$A$1:A1753, customers!$G$1:G1753,, 0)</f>
        <v>United States</v>
      </c>
      <c r="I754" t="str" cm="1">
        <f t="array" ref="I754">_xlfn.XLOOKUP(orders!D754, products!$A$1:A801, products!$B$1:B801, 0)</f>
        <v>Exc</v>
      </c>
      <c r="J754" t="str" cm="1">
        <f t="array" ref="J754">_xlfn.XLOOKUP(D754, products!$A$1:A801, products!$C$1:C801, 0)</f>
        <v>M</v>
      </c>
      <c r="K754" s="4" cm="1">
        <f t="array" ref="K754">_xlfn.XLOOKUP(D754, products!$A$1:A801, products!$D$1:D801, 0)</f>
        <v>1</v>
      </c>
      <c r="L754" s="4" cm="1">
        <f t="array" ref="L754">_xlfn.XLOOKUP(D754, products!$A$1:A801, products!$E$1:E801)</f>
        <v>13.75</v>
      </c>
      <c r="M754">
        <f t="shared" si="22"/>
        <v>27.5</v>
      </c>
      <c r="N754" t="str">
        <f t="shared" si="23"/>
        <v>Excelsa</v>
      </c>
      <c r="O754" t="str" cm="1">
        <f t="array" ref="O754">_xlfn.IFS(J754="M", "Medium", J754="L", "Light", J754="D", "Dark")</f>
        <v>Medium</v>
      </c>
      <c r="P754" t="str">
        <f>_xlfn.XLOOKUP(Orders[[#This Row],[Customer ID]], customers!$A$2:$A$1001, customers!$I$2:$I$1001, 0)</f>
        <v>Yes</v>
      </c>
    </row>
    <row r="755" spans="1:16" x14ac:dyDescent="0.35">
      <c r="A755" s="2" t="s">
        <v>4747</v>
      </c>
      <c r="B755" s="3">
        <v>44704</v>
      </c>
      <c r="C755" s="2" t="s">
        <v>4748</v>
      </c>
      <c r="D755" t="s">
        <v>6158</v>
      </c>
      <c r="E755" s="2">
        <v>5</v>
      </c>
      <c r="F755" s="2" t="str" cm="1">
        <f t="array" ref="F755">_xlfn.XLOOKUP(C755, customers!$A$1:A1754, customers!$B$1:B1754, 0)</f>
        <v>Simone Capon</v>
      </c>
      <c r="G755" s="2" t="str">
        <f>IF(_xlfn.XLOOKUP(C755, customers!A754:A1754, customers!C754:C1754, 0)=0, "", _xlfn.XLOOKUP(C755, customers!A754:A1754, customers!C754:C1754, 0))</f>
        <v>scaponkx@craigslist.org</v>
      </c>
      <c r="H755" s="2" t="str" cm="1">
        <f t="array" ref="H755">_xlfn.XLOOKUP(C755, customers!$A$1:A1754, customers!$G$1:G1754,, 0)</f>
        <v>United States</v>
      </c>
      <c r="I755" t="str" cm="1">
        <f t="array" ref="I755">_xlfn.XLOOKUP(orders!D755, products!$A$1:A802, products!$B$1:B802, 0)</f>
        <v>Ara</v>
      </c>
      <c r="J755" t="str" cm="1">
        <f t="array" ref="J755">_xlfn.XLOOKUP(D755, products!$A$1:A802, products!$C$1:C802, 0)</f>
        <v>D</v>
      </c>
      <c r="K755" s="4" cm="1">
        <f t="array" ref="K755">_xlfn.XLOOKUP(D755, products!$A$1:A802, products!$D$1:D802, 0)</f>
        <v>0.5</v>
      </c>
      <c r="L755" s="4" cm="1">
        <f t="array" ref="L755">_xlfn.XLOOKUP(D755, products!$A$1:A802, products!$E$1:E802)</f>
        <v>5.97</v>
      </c>
      <c r="M755">
        <f t="shared" si="22"/>
        <v>29.849999999999998</v>
      </c>
      <c r="N755" t="str">
        <f t="shared" si="23"/>
        <v>Arabica</v>
      </c>
      <c r="O755" t="str" cm="1">
        <f t="array" ref="O755">_xlfn.IFS(J755="M", "Medium", J755="L", "Light", J755="D", "Dark")</f>
        <v>Dark</v>
      </c>
      <c r="P755" t="str">
        <f>_xlfn.XLOOKUP(Orders[[#This Row],[Customer ID]], customers!$A$2:$A$1001, customers!$I$2:$I$1001, 0)</f>
        <v>No</v>
      </c>
    </row>
    <row r="756" spans="1:16" x14ac:dyDescent="0.35">
      <c r="A756" s="2" t="s">
        <v>4753</v>
      </c>
      <c r="B756" s="3">
        <v>44726</v>
      </c>
      <c r="C756" s="2" t="s">
        <v>4434</v>
      </c>
      <c r="D756" t="s">
        <v>6154</v>
      </c>
      <c r="E756" s="2">
        <v>6</v>
      </c>
      <c r="F756" s="2" t="str" cm="1">
        <f t="array" ref="F756">_xlfn.XLOOKUP(C756, customers!$A$1:A1755, customers!$B$1:B1755, 0)</f>
        <v>Jimmy Dymoke</v>
      </c>
      <c r="G756" s="2" t="str">
        <f>IF(_xlfn.XLOOKUP(C756, customers!A755:A1755, customers!C755:C1755, 0)=0, "", _xlfn.XLOOKUP(C756, customers!A755:A1755, customers!C755:C1755, 0))</f>
        <v/>
      </c>
      <c r="H756" s="2" t="str" cm="1">
        <f t="array" ref="H756">_xlfn.XLOOKUP(C756, customers!$A$1:A1755, customers!$G$1:G1755,, 0)</f>
        <v>Ireland</v>
      </c>
      <c r="I756" t="str" cm="1">
        <f t="array" ref="I756">_xlfn.XLOOKUP(orders!D756, products!$A$1:A803, products!$B$1:B803, 0)</f>
        <v>Ara</v>
      </c>
      <c r="J756" t="str" cm="1">
        <f t="array" ref="J756">_xlfn.XLOOKUP(D756, products!$A$1:A803, products!$C$1:C803, 0)</f>
        <v>D</v>
      </c>
      <c r="K756" s="4" cm="1">
        <f t="array" ref="K756">_xlfn.XLOOKUP(D756, products!$A$1:A803, products!$D$1:D803, 0)</f>
        <v>0.2</v>
      </c>
      <c r="L756" s="4" cm="1">
        <f t="array" ref="L756">_xlfn.XLOOKUP(D756, products!$A$1:A803, products!$E$1:E803)</f>
        <v>2.9849999999999999</v>
      </c>
      <c r="M756">
        <f t="shared" si="22"/>
        <v>17.91</v>
      </c>
      <c r="N756" t="str">
        <f t="shared" si="23"/>
        <v>Arabica</v>
      </c>
      <c r="O756" t="str" cm="1">
        <f t="array" ref="O756">_xlfn.IFS(J756="M", "Medium", J756="L", "Light", J756="D", "Dark")</f>
        <v>Dark</v>
      </c>
      <c r="P756" t="str">
        <f>_xlfn.XLOOKUP(Orders[[#This Row],[Customer ID]], customers!$A$2:$A$1001, customers!$I$2:$I$1001, 0)</f>
        <v>No</v>
      </c>
    </row>
    <row r="757" spans="1:16" x14ac:dyDescent="0.35">
      <c r="A757" s="2" t="s">
        <v>4758</v>
      </c>
      <c r="B757" s="3">
        <v>44397</v>
      </c>
      <c r="C757" s="2" t="s">
        <v>4759</v>
      </c>
      <c r="D757" t="s">
        <v>6145</v>
      </c>
      <c r="E757" s="2">
        <v>6</v>
      </c>
      <c r="F757" s="2" t="str" cm="1">
        <f t="array" ref="F757">_xlfn.XLOOKUP(C757, customers!$A$1:A1756, customers!$B$1:B1756, 0)</f>
        <v>Foster Constance</v>
      </c>
      <c r="G757" s="2" t="str">
        <f>IF(_xlfn.XLOOKUP(C757, customers!A756:A1756, customers!C756:C1756, 0)=0, "", _xlfn.XLOOKUP(C757, customers!A756:A1756, customers!C756:C1756, 0))</f>
        <v>fconstancekz@ifeng.com</v>
      </c>
      <c r="H757" s="2" t="str" cm="1">
        <f t="array" ref="H757">_xlfn.XLOOKUP(C757, customers!$A$1:A1756, customers!$G$1:G1756,, 0)</f>
        <v>United States</v>
      </c>
      <c r="I757" t="str" cm="1">
        <f t="array" ref="I757">_xlfn.XLOOKUP(orders!D757, products!$A$1:A804, products!$B$1:B804, 0)</f>
        <v>Lib</v>
      </c>
      <c r="J757" t="str" cm="1">
        <f t="array" ref="J757">_xlfn.XLOOKUP(D757, products!$A$1:A804, products!$C$1:C804, 0)</f>
        <v>L</v>
      </c>
      <c r="K757" s="4" cm="1">
        <f t="array" ref="K757">_xlfn.XLOOKUP(D757, products!$A$1:A804, products!$D$1:D804, 0)</f>
        <v>0.2</v>
      </c>
      <c r="L757" s="4" cm="1">
        <f t="array" ref="L757">_xlfn.XLOOKUP(D757, products!$A$1:A804, products!$E$1:E804)</f>
        <v>4.7549999999999999</v>
      </c>
      <c r="M757">
        <f t="shared" si="22"/>
        <v>28.53</v>
      </c>
      <c r="N757" t="str">
        <f t="shared" si="23"/>
        <v>Liberica</v>
      </c>
      <c r="O757" t="str" cm="1">
        <f t="array" ref="O757">_xlfn.IFS(J757="M", "Medium", J757="L", "Light", J757="D", "Dark")</f>
        <v>Light</v>
      </c>
      <c r="P757" t="str">
        <f>_xlfn.XLOOKUP(Orders[[#This Row],[Customer ID]], customers!$A$2:$A$1001, customers!$I$2:$I$1001, 0)</f>
        <v>No</v>
      </c>
    </row>
    <row r="758" spans="1:16" x14ac:dyDescent="0.35">
      <c r="A758" s="2" t="s">
        <v>4764</v>
      </c>
      <c r="B758" s="3">
        <v>44715</v>
      </c>
      <c r="C758" s="2" t="s">
        <v>4765</v>
      </c>
      <c r="D758" t="s">
        <v>6177</v>
      </c>
      <c r="E758" s="2">
        <v>4</v>
      </c>
      <c r="F758" s="2" t="str" cm="1">
        <f t="array" ref="F758">_xlfn.XLOOKUP(C758, customers!$A$1:A1757, customers!$B$1:B1757, 0)</f>
        <v>Fernando Sulman</v>
      </c>
      <c r="G758" s="2" t="str">
        <f>IF(_xlfn.XLOOKUP(C758, customers!A757:A1757, customers!C757:C1757, 0)=0, "", _xlfn.XLOOKUP(C758, customers!A757:A1757, customers!C757:C1757, 0))</f>
        <v>fsulmanl0@washington.edu</v>
      </c>
      <c r="H758" s="2" t="str" cm="1">
        <f t="array" ref="H758">_xlfn.XLOOKUP(C758, customers!$A$1:A1757, customers!$G$1:G1757,, 0)</f>
        <v>United States</v>
      </c>
      <c r="I758" t="str" cm="1">
        <f t="array" ref="I758">_xlfn.XLOOKUP(orders!D758, products!$A$1:A805, products!$B$1:B805, 0)</f>
        <v>Rob</v>
      </c>
      <c r="J758" t="str" cm="1">
        <f t="array" ref="J758">_xlfn.XLOOKUP(D758, products!$A$1:A805, products!$C$1:C805, 0)</f>
        <v>D</v>
      </c>
      <c r="K758" s="4" cm="1">
        <f t="array" ref="K758">_xlfn.XLOOKUP(D758, products!$A$1:A805, products!$D$1:D805, 0)</f>
        <v>1</v>
      </c>
      <c r="L758" s="4" cm="1">
        <f t="array" ref="L758">_xlfn.XLOOKUP(D758, products!$A$1:A805, products!$E$1:E805)</f>
        <v>8.9499999999999993</v>
      </c>
      <c r="M758">
        <f t="shared" si="22"/>
        <v>35.799999999999997</v>
      </c>
      <c r="N758" t="str">
        <f t="shared" si="23"/>
        <v>Robusta</v>
      </c>
      <c r="O758" t="str" cm="1">
        <f t="array" ref="O758">_xlfn.IFS(J758="M", "Medium", J758="L", "Light", J758="D", "Dark")</f>
        <v>Dark</v>
      </c>
      <c r="P758" t="str">
        <f>_xlfn.XLOOKUP(Orders[[#This Row],[Customer ID]], customers!$A$2:$A$1001, customers!$I$2:$I$1001, 0)</f>
        <v>Yes</v>
      </c>
    </row>
    <row r="759" spans="1:16" x14ac:dyDescent="0.35">
      <c r="A759" s="2" t="s">
        <v>4770</v>
      </c>
      <c r="B759" s="3">
        <v>43977</v>
      </c>
      <c r="C759" s="2" t="s">
        <v>4771</v>
      </c>
      <c r="D759" t="s">
        <v>6158</v>
      </c>
      <c r="E759" s="2">
        <v>3</v>
      </c>
      <c r="F759" s="2" t="str" cm="1">
        <f t="array" ref="F759">_xlfn.XLOOKUP(C759, customers!$A$1:A1758, customers!$B$1:B1758, 0)</f>
        <v>Dorotea Hollyman</v>
      </c>
      <c r="G759" s="2" t="str">
        <f>IF(_xlfn.XLOOKUP(C759, customers!A758:A1758, customers!C758:C1758, 0)=0, "", _xlfn.XLOOKUP(C759, customers!A758:A1758, customers!C758:C1758, 0))</f>
        <v>dhollymanl1@ibm.com</v>
      </c>
      <c r="H759" s="2" t="str" cm="1">
        <f t="array" ref="H759">_xlfn.XLOOKUP(C759, customers!$A$1:A1758, customers!$G$1:G1758,, 0)</f>
        <v>United States</v>
      </c>
      <c r="I759" t="str" cm="1">
        <f t="array" ref="I759">_xlfn.XLOOKUP(orders!D759, products!$A$1:A806, products!$B$1:B806, 0)</f>
        <v>Ara</v>
      </c>
      <c r="J759" t="str" cm="1">
        <f t="array" ref="J759">_xlfn.XLOOKUP(D759, products!$A$1:A806, products!$C$1:C806, 0)</f>
        <v>D</v>
      </c>
      <c r="K759" s="4" cm="1">
        <f t="array" ref="K759">_xlfn.XLOOKUP(D759, products!$A$1:A806, products!$D$1:D806, 0)</f>
        <v>0.5</v>
      </c>
      <c r="L759" s="4" cm="1">
        <f t="array" ref="L759">_xlfn.XLOOKUP(D759, products!$A$1:A806, products!$E$1:E806)</f>
        <v>5.97</v>
      </c>
      <c r="M759">
        <f t="shared" si="22"/>
        <v>17.91</v>
      </c>
      <c r="N759" t="str">
        <f t="shared" si="23"/>
        <v>Arabica</v>
      </c>
      <c r="O759" t="str" cm="1">
        <f t="array" ref="O759">_xlfn.IFS(J759="M", "Medium", J759="L", "Light", J759="D", "Dark")</f>
        <v>Dark</v>
      </c>
      <c r="P759" t="str">
        <f>_xlfn.XLOOKUP(Orders[[#This Row],[Customer ID]], customers!$A$2:$A$1001, customers!$I$2:$I$1001, 0)</f>
        <v>Yes</v>
      </c>
    </row>
    <row r="760" spans="1:16" x14ac:dyDescent="0.35">
      <c r="A760" s="2" t="s">
        <v>4776</v>
      </c>
      <c r="B760" s="3">
        <v>43672</v>
      </c>
      <c r="C760" s="2" t="s">
        <v>4777</v>
      </c>
      <c r="D760" t="s">
        <v>6177</v>
      </c>
      <c r="E760" s="2">
        <v>1</v>
      </c>
      <c r="F760" s="2" t="str" cm="1">
        <f t="array" ref="F760">_xlfn.XLOOKUP(C760, customers!$A$1:A1759, customers!$B$1:B1759, 0)</f>
        <v>Lorelei Nardoni</v>
      </c>
      <c r="G760" s="2" t="str">
        <f>IF(_xlfn.XLOOKUP(C760, customers!A759:A1759, customers!C759:C1759, 0)=0, "", _xlfn.XLOOKUP(C760, customers!A759:A1759, customers!C759:C1759, 0))</f>
        <v>lnardonil2@hao123.com</v>
      </c>
      <c r="H760" s="2" t="str" cm="1">
        <f t="array" ref="H760">_xlfn.XLOOKUP(C760, customers!$A$1:A1759, customers!$G$1:G1759,, 0)</f>
        <v>United States</v>
      </c>
      <c r="I760" t="str" cm="1">
        <f t="array" ref="I760">_xlfn.XLOOKUP(orders!D760, products!$A$1:A807, products!$B$1:B807, 0)</f>
        <v>Rob</v>
      </c>
      <c r="J760" t="str" cm="1">
        <f t="array" ref="J760">_xlfn.XLOOKUP(D760, products!$A$1:A807, products!$C$1:C807, 0)</f>
        <v>D</v>
      </c>
      <c r="K760" s="4" cm="1">
        <f t="array" ref="K760">_xlfn.XLOOKUP(D760, products!$A$1:A807, products!$D$1:D807, 0)</f>
        <v>1</v>
      </c>
      <c r="L760" s="4" cm="1">
        <f t="array" ref="L760">_xlfn.XLOOKUP(D760, products!$A$1:A807, products!$E$1:E807)</f>
        <v>8.9499999999999993</v>
      </c>
      <c r="M760">
        <f t="shared" si="22"/>
        <v>8.9499999999999993</v>
      </c>
      <c r="N760" t="str">
        <f t="shared" si="23"/>
        <v>Robusta</v>
      </c>
      <c r="O760" t="str" cm="1">
        <f t="array" ref="O760">_xlfn.IFS(J760="M", "Medium", J760="L", "Light", J760="D", "Dark")</f>
        <v>Dark</v>
      </c>
      <c r="P760" t="str">
        <f>_xlfn.XLOOKUP(Orders[[#This Row],[Customer ID]], customers!$A$2:$A$1001, customers!$I$2:$I$1001, 0)</f>
        <v>No</v>
      </c>
    </row>
    <row r="761" spans="1:16" x14ac:dyDescent="0.35">
      <c r="A761" s="2" t="s">
        <v>4781</v>
      </c>
      <c r="B761" s="3">
        <v>44126</v>
      </c>
      <c r="C761" s="2" t="s">
        <v>4782</v>
      </c>
      <c r="D761" t="s">
        <v>6165</v>
      </c>
      <c r="E761" s="2">
        <v>1</v>
      </c>
      <c r="F761" s="2" t="str" cm="1">
        <f t="array" ref="F761">_xlfn.XLOOKUP(C761, customers!$A$1:A1760, customers!$B$1:B1760, 0)</f>
        <v>Dallas Yarham</v>
      </c>
      <c r="G761" s="2" t="str">
        <f>IF(_xlfn.XLOOKUP(C761, customers!A760:A1760, customers!C760:C1760, 0)=0, "", _xlfn.XLOOKUP(C761, customers!A760:A1760, customers!C760:C1760, 0))</f>
        <v>dyarhaml3@moonfruit.com</v>
      </c>
      <c r="H761" s="2" t="str" cm="1">
        <f t="array" ref="H761">_xlfn.XLOOKUP(C761, customers!$A$1:A1760, customers!$G$1:G1760,, 0)</f>
        <v>United States</v>
      </c>
      <c r="I761" t="str" cm="1">
        <f t="array" ref="I761">_xlfn.XLOOKUP(orders!D761, products!$A$1:A808, products!$B$1:B808, 0)</f>
        <v>Lib</v>
      </c>
      <c r="J761" t="str" cm="1">
        <f t="array" ref="J761">_xlfn.XLOOKUP(D761, products!$A$1:A808, products!$C$1:C808, 0)</f>
        <v>D</v>
      </c>
      <c r="K761" s="4" cm="1">
        <f t="array" ref="K761">_xlfn.XLOOKUP(D761, products!$A$1:A808, products!$D$1:D808, 0)</f>
        <v>2.5</v>
      </c>
      <c r="L761" s="4" cm="1">
        <f t="array" ref="L761">_xlfn.XLOOKUP(D761, products!$A$1:A808, products!$E$1:E808)</f>
        <v>29.784999999999997</v>
      </c>
      <c r="M761">
        <f t="shared" si="22"/>
        <v>29.784999999999997</v>
      </c>
      <c r="N761" t="str">
        <f t="shared" si="23"/>
        <v>Liberica</v>
      </c>
      <c r="O761" t="str" cm="1">
        <f t="array" ref="O761">_xlfn.IFS(J761="M", "Medium", J761="L", "Light", J761="D", "Dark")</f>
        <v>Dark</v>
      </c>
      <c r="P761" t="str">
        <f>_xlfn.XLOOKUP(Orders[[#This Row],[Customer ID]], customers!$A$2:$A$1001, customers!$I$2:$I$1001, 0)</f>
        <v>Yes</v>
      </c>
    </row>
    <row r="762" spans="1:16" x14ac:dyDescent="0.35">
      <c r="A762" s="2" t="s">
        <v>4787</v>
      </c>
      <c r="B762" s="3">
        <v>44189</v>
      </c>
      <c r="C762" s="2" t="s">
        <v>4788</v>
      </c>
      <c r="D762" t="s">
        <v>6176</v>
      </c>
      <c r="E762" s="2">
        <v>5</v>
      </c>
      <c r="F762" s="2" t="str" cm="1">
        <f t="array" ref="F762">_xlfn.XLOOKUP(C762, customers!$A$1:A1761, customers!$B$1:B1761, 0)</f>
        <v>Arlana Ferrea</v>
      </c>
      <c r="G762" s="2" t="str">
        <f>IF(_xlfn.XLOOKUP(C762, customers!A761:A1761, customers!C761:C1761, 0)=0, "", _xlfn.XLOOKUP(C762, customers!A761:A1761, customers!C761:C1761, 0))</f>
        <v>aferreal4@wikia.com</v>
      </c>
      <c r="H762" s="2" t="str" cm="1">
        <f t="array" ref="H762">_xlfn.XLOOKUP(C762, customers!$A$1:A1761, customers!$G$1:G1761,, 0)</f>
        <v>United States</v>
      </c>
      <c r="I762" t="str" cm="1">
        <f t="array" ref="I762">_xlfn.XLOOKUP(orders!D762, products!$A$1:A809, products!$B$1:B809, 0)</f>
        <v>Exc</v>
      </c>
      <c r="J762" t="str" cm="1">
        <f t="array" ref="J762">_xlfn.XLOOKUP(D762, products!$A$1:A809, products!$C$1:C809, 0)</f>
        <v>L</v>
      </c>
      <c r="K762" s="4" cm="1">
        <f t="array" ref="K762">_xlfn.XLOOKUP(D762, products!$A$1:A809, products!$D$1:D809, 0)</f>
        <v>0.5</v>
      </c>
      <c r="L762" s="4" cm="1">
        <f t="array" ref="L762">_xlfn.XLOOKUP(D762, products!$A$1:A809, products!$E$1:E809)</f>
        <v>8.91</v>
      </c>
      <c r="M762">
        <f t="shared" si="22"/>
        <v>44.55</v>
      </c>
      <c r="N762" t="str">
        <f t="shared" si="23"/>
        <v>Excelsa</v>
      </c>
      <c r="O762" t="str" cm="1">
        <f t="array" ref="O762">_xlfn.IFS(J762="M", "Medium", J762="L", "Light", J762="D", "Dark")</f>
        <v>Light</v>
      </c>
      <c r="P762" t="str">
        <f>_xlfn.XLOOKUP(Orders[[#This Row],[Customer ID]], customers!$A$2:$A$1001, customers!$I$2:$I$1001, 0)</f>
        <v>No</v>
      </c>
    </row>
    <row r="763" spans="1:16" x14ac:dyDescent="0.35">
      <c r="A763" s="2" t="s">
        <v>4792</v>
      </c>
      <c r="B763" s="3">
        <v>43714</v>
      </c>
      <c r="C763" s="2" t="s">
        <v>4793</v>
      </c>
      <c r="D763" t="s">
        <v>6171</v>
      </c>
      <c r="E763" s="2">
        <v>6</v>
      </c>
      <c r="F763" s="2" t="str" cm="1">
        <f t="array" ref="F763">_xlfn.XLOOKUP(C763, customers!$A$1:A1762, customers!$B$1:B1762, 0)</f>
        <v>Chuck Kendrick</v>
      </c>
      <c r="G763" s="2" t="str">
        <f>IF(_xlfn.XLOOKUP(C763, customers!A762:A1762, customers!C762:C1762, 0)=0, "", _xlfn.XLOOKUP(C763, customers!A762:A1762, customers!C762:C1762, 0))</f>
        <v>ckendrickl5@webnode.com</v>
      </c>
      <c r="H763" s="2" t="str" cm="1">
        <f t="array" ref="H763">_xlfn.XLOOKUP(C763, customers!$A$1:A1762, customers!$G$1:G1762,, 0)</f>
        <v>United States</v>
      </c>
      <c r="I763" t="str" cm="1">
        <f t="array" ref="I763">_xlfn.XLOOKUP(orders!D763, products!$A$1:A810, products!$B$1:B810, 0)</f>
        <v>Exc</v>
      </c>
      <c r="J763" t="str" cm="1">
        <f t="array" ref="J763">_xlfn.XLOOKUP(D763, products!$A$1:A810, products!$C$1:C810, 0)</f>
        <v>L</v>
      </c>
      <c r="K763" s="4" cm="1">
        <f t="array" ref="K763">_xlfn.XLOOKUP(D763, products!$A$1:A810, products!$D$1:D810, 0)</f>
        <v>1</v>
      </c>
      <c r="L763" s="4" cm="1">
        <f t="array" ref="L763">_xlfn.XLOOKUP(D763, products!$A$1:A810, products!$E$1:E810)</f>
        <v>14.85</v>
      </c>
      <c r="M763">
        <f t="shared" si="22"/>
        <v>89.1</v>
      </c>
      <c r="N763" t="str">
        <f t="shared" si="23"/>
        <v>Excelsa</v>
      </c>
      <c r="O763" t="str" cm="1">
        <f t="array" ref="O763">_xlfn.IFS(J763="M", "Medium", J763="L", "Light", J763="D", "Dark")</f>
        <v>Light</v>
      </c>
      <c r="P763" t="str">
        <f>_xlfn.XLOOKUP(Orders[[#This Row],[Customer ID]], customers!$A$2:$A$1001, customers!$I$2:$I$1001, 0)</f>
        <v>Yes</v>
      </c>
    </row>
    <row r="764" spans="1:16" x14ac:dyDescent="0.35">
      <c r="A764" s="2" t="s">
        <v>4797</v>
      </c>
      <c r="B764" s="3">
        <v>43563</v>
      </c>
      <c r="C764" s="2" t="s">
        <v>4798</v>
      </c>
      <c r="D764" t="s">
        <v>6160</v>
      </c>
      <c r="E764" s="2">
        <v>5</v>
      </c>
      <c r="F764" s="2" t="str" cm="1">
        <f t="array" ref="F764">_xlfn.XLOOKUP(C764, customers!$A$1:A1763, customers!$B$1:B1763, 0)</f>
        <v>Sharona Danilchik</v>
      </c>
      <c r="G764" s="2" t="str">
        <f>IF(_xlfn.XLOOKUP(C764, customers!A763:A1763, customers!C763:C1763, 0)=0, "", _xlfn.XLOOKUP(C764, customers!A763:A1763, customers!C763:C1763, 0))</f>
        <v>sdanilchikl6@mit.edu</v>
      </c>
      <c r="H764" s="2" t="str" cm="1">
        <f t="array" ref="H764">_xlfn.XLOOKUP(C764, customers!$A$1:A1763, customers!$G$1:G1763,, 0)</f>
        <v>United Kingdom</v>
      </c>
      <c r="I764" t="str" cm="1">
        <f t="array" ref="I764">_xlfn.XLOOKUP(orders!D764, products!$A$1:A811, products!$B$1:B811, 0)</f>
        <v>Lib</v>
      </c>
      <c r="J764" t="str" cm="1">
        <f t="array" ref="J764">_xlfn.XLOOKUP(D764, products!$A$1:A811, products!$C$1:C811, 0)</f>
        <v>M</v>
      </c>
      <c r="K764" s="4" cm="1">
        <f t="array" ref="K764">_xlfn.XLOOKUP(D764, products!$A$1:A811, products!$D$1:D811, 0)</f>
        <v>0.5</v>
      </c>
      <c r="L764" s="4" cm="1">
        <f t="array" ref="L764">_xlfn.XLOOKUP(D764, products!$A$1:A811, products!$E$1:E811)</f>
        <v>8.73</v>
      </c>
      <c r="M764">
        <f t="shared" si="22"/>
        <v>43.650000000000006</v>
      </c>
      <c r="N764" t="str">
        <f t="shared" si="23"/>
        <v>Liberica</v>
      </c>
      <c r="O764" t="str" cm="1">
        <f t="array" ref="O764">_xlfn.IFS(J764="M", "Medium", J764="L", "Light", J764="D", "Dark")</f>
        <v>Medium</v>
      </c>
      <c r="P764" t="str">
        <f>_xlfn.XLOOKUP(Orders[[#This Row],[Customer ID]], customers!$A$2:$A$1001, customers!$I$2:$I$1001, 0)</f>
        <v>No</v>
      </c>
    </row>
    <row r="765" spans="1:16" x14ac:dyDescent="0.35">
      <c r="A765" s="2" t="s">
        <v>4803</v>
      </c>
      <c r="B765" s="3">
        <v>44587</v>
      </c>
      <c r="C765" s="2" t="s">
        <v>4804</v>
      </c>
      <c r="D765" t="s">
        <v>6180</v>
      </c>
      <c r="E765" s="2">
        <v>3</v>
      </c>
      <c r="F765" s="2" t="str" cm="1">
        <f t="array" ref="F765">_xlfn.XLOOKUP(C765, customers!$A$1:A1764, customers!$B$1:B1764, 0)</f>
        <v>Sarajane Potter</v>
      </c>
      <c r="G765" s="2" t="str">
        <f>IF(_xlfn.XLOOKUP(C765, customers!A764:A1764, customers!C764:C1764, 0)=0, "", _xlfn.XLOOKUP(C765, customers!A764:A1764, customers!C764:C1764, 0))</f>
        <v/>
      </c>
      <c r="H765" s="2" t="str" cm="1">
        <f t="array" ref="H765">_xlfn.XLOOKUP(C765, customers!$A$1:A1764, customers!$G$1:G1764,, 0)</f>
        <v>United States</v>
      </c>
      <c r="I765" t="str" cm="1">
        <f t="array" ref="I765">_xlfn.XLOOKUP(orders!D765, products!$A$1:A812, products!$B$1:B812, 0)</f>
        <v>Ara</v>
      </c>
      <c r="J765" t="str" cm="1">
        <f t="array" ref="J765">_xlfn.XLOOKUP(D765, products!$A$1:A812, products!$C$1:C812, 0)</f>
        <v>L</v>
      </c>
      <c r="K765" s="4" cm="1">
        <f t="array" ref="K765">_xlfn.XLOOKUP(D765, products!$A$1:A812, products!$D$1:D812, 0)</f>
        <v>0.5</v>
      </c>
      <c r="L765" s="4" cm="1">
        <f t="array" ref="L765">_xlfn.XLOOKUP(D765, products!$A$1:A812, products!$E$1:E812)</f>
        <v>7.77</v>
      </c>
      <c r="M765">
        <f t="shared" si="22"/>
        <v>23.31</v>
      </c>
      <c r="N765" t="str">
        <f t="shared" si="23"/>
        <v>Arabica</v>
      </c>
      <c r="O765" t="str" cm="1">
        <f t="array" ref="O765">_xlfn.IFS(J765="M", "Medium", J765="L", "Light", J765="D", "Dark")</f>
        <v>Light</v>
      </c>
      <c r="P765" t="str">
        <f>_xlfn.XLOOKUP(Orders[[#This Row],[Customer ID]], customers!$A$2:$A$1001, customers!$I$2:$I$1001, 0)</f>
        <v>No</v>
      </c>
    </row>
    <row r="766" spans="1:16" x14ac:dyDescent="0.35">
      <c r="A766" s="2" t="s">
        <v>4808</v>
      </c>
      <c r="B766" s="3">
        <v>43797</v>
      </c>
      <c r="C766" s="2" t="s">
        <v>4809</v>
      </c>
      <c r="D766" t="s">
        <v>6182</v>
      </c>
      <c r="E766" s="2">
        <v>6</v>
      </c>
      <c r="F766" s="2" t="str" cm="1">
        <f t="array" ref="F766">_xlfn.XLOOKUP(C766, customers!$A$1:A1765, customers!$B$1:B1765, 0)</f>
        <v>Bobby Folomkin</v>
      </c>
      <c r="G766" s="2" t="str">
        <f>IF(_xlfn.XLOOKUP(C766, customers!A765:A1765, customers!C765:C1765, 0)=0, "", _xlfn.XLOOKUP(C766, customers!A765:A1765, customers!C765:C1765, 0))</f>
        <v>bfolomkinl8@yolasite.com</v>
      </c>
      <c r="H766" s="2" t="str" cm="1">
        <f t="array" ref="H766">_xlfn.XLOOKUP(C766, customers!$A$1:A1765, customers!$G$1:G1765,, 0)</f>
        <v>United States</v>
      </c>
      <c r="I766" t="str" cm="1">
        <f t="array" ref="I766">_xlfn.XLOOKUP(orders!D766, products!$A$1:A813, products!$B$1:B813, 0)</f>
        <v>Ara</v>
      </c>
      <c r="J766" t="str" cm="1">
        <f t="array" ref="J766">_xlfn.XLOOKUP(D766, products!$A$1:A813, products!$C$1:C813, 0)</f>
        <v>L</v>
      </c>
      <c r="K766" s="4" cm="1">
        <f t="array" ref="K766">_xlfn.XLOOKUP(D766, products!$A$1:A813, products!$D$1:D813, 0)</f>
        <v>2.5</v>
      </c>
      <c r="L766" s="4" cm="1">
        <f t="array" ref="L766">_xlfn.XLOOKUP(D766, products!$A$1:A813, products!$E$1:E813)</f>
        <v>29.784999999999997</v>
      </c>
      <c r="M766">
        <f t="shared" si="22"/>
        <v>178.70999999999998</v>
      </c>
      <c r="N766" t="str">
        <f t="shared" si="23"/>
        <v>Arabica</v>
      </c>
      <c r="O766" t="str" cm="1">
        <f t="array" ref="O766">_xlfn.IFS(J766="M", "Medium", J766="L", "Light", J766="D", "Dark")</f>
        <v>Light</v>
      </c>
      <c r="P766" t="str">
        <f>_xlfn.XLOOKUP(Orders[[#This Row],[Customer ID]], customers!$A$2:$A$1001, customers!$I$2:$I$1001, 0)</f>
        <v>Yes</v>
      </c>
    </row>
    <row r="767" spans="1:16" x14ac:dyDescent="0.35">
      <c r="A767" s="2" t="s">
        <v>4814</v>
      </c>
      <c r="B767" s="3">
        <v>43667</v>
      </c>
      <c r="C767" s="2" t="s">
        <v>4815</v>
      </c>
      <c r="D767" t="s">
        <v>6138</v>
      </c>
      <c r="E767" s="2">
        <v>6</v>
      </c>
      <c r="F767" s="2" t="str" cm="1">
        <f t="array" ref="F767">_xlfn.XLOOKUP(C767, customers!$A$1:A1766, customers!$B$1:B1766, 0)</f>
        <v>Rafferty Pursglove</v>
      </c>
      <c r="G767" s="2" t="str">
        <f>IF(_xlfn.XLOOKUP(C767, customers!A766:A1766, customers!C766:C1766, 0)=0, "", _xlfn.XLOOKUP(C767, customers!A766:A1766, customers!C766:C1766, 0))</f>
        <v>rpursglovel9@biblegateway.com</v>
      </c>
      <c r="H767" s="2" t="str" cm="1">
        <f t="array" ref="H767">_xlfn.XLOOKUP(C767, customers!$A$1:A1766, customers!$G$1:G1766,, 0)</f>
        <v>United States</v>
      </c>
      <c r="I767" t="str" cm="1">
        <f t="array" ref="I767">_xlfn.XLOOKUP(orders!D767, products!$A$1:A814, products!$B$1:B814, 0)</f>
        <v>Rob</v>
      </c>
      <c r="J767" t="str" cm="1">
        <f t="array" ref="J767">_xlfn.XLOOKUP(D767, products!$A$1:A814, products!$C$1:C814, 0)</f>
        <v>M</v>
      </c>
      <c r="K767" s="4" cm="1">
        <f t="array" ref="K767">_xlfn.XLOOKUP(D767, products!$A$1:A814, products!$D$1:D814, 0)</f>
        <v>1</v>
      </c>
      <c r="L767" s="4" cm="1">
        <f t="array" ref="L767">_xlfn.XLOOKUP(D767, products!$A$1:A814, products!$E$1:E814)</f>
        <v>9.9499999999999993</v>
      </c>
      <c r="M767">
        <f t="shared" si="22"/>
        <v>59.699999999999996</v>
      </c>
      <c r="N767" t="str">
        <f t="shared" si="23"/>
        <v>Robusta</v>
      </c>
      <c r="O767" t="str" cm="1">
        <f t="array" ref="O767">_xlfn.IFS(J767="M", "Medium", J767="L", "Light", J767="D", "Dark")</f>
        <v>Medium</v>
      </c>
      <c r="P767" t="str">
        <f>_xlfn.XLOOKUP(Orders[[#This Row],[Customer ID]], customers!$A$2:$A$1001, customers!$I$2:$I$1001, 0)</f>
        <v>Yes</v>
      </c>
    </row>
    <row r="768" spans="1:16" x14ac:dyDescent="0.35">
      <c r="A768" s="2" t="s">
        <v>4814</v>
      </c>
      <c r="B768" s="3">
        <v>43667</v>
      </c>
      <c r="C768" s="2" t="s">
        <v>4815</v>
      </c>
      <c r="D768" t="s">
        <v>6180</v>
      </c>
      <c r="E768" s="2">
        <v>2</v>
      </c>
      <c r="F768" s="2" t="str" cm="1">
        <f t="array" ref="F768">_xlfn.XLOOKUP(C768, customers!$A$1:A1767, customers!$B$1:B1767, 0)</f>
        <v>Rafferty Pursglove</v>
      </c>
      <c r="G768" s="2" t="str">
        <f>IF(_xlfn.XLOOKUP(C768, customers!A767:A1767, customers!C767:C1767, 0)=0, "", _xlfn.XLOOKUP(C768, customers!A767:A1767, customers!C767:C1767, 0))</f>
        <v>rpursglovel9@biblegateway.com</v>
      </c>
      <c r="H768" s="2" t="str" cm="1">
        <f t="array" ref="H768">_xlfn.XLOOKUP(C768, customers!$A$1:A1767, customers!$G$1:G1767,, 0)</f>
        <v>United States</v>
      </c>
      <c r="I768" t="str" cm="1">
        <f t="array" ref="I768">_xlfn.XLOOKUP(orders!D768, products!$A$1:A815, products!$B$1:B815, 0)</f>
        <v>Ara</v>
      </c>
      <c r="J768" t="str" cm="1">
        <f t="array" ref="J768">_xlfn.XLOOKUP(D768, products!$A$1:A815, products!$C$1:C815, 0)</f>
        <v>L</v>
      </c>
      <c r="K768" s="4" cm="1">
        <f t="array" ref="K768">_xlfn.XLOOKUP(D768, products!$A$1:A815, products!$D$1:D815, 0)</f>
        <v>0.5</v>
      </c>
      <c r="L768" s="4" cm="1">
        <f t="array" ref="L768">_xlfn.XLOOKUP(D768, products!$A$1:A815, products!$E$1:E815)</f>
        <v>7.77</v>
      </c>
      <c r="M768">
        <f t="shared" si="22"/>
        <v>15.54</v>
      </c>
      <c r="N768" t="str">
        <f t="shared" si="23"/>
        <v>Arabica</v>
      </c>
      <c r="O768" t="str" cm="1">
        <f t="array" ref="O768">_xlfn.IFS(J768="M", "Medium", J768="L", "Light", J768="D", "Dark")</f>
        <v>Light</v>
      </c>
      <c r="P768" t="str">
        <f>_xlfn.XLOOKUP(Orders[[#This Row],[Customer ID]], customers!$A$2:$A$1001, customers!$I$2:$I$1001, 0)</f>
        <v>Yes</v>
      </c>
    </row>
    <row r="769" spans="1:16" x14ac:dyDescent="0.35">
      <c r="A769" s="2" t="s">
        <v>4825</v>
      </c>
      <c r="B769" s="3">
        <v>44267</v>
      </c>
      <c r="C769" s="2" t="s">
        <v>4759</v>
      </c>
      <c r="D769" t="s">
        <v>6182</v>
      </c>
      <c r="E769" s="2">
        <v>3</v>
      </c>
      <c r="F769" s="2" t="str" cm="1">
        <f t="array" ref="F769">_xlfn.XLOOKUP(C769, customers!$A$1:A1768, customers!$B$1:B1768, 0)</f>
        <v>Foster Constance</v>
      </c>
      <c r="G769" s="2" t="str">
        <f>IF(_xlfn.XLOOKUP(C769, customers!A768:A1768, customers!C768:C1768, 0)=0, "", _xlfn.XLOOKUP(C769, customers!A768:A1768, customers!C768:C1768, 0))</f>
        <v/>
      </c>
      <c r="H769" s="2" t="str" cm="1">
        <f t="array" ref="H769">_xlfn.XLOOKUP(C769, customers!$A$1:A1768, customers!$G$1:G1768,, 0)</f>
        <v>United States</v>
      </c>
      <c r="I769" t="str" cm="1">
        <f t="array" ref="I769">_xlfn.XLOOKUP(orders!D769, products!$A$1:A816, products!$B$1:B816, 0)</f>
        <v>Ara</v>
      </c>
      <c r="J769" t="str" cm="1">
        <f t="array" ref="J769">_xlfn.XLOOKUP(D769, products!$A$1:A816, products!$C$1:C816, 0)</f>
        <v>L</v>
      </c>
      <c r="K769" s="4" cm="1">
        <f t="array" ref="K769">_xlfn.XLOOKUP(D769, products!$A$1:A816, products!$D$1:D816, 0)</f>
        <v>2.5</v>
      </c>
      <c r="L769" s="4" cm="1">
        <f t="array" ref="L769">_xlfn.XLOOKUP(D769, products!$A$1:A816, products!$E$1:E816)</f>
        <v>29.784999999999997</v>
      </c>
      <c r="M769">
        <f t="shared" si="22"/>
        <v>89.35499999999999</v>
      </c>
      <c r="N769" t="str">
        <f t="shared" si="23"/>
        <v>Arabica</v>
      </c>
      <c r="O769" t="str" cm="1">
        <f t="array" ref="O769">_xlfn.IFS(J769="M", "Medium", J769="L", "Light", J769="D", "Dark")</f>
        <v>Light</v>
      </c>
      <c r="P769" t="str">
        <f>_xlfn.XLOOKUP(Orders[[#This Row],[Customer ID]], customers!$A$2:$A$1001, customers!$I$2:$I$1001, 0)</f>
        <v>No</v>
      </c>
    </row>
    <row r="770" spans="1:16" x14ac:dyDescent="0.35">
      <c r="A770" s="2" t="s">
        <v>4831</v>
      </c>
      <c r="B770" s="3">
        <v>44562</v>
      </c>
      <c r="C770" s="2" t="s">
        <v>4759</v>
      </c>
      <c r="D770" t="s">
        <v>6179</v>
      </c>
      <c r="E770" s="2">
        <v>2</v>
      </c>
      <c r="F770" s="2" t="str" cm="1">
        <f t="array" ref="F770">_xlfn.XLOOKUP(C770, customers!$A$1:A1769, customers!$B$1:B1769, 0)</f>
        <v>Foster Constance</v>
      </c>
      <c r="G770" s="2" t="str">
        <f>IF(_xlfn.XLOOKUP(C770, customers!A769:A1769, customers!C769:C1769, 0)=0, "", _xlfn.XLOOKUP(C770, customers!A769:A1769, customers!C769:C1769, 0))</f>
        <v/>
      </c>
      <c r="H770" s="2" t="str" cm="1">
        <f t="array" ref="H770">_xlfn.XLOOKUP(C770, customers!$A$1:A1769, customers!$G$1:G1769,, 0)</f>
        <v>United States</v>
      </c>
      <c r="I770" t="str" cm="1">
        <f t="array" ref="I770">_xlfn.XLOOKUP(orders!D770, products!$A$1:A817, products!$B$1:B817, 0)</f>
        <v>Rob</v>
      </c>
      <c r="J770" t="str" cm="1">
        <f t="array" ref="J770">_xlfn.XLOOKUP(D770, products!$A$1:A817, products!$C$1:C817, 0)</f>
        <v>L</v>
      </c>
      <c r="K770" s="4" cm="1">
        <f t="array" ref="K770">_xlfn.XLOOKUP(D770, products!$A$1:A817, products!$D$1:D817, 0)</f>
        <v>1</v>
      </c>
      <c r="L770" s="4" cm="1">
        <f t="array" ref="L770">_xlfn.XLOOKUP(D770, products!$A$1:A817, products!$E$1:E817)</f>
        <v>11.95</v>
      </c>
      <c r="M770">
        <f t="shared" si="22"/>
        <v>23.9</v>
      </c>
      <c r="N770" t="str">
        <f t="shared" si="23"/>
        <v>Robusta</v>
      </c>
      <c r="O770" t="str" cm="1">
        <f t="array" ref="O770">_xlfn.IFS(J770="M", "Medium", J770="L", "Light", J770="D", "Dark")</f>
        <v>Light</v>
      </c>
      <c r="P770" t="str">
        <f>_xlfn.XLOOKUP(Orders[[#This Row],[Customer ID]], customers!$A$2:$A$1001, customers!$I$2:$I$1001, 0)</f>
        <v>No</v>
      </c>
    </row>
    <row r="771" spans="1:16" x14ac:dyDescent="0.35">
      <c r="A771" s="2" t="s">
        <v>4836</v>
      </c>
      <c r="B771" s="3">
        <v>43912</v>
      </c>
      <c r="C771" s="2" t="s">
        <v>4837</v>
      </c>
      <c r="D771" t="s">
        <v>6151</v>
      </c>
      <c r="E771" s="2">
        <v>6</v>
      </c>
      <c r="F771" s="2" t="str" cm="1">
        <f t="array" ref="F771">_xlfn.XLOOKUP(C771, customers!$A$1:A1770, customers!$B$1:B1770, 0)</f>
        <v>Dalia Eburah</v>
      </c>
      <c r="G771" s="2" t="str">
        <f>IF(_xlfn.XLOOKUP(C771, customers!A770:A1770, customers!C770:C1770, 0)=0, "", _xlfn.XLOOKUP(C771, customers!A770:A1770, customers!C770:C1770, 0))</f>
        <v>deburahld@google.co.jp</v>
      </c>
      <c r="H771" s="2" t="str" cm="1">
        <f t="array" ref="H771">_xlfn.XLOOKUP(C771, customers!$A$1:A1770, customers!$G$1:G1770,, 0)</f>
        <v>United Kingdom</v>
      </c>
      <c r="I771" t="str" cm="1">
        <f t="array" ref="I771">_xlfn.XLOOKUP(orders!D771, products!$A$1:A818, products!$B$1:B818, 0)</f>
        <v>Rob</v>
      </c>
      <c r="J771" t="str" cm="1">
        <f t="array" ref="J771">_xlfn.XLOOKUP(D771, products!$A$1:A818, products!$C$1:C818, 0)</f>
        <v>M</v>
      </c>
      <c r="K771" s="4" cm="1">
        <f t="array" ref="K771">_xlfn.XLOOKUP(D771, products!$A$1:A818, products!$D$1:D818, 0)</f>
        <v>2.5</v>
      </c>
      <c r="L771" s="4" cm="1">
        <f t="array" ref="L771">_xlfn.XLOOKUP(D771, products!$A$1:A818, products!$E$1:E818)</f>
        <v>22.884999999999998</v>
      </c>
      <c r="M771">
        <f t="shared" ref="M771:M834" si="24">L771*E771</f>
        <v>137.31</v>
      </c>
      <c r="N771" t="str">
        <f t="shared" ref="N771:N834" si="25">IF(I771="Rob", "Robusta", IF(I771="Exc", "Excelsa", IF(I771="Ara", "Arabica", IF(I771="Lib", "Liberica", ""))))</f>
        <v>Robusta</v>
      </c>
      <c r="O771" t="str" cm="1">
        <f t="array" ref="O771">_xlfn.IFS(J771="M", "Medium", J771="L", "Light", J771="D", "Dark")</f>
        <v>Medium</v>
      </c>
      <c r="P771" t="str">
        <f>_xlfn.XLOOKUP(Orders[[#This Row],[Customer ID]], customers!$A$2:$A$1001, customers!$I$2:$I$1001, 0)</f>
        <v>No</v>
      </c>
    </row>
    <row r="772" spans="1:16" x14ac:dyDescent="0.35">
      <c r="A772" s="2" t="s">
        <v>4842</v>
      </c>
      <c r="B772" s="3">
        <v>44092</v>
      </c>
      <c r="C772" s="2" t="s">
        <v>4843</v>
      </c>
      <c r="D772" t="s">
        <v>6147</v>
      </c>
      <c r="E772" s="2">
        <v>1</v>
      </c>
      <c r="F772" s="2" t="str" cm="1">
        <f t="array" ref="F772">_xlfn.XLOOKUP(C772, customers!$A$1:A1771, customers!$B$1:B1771, 0)</f>
        <v>Martie Brimilcombe</v>
      </c>
      <c r="G772" s="2" t="str">
        <f>IF(_xlfn.XLOOKUP(C772, customers!A771:A1771, customers!C771:C1771, 0)=0, "", _xlfn.XLOOKUP(C772, customers!A771:A1771, customers!C771:C1771, 0))</f>
        <v>mbrimilcombele@cnn.com</v>
      </c>
      <c r="H772" s="2" t="str" cm="1">
        <f t="array" ref="H772">_xlfn.XLOOKUP(C772, customers!$A$1:A1771, customers!$G$1:G1771,, 0)</f>
        <v>United States</v>
      </c>
      <c r="I772" t="str" cm="1">
        <f t="array" ref="I772">_xlfn.XLOOKUP(orders!D772, products!$A$1:A819, products!$B$1:B819, 0)</f>
        <v>Ara</v>
      </c>
      <c r="J772" t="str" cm="1">
        <f t="array" ref="J772">_xlfn.XLOOKUP(D772, products!$A$1:A819, products!$C$1:C819, 0)</f>
        <v>D</v>
      </c>
      <c r="K772" s="4" cm="1">
        <f t="array" ref="K772">_xlfn.XLOOKUP(D772, products!$A$1:A819, products!$D$1:D819, 0)</f>
        <v>1</v>
      </c>
      <c r="L772" s="4" cm="1">
        <f t="array" ref="L772">_xlfn.XLOOKUP(D772, products!$A$1:A819, products!$E$1:E819)</f>
        <v>9.9499999999999993</v>
      </c>
      <c r="M772">
        <f t="shared" si="24"/>
        <v>9.9499999999999993</v>
      </c>
      <c r="N772" t="str">
        <f t="shared" si="25"/>
        <v>Arabica</v>
      </c>
      <c r="O772" t="str" cm="1">
        <f t="array" ref="O772">_xlfn.IFS(J772="M", "Medium", J772="L", "Light", J772="D", "Dark")</f>
        <v>Dark</v>
      </c>
      <c r="P772" t="str">
        <f>_xlfn.XLOOKUP(Orders[[#This Row],[Customer ID]], customers!$A$2:$A$1001, customers!$I$2:$I$1001, 0)</f>
        <v>No</v>
      </c>
    </row>
    <row r="773" spans="1:16" x14ac:dyDescent="0.35">
      <c r="A773" s="2" t="s">
        <v>4847</v>
      </c>
      <c r="B773" s="3">
        <v>43468</v>
      </c>
      <c r="C773" s="2" t="s">
        <v>4848</v>
      </c>
      <c r="D773" t="s">
        <v>6173</v>
      </c>
      <c r="E773" s="2">
        <v>3</v>
      </c>
      <c r="F773" s="2" t="str" cm="1">
        <f t="array" ref="F773">_xlfn.XLOOKUP(C773, customers!$A$1:A1772, customers!$B$1:B1772, 0)</f>
        <v>Suzanna Bollam</v>
      </c>
      <c r="G773" s="2" t="str">
        <f>IF(_xlfn.XLOOKUP(C773, customers!A772:A1772, customers!C772:C1772, 0)=0, "", _xlfn.XLOOKUP(C773, customers!A772:A1772, customers!C772:C1772, 0))</f>
        <v>sbollamlf@list-manage.com</v>
      </c>
      <c r="H773" s="2" t="str" cm="1">
        <f t="array" ref="H773">_xlfn.XLOOKUP(C773, customers!$A$1:A1772, customers!$G$1:G1772,, 0)</f>
        <v>United States</v>
      </c>
      <c r="I773" t="str" cm="1">
        <f t="array" ref="I773">_xlfn.XLOOKUP(orders!D773, products!$A$1:A820, products!$B$1:B820, 0)</f>
        <v>Rob</v>
      </c>
      <c r="J773" t="str" cm="1">
        <f t="array" ref="J773">_xlfn.XLOOKUP(D773, products!$A$1:A820, products!$C$1:C820, 0)</f>
        <v>L</v>
      </c>
      <c r="K773" s="4" cm="1">
        <f t="array" ref="K773">_xlfn.XLOOKUP(D773, products!$A$1:A820, products!$D$1:D820, 0)</f>
        <v>0.5</v>
      </c>
      <c r="L773" s="4" cm="1">
        <f t="array" ref="L773">_xlfn.XLOOKUP(D773, products!$A$1:A820, products!$E$1:E820)</f>
        <v>7.169999999999999</v>
      </c>
      <c r="M773">
        <f t="shared" si="24"/>
        <v>21.509999999999998</v>
      </c>
      <c r="N773" t="str">
        <f t="shared" si="25"/>
        <v>Robusta</v>
      </c>
      <c r="O773" t="str" cm="1">
        <f t="array" ref="O773">_xlfn.IFS(J773="M", "Medium", J773="L", "Light", J773="D", "Dark")</f>
        <v>Light</v>
      </c>
      <c r="P773" t="str">
        <f>_xlfn.XLOOKUP(Orders[[#This Row],[Customer ID]], customers!$A$2:$A$1001, customers!$I$2:$I$1001, 0)</f>
        <v>No</v>
      </c>
    </row>
    <row r="774" spans="1:16" x14ac:dyDescent="0.35">
      <c r="A774" s="2" t="s">
        <v>4853</v>
      </c>
      <c r="B774" s="3">
        <v>44468</v>
      </c>
      <c r="C774" s="2" t="s">
        <v>4854</v>
      </c>
      <c r="D774" t="s">
        <v>6141</v>
      </c>
      <c r="E774" s="2">
        <v>6</v>
      </c>
      <c r="F774" s="2" t="str" cm="1">
        <f t="array" ref="F774">_xlfn.XLOOKUP(C774, customers!$A$1:A1773, customers!$B$1:B1773, 0)</f>
        <v>Mellisa Mebes</v>
      </c>
      <c r="G774" s="2" t="str">
        <f>IF(_xlfn.XLOOKUP(C774, customers!A773:A1773, customers!C773:C1773, 0)=0, "", _xlfn.XLOOKUP(C774, customers!A773:A1773, customers!C773:C1773, 0))</f>
        <v/>
      </c>
      <c r="H774" s="2" t="str" cm="1">
        <f t="array" ref="H774">_xlfn.XLOOKUP(C774, customers!$A$1:A1773, customers!$G$1:G1773,, 0)</f>
        <v>United States</v>
      </c>
      <c r="I774" t="str" cm="1">
        <f t="array" ref="I774">_xlfn.XLOOKUP(orders!D774, products!$A$1:A821, products!$B$1:B821, 0)</f>
        <v>Exc</v>
      </c>
      <c r="J774" t="str" cm="1">
        <f t="array" ref="J774">_xlfn.XLOOKUP(D774, products!$A$1:A821, products!$C$1:C821, 0)</f>
        <v>M</v>
      </c>
      <c r="K774" s="4" cm="1">
        <f t="array" ref="K774">_xlfn.XLOOKUP(D774, products!$A$1:A821, products!$D$1:D821, 0)</f>
        <v>1</v>
      </c>
      <c r="L774" s="4" cm="1">
        <f t="array" ref="L774">_xlfn.XLOOKUP(D774, products!$A$1:A821, products!$E$1:E821)</f>
        <v>13.75</v>
      </c>
      <c r="M774">
        <f t="shared" si="24"/>
        <v>82.5</v>
      </c>
      <c r="N774" t="str">
        <f t="shared" si="25"/>
        <v>Excelsa</v>
      </c>
      <c r="O774" t="str" cm="1">
        <f t="array" ref="O774">_xlfn.IFS(J774="M", "Medium", J774="L", "Light", J774="D", "Dark")</f>
        <v>Medium</v>
      </c>
      <c r="P774" t="str">
        <f>_xlfn.XLOOKUP(Orders[[#This Row],[Customer ID]], customers!$A$2:$A$1001, customers!$I$2:$I$1001, 0)</f>
        <v>No</v>
      </c>
    </row>
    <row r="775" spans="1:16" x14ac:dyDescent="0.35">
      <c r="A775" s="2" t="s">
        <v>4858</v>
      </c>
      <c r="B775" s="3">
        <v>44488</v>
      </c>
      <c r="C775" s="2" t="s">
        <v>4859</v>
      </c>
      <c r="D775" t="s">
        <v>6159</v>
      </c>
      <c r="E775" s="2">
        <v>2</v>
      </c>
      <c r="F775" s="2" t="str" cm="1">
        <f t="array" ref="F775">_xlfn.XLOOKUP(C775, customers!$A$1:A1774, customers!$B$1:B1774, 0)</f>
        <v>Alva Filipczak</v>
      </c>
      <c r="G775" s="2" t="str">
        <f>IF(_xlfn.XLOOKUP(C775, customers!A774:A1774, customers!C774:C1774, 0)=0, "", _xlfn.XLOOKUP(C775, customers!A774:A1774, customers!C774:C1774, 0))</f>
        <v>afilipczaklh@ning.com</v>
      </c>
      <c r="H775" s="2" t="str" cm="1">
        <f t="array" ref="H775">_xlfn.XLOOKUP(C775, customers!$A$1:A1774, customers!$G$1:G1774,, 0)</f>
        <v>Ireland</v>
      </c>
      <c r="I775" t="str" cm="1">
        <f t="array" ref="I775">_xlfn.XLOOKUP(orders!D775, products!$A$1:A822, products!$B$1:B822, 0)</f>
        <v>Lib</v>
      </c>
      <c r="J775" t="str" cm="1">
        <f t="array" ref="J775">_xlfn.XLOOKUP(D775, products!$A$1:A822, products!$C$1:C822, 0)</f>
        <v>M</v>
      </c>
      <c r="K775" s="4" cm="1">
        <f t="array" ref="K775">_xlfn.XLOOKUP(D775, products!$A$1:A822, products!$D$1:D822, 0)</f>
        <v>0.2</v>
      </c>
      <c r="L775" s="4" cm="1">
        <f t="array" ref="L775">_xlfn.XLOOKUP(D775, products!$A$1:A822, products!$E$1:E822)</f>
        <v>4.3650000000000002</v>
      </c>
      <c r="M775">
        <f t="shared" si="24"/>
        <v>8.73</v>
      </c>
      <c r="N775" t="str">
        <f t="shared" si="25"/>
        <v>Liberica</v>
      </c>
      <c r="O775" t="str" cm="1">
        <f t="array" ref="O775">_xlfn.IFS(J775="M", "Medium", J775="L", "Light", J775="D", "Dark")</f>
        <v>Medium</v>
      </c>
      <c r="P775" t="str">
        <f>_xlfn.XLOOKUP(Orders[[#This Row],[Customer ID]], customers!$A$2:$A$1001, customers!$I$2:$I$1001, 0)</f>
        <v>No</v>
      </c>
    </row>
    <row r="776" spans="1:16" x14ac:dyDescent="0.35">
      <c r="A776" s="2" t="s">
        <v>4864</v>
      </c>
      <c r="B776" s="3">
        <v>44756</v>
      </c>
      <c r="C776" s="2" t="s">
        <v>4865</v>
      </c>
      <c r="D776" t="s">
        <v>6138</v>
      </c>
      <c r="E776" s="2">
        <v>2</v>
      </c>
      <c r="F776" s="2" t="str" cm="1">
        <f t="array" ref="F776">_xlfn.XLOOKUP(C776, customers!$A$1:A1775, customers!$B$1:B1775, 0)</f>
        <v>Dorette Hinemoor</v>
      </c>
      <c r="G776" s="2" t="str">
        <f>IF(_xlfn.XLOOKUP(C776, customers!A775:A1775, customers!C775:C1775, 0)=0, "", _xlfn.XLOOKUP(C776, customers!A775:A1775, customers!C775:C1775, 0))</f>
        <v/>
      </c>
      <c r="H776" s="2" t="str" cm="1">
        <f t="array" ref="H776">_xlfn.XLOOKUP(C776, customers!$A$1:A1775, customers!$G$1:G1775,, 0)</f>
        <v>United States</v>
      </c>
      <c r="I776" t="str" cm="1">
        <f t="array" ref="I776">_xlfn.XLOOKUP(orders!D776, products!$A$1:A823, products!$B$1:B823, 0)</f>
        <v>Rob</v>
      </c>
      <c r="J776" t="str" cm="1">
        <f t="array" ref="J776">_xlfn.XLOOKUP(D776, products!$A$1:A823, products!$C$1:C823, 0)</f>
        <v>M</v>
      </c>
      <c r="K776" s="4" cm="1">
        <f t="array" ref="K776">_xlfn.XLOOKUP(D776, products!$A$1:A823, products!$D$1:D823, 0)</f>
        <v>1</v>
      </c>
      <c r="L776" s="4" cm="1">
        <f t="array" ref="L776">_xlfn.XLOOKUP(D776, products!$A$1:A823, products!$E$1:E823)</f>
        <v>9.9499999999999993</v>
      </c>
      <c r="M776">
        <f t="shared" si="24"/>
        <v>19.899999999999999</v>
      </c>
      <c r="N776" t="str">
        <f t="shared" si="25"/>
        <v>Robusta</v>
      </c>
      <c r="O776" t="str" cm="1">
        <f t="array" ref="O776">_xlfn.IFS(J776="M", "Medium", J776="L", "Light", J776="D", "Dark")</f>
        <v>Medium</v>
      </c>
      <c r="P776" t="str">
        <f>_xlfn.XLOOKUP(Orders[[#This Row],[Customer ID]], customers!$A$2:$A$1001, customers!$I$2:$I$1001, 0)</f>
        <v>Yes</v>
      </c>
    </row>
    <row r="777" spans="1:16" x14ac:dyDescent="0.35">
      <c r="A777" s="2" t="s">
        <v>4869</v>
      </c>
      <c r="B777" s="3">
        <v>44396</v>
      </c>
      <c r="C777" s="2" t="s">
        <v>4870</v>
      </c>
      <c r="D777" t="s">
        <v>6176</v>
      </c>
      <c r="E777" s="2">
        <v>2</v>
      </c>
      <c r="F777" s="2" t="str" cm="1">
        <f t="array" ref="F777">_xlfn.XLOOKUP(C777, customers!$A$1:A1776, customers!$B$1:B1776, 0)</f>
        <v>Rhetta Elnaugh</v>
      </c>
      <c r="G777" s="2" t="str">
        <f>IF(_xlfn.XLOOKUP(C777, customers!A776:A1776, customers!C776:C1776, 0)=0, "", _xlfn.XLOOKUP(C777, customers!A776:A1776, customers!C776:C1776, 0))</f>
        <v>relnaughlj@comsenz.com</v>
      </c>
      <c r="H777" s="2" t="str" cm="1">
        <f t="array" ref="H777">_xlfn.XLOOKUP(C777, customers!$A$1:A1776, customers!$G$1:G1776,, 0)</f>
        <v>United States</v>
      </c>
      <c r="I777" t="str" cm="1">
        <f t="array" ref="I777">_xlfn.XLOOKUP(orders!D777, products!$A$1:A824, products!$B$1:B824, 0)</f>
        <v>Exc</v>
      </c>
      <c r="J777" t="str" cm="1">
        <f t="array" ref="J777">_xlfn.XLOOKUP(D777, products!$A$1:A824, products!$C$1:C824, 0)</f>
        <v>L</v>
      </c>
      <c r="K777" s="4" cm="1">
        <f t="array" ref="K777">_xlfn.XLOOKUP(D777, products!$A$1:A824, products!$D$1:D824, 0)</f>
        <v>0.5</v>
      </c>
      <c r="L777" s="4" cm="1">
        <f t="array" ref="L777">_xlfn.XLOOKUP(D777, products!$A$1:A824, products!$E$1:E824)</f>
        <v>8.91</v>
      </c>
      <c r="M777">
        <f t="shared" si="24"/>
        <v>17.82</v>
      </c>
      <c r="N777" t="str">
        <f t="shared" si="25"/>
        <v>Excelsa</v>
      </c>
      <c r="O777" t="str" cm="1">
        <f t="array" ref="O777">_xlfn.IFS(J777="M", "Medium", J777="L", "Light", J777="D", "Dark")</f>
        <v>Light</v>
      </c>
      <c r="P777" t="str">
        <f>_xlfn.XLOOKUP(Orders[[#This Row],[Customer ID]], customers!$A$2:$A$1001, customers!$I$2:$I$1001, 0)</f>
        <v>Yes</v>
      </c>
    </row>
    <row r="778" spans="1:16" x14ac:dyDescent="0.35">
      <c r="A778" s="2" t="s">
        <v>4875</v>
      </c>
      <c r="B778" s="3">
        <v>44540</v>
      </c>
      <c r="C778" s="2" t="s">
        <v>4876</v>
      </c>
      <c r="D778" t="s">
        <v>6157</v>
      </c>
      <c r="E778" s="2">
        <v>3</v>
      </c>
      <c r="F778" s="2" t="str" cm="1">
        <f t="array" ref="F778">_xlfn.XLOOKUP(C778, customers!$A$1:A1777, customers!$B$1:B1777, 0)</f>
        <v>Jule Deehan</v>
      </c>
      <c r="G778" s="2" t="str">
        <f>IF(_xlfn.XLOOKUP(C778, customers!A777:A1777, customers!C777:C1777, 0)=0, "", _xlfn.XLOOKUP(C778, customers!A777:A1777, customers!C777:C1777, 0))</f>
        <v>jdeehanlk@about.me</v>
      </c>
      <c r="H778" s="2" t="str" cm="1">
        <f t="array" ref="H778">_xlfn.XLOOKUP(C778, customers!$A$1:A1777, customers!$G$1:G1777,, 0)</f>
        <v>United States</v>
      </c>
      <c r="I778" t="str" cm="1">
        <f t="array" ref="I778">_xlfn.XLOOKUP(orders!D778, products!$A$1:A825, products!$B$1:B825, 0)</f>
        <v>Ara</v>
      </c>
      <c r="J778" t="str" cm="1">
        <f t="array" ref="J778">_xlfn.XLOOKUP(D778, products!$A$1:A825, products!$C$1:C825, 0)</f>
        <v>M</v>
      </c>
      <c r="K778" s="4" cm="1">
        <f t="array" ref="K778">_xlfn.XLOOKUP(D778, products!$A$1:A825, products!$D$1:D825, 0)</f>
        <v>0.5</v>
      </c>
      <c r="L778" s="4" cm="1">
        <f t="array" ref="L778">_xlfn.XLOOKUP(D778, products!$A$1:A825, products!$E$1:E825)</f>
        <v>6.75</v>
      </c>
      <c r="M778">
        <f t="shared" si="24"/>
        <v>20.25</v>
      </c>
      <c r="N778" t="str">
        <f t="shared" si="25"/>
        <v>Arabica</v>
      </c>
      <c r="O778" t="str" cm="1">
        <f t="array" ref="O778">_xlfn.IFS(J778="M", "Medium", J778="L", "Light", J778="D", "Dark")</f>
        <v>Medium</v>
      </c>
      <c r="P778" t="str">
        <f>_xlfn.XLOOKUP(Orders[[#This Row],[Customer ID]], customers!$A$2:$A$1001, customers!$I$2:$I$1001, 0)</f>
        <v>No</v>
      </c>
    </row>
    <row r="779" spans="1:16" x14ac:dyDescent="0.35">
      <c r="A779" s="2" t="s">
        <v>4881</v>
      </c>
      <c r="B779" s="3">
        <v>43541</v>
      </c>
      <c r="C779" s="2" t="s">
        <v>4882</v>
      </c>
      <c r="D779" t="s">
        <v>6182</v>
      </c>
      <c r="E779" s="2">
        <v>2</v>
      </c>
      <c r="F779" s="2" t="str" cm="1">
        <f t="array" ref="F779">_xlfn.XLOOKUP(C779, customers!$A$1:A1778, customers!$B$1:B1778, 0)</f>
        <v>Janella Eden</v>
      </c>
      <c r="G779" s="2" t="str">
        <f>IF(_xlfn.XLOOKUP(C779, customers!A778:A1778, customers!C778:C1778, 0)=0, "", _xlfn.XLOOKUP(C779, customers!A778:A1778, customers!C778:C1778, 0))</f>
        <v>jedenll@e-recht24.de</v>
      </c>
      <c r="H779" s="2" t="str" cm="1">
        <f t="array" ref="H779">_xlfn.XLOOKUP(C779, customers!$A$1:A1778, customers!$G$1:G1778,, 0)</f>
        <v>United States</v>
      </c>
      <c r="I779" t="str" cm="1">
        <f t="array" ref="I779">_xlfn.XLOOKUP(orders!D779, products!$A$1:A826, products!$B$1:B826, 0)</f>
        <v>Ara</v>
      </c>
      <c r="J779" t="str" cm="1">
        <f t="array" ref="J779">_xlfn.XLOOKUP(D779, products!$A$1:A826, products!$C$1:C826, 0)</f>
        <v>L</v>
      </c>
      <c r="K779" s="4" cm="1">
        <f t="array" ref="K779">_xlfn.XLOOKUP(D779, products!$A$1:A826, products!$D$1:D826, 0)</f>
        <v>2.5</v>
      </c>
      <c r="L779" s="4" cm="1">
        <f t="array" ref="L779">_xlfn.XLOOKUP(D779, products!$A$1:A826, products!$E$1:E826)</f>
        <v>29.784999999999997</v>
      </c>
      <c r="M779">
        <f t="shared" si="24"/>
        <v>59.569999999999993</v>
      </c>
      <c r="N779" t="str">
        <f t="shared" si="25"/>
        <v>Arabica</v>
      </c>
      <c r="O779" t="str" cm="1">
        <f t="array" ref="O779">_xlfn.IFS(J779="M", "Medium", J779="L", "Light", J779="D", "Dark")</f>
        <v>Light</v>
      </c>
      <c r="P779" t="str">
        <f>_xlfn.XLOOKUP(Orders[[#This Row],[Customer ID]], customers!$A$2:$A$1001, customers!$I$2:$I$1001, 0)</f>
        <v>No</v>
      </c>
    </row>
    <row r="780" spans="1:16" x14ac:dyDescent="0.35">
      <c r="A780" s="2" t="s">
        <v>4886</v>
      </c>
      <c r="B780" s="3">
        <v>43889</v>
      </c>
      <c r="C780" s="2" t="s">
        <v>4933</v>
      </c>
      <c r="D780" t="s">
        <v>6161</v>
      </c>
      <c r="E780" s="2">
        <v>2</v>
      </c>
      <c r="F780" s="2" t="str" cm="1">
        <f t="array" ref="F780">_xlfn.XLOOKUP(C780, customers!$A$1:A1779, customers!$B$1:B1779, 0)</f>
        <v>Cam Jewster</v>
      </c>
      <c r="G780" s="2" t="str">
        <f>IF(_xlfn.XLOOKUP(C780, customers!A779:A1779, customers!C779:C1779, 0)=0, "", _xlfn.XLOOKUP(C780, customers!A779:A1779, customers!C779:C1779, 0))</f>
        <v>cjewsterlu@moonfruit.com</v>
      </c>
      <c r="H780" s="2" t="str" cm="1">
        <f t="array" ref="H780">_xlfn.XLOOKUP(C780, customers!$A$1:A1779, customers!$G$1:G1779,, 0)</f>
        <v>United States</v>
      </c>
      <c r="I780" t="str" cm="1">
        <f t="array" ref="I780">_xlfn.XLOOKUP(orders!D780, products!$A$1:A827, products!$B$1:B827, 0)</f>
        <v>Lib</v>
      </c>
      <c r="J780" t="str" cm="1">
        <f t="array" ref="J780">_xlfn.XLOOKUP(D780, products!$A$1:A827, products!$C$1:C827, 0)</f>
        <v>L</v>
      </c>
      <c r="K780" s="4" cm="1">
        <f t="array" ref="K780">_xlfn.XLOOKUP(D780, products!$A$1:A827, products!$D$1:D827, 0)</f>
        <v>0.5</v>
      </c>
      <c r="L780" s="4" cm="1">
        <f t="array" ref="L780">_xlfn.XLOOKUP(D780, products!$A$1:A827, products!$E$1:E827)</f>
        <v>9.51</v>
      </c>
      <c r="M780">
        <f t="shared" si="24"/>
        <v>19.02</v>
      </c>
      <c r="N780" t="str">
        <f t="shared" si="25"/>
        <v>Liberica</v>
      </c>
      <c r="O780" t="str" cm="1">
        <f t="array" ref="O780">_xlfn.IFS(J780="M", "Medium", J780="L", "Light", J780="D", "Dark")</f>
        <v>Light</v>
      </c>
      <c r="P780" t="str">
        <f>_xlfn.XLOOKUP(Orders[[#This Row],[Customer ID]], customers!$A$2:$A$1001, customers!$I$2:$I$1001, 0)</f>
        <v>Yes</v>
      </c>
    </row>
    <row r="781" spans="1:16" x14ac:dyDescent="0.35">
      <c r="A781" s="2" t="s">
        <v>4892</v>
      </c>
      <c r="B781" s="3">
        <v>43985</v>
      </c>
      <c r="C781" s="2" t="s">
        <v>4893</v>
      </c>
      <c r="D781" t="s">
        <v>6143</v>
      </c>
      <c r="E781" s="2">
        <v>6</v>
      </c>
      <c r="F781" s="2" t="str" cm="1">
        <f t="array" ref="F781">_xlfn.XLOOKUP(C781, customers!$A$1:A1780, customers!$B$1:B1780, 0)</f>
        <v>Ugo Southerden</v>
      </c>
      <c r="G781" s="2" t="str">
        <f>IF(_xlfn.XLOOKUP(C781, customers!A780:A1780, customers!C780:C1780, 0)=0, "", _xlfn.XLOOKUP(C781, customers!A780:A1780, customers!C780:C1780, 0))</f>
        <v>usoutherdenln@hao123.com</v>
      </c>
      <c r="H781" s="2" t="str" cm="1">
        <f t="array" ref="H781">_xlfn.XLOOKUP(C781, customers!$A$1:A1780, customers!$G$1:G1780,, 0)</f>
        <v>United States</v>
      </c>
      <c r="I781" t="str" cm="1">
        <f t="array" ref="I781">_xlfn.XLOOKUP(orders!D781, products!$A$1:A828, products!$B$1:B828, 0)</f>
        <v>Lib</v>
      </c>
      <c r="J781" t="str" cm="1">
        <f t="array" ref="J781">_xlfn.XLOOKUP(D781, products!$A$1:A828, products!$C$1:C828, 0)</f>
        <v>D</v>
      </c>
      <c r="K781" s="4" cm="1">
        <f t="array" ref="K781">_xlfn.XLOOKUP(D781, products!$A$1:A828, products!$D$1:D828, 0)</f>
        <v>1</v>
      </c>
      <c r="L781" s="4" cm="1">
        <f t="array" ref="L781">_xlfn.XLOOKUP(D781, products!$A$1:A828, products!$E$1:E828)</f>
        <v>12.95</v>
      </c>
      <c r="M781">
        <f t="shared" si="24"/>
        <v>77.699999999999989</v>
      </c>
      <c r="N781" t="str">
        <f t="shared" si="25"/>
        <v>Liberica</v>
      </c>
      <c r="O781" t="str" cm="1">
        <f t="array" ref="O781">_xlfn.IFS(J781="M", "Medium", J781="L", "Light", J781="D", "Dark")</f>
        <v>Dark</v>
      </c>
      <c r="P781" t="str">
        <f>_xlfn.XLOOKUP(Orders[[#This Row],[Customer ID]], customers!$A$2:$A$1001, customers!$I$2:$I$1001, 0)</f>
        <v>Yes</v>
      </c>
    </row>
    <row r="782" spans="1:16" x14ac:dyDescent="0.35">
      <c r="A782" s="2" t="s">
        <v>4898</v>
      </c>
      <c r="B782" s="3">
        <v>43883</v>
      </c>
      <c r="C782" s="2" t="s">
        <v>4899</v>
      </c>
      <c r="D782" t="s">
        <v>6141</v>
      </c>
      <c r="E782" s="2">
        <v>3</v>
      </c>
      <c r="F782" s="2" t="str" cm="1">
        <f t="array" ref="F782">_xlfn.XLOOKUP(C782, customers!$A$1:A1781, customers!$B$1:B1781, 0)</f>
        <v>Verne Dunkerley</v>
      </c>
      <c r="G782" s="2" t="str">
        <f>IF(_xlfn.XLOOKUP(C782, customers!A781:A1781, customers!C781:C1781, 0)=0, "", _xlfn.XLOOKUP(C782, customers!A781:A1781, customers!C781:C1781, 0))</f>
        <v/>
      </c>
      <c r="H782" s="2" t="str" cm="1">
        <f t="array" ref="H782">_xlfn.XLOOKUP(C782, customers!$A$1:A1781, customers!$G$1:G1781,, 0)</f>
        <v>United States</v>
      </c>
      <c r="I782" t="str" cm="1">
        <f t="array" ref="I782">_xlfn.XLOOKUP(orders!D782, products!$A$1:A829, products!$B$1:B829, 0)</f>
        <v>Exc</v>
      </c>
      <c r="J782" t="str" cm="1">
        <f t="array" ref="J782">_xlfn.XLOOKUP(D782, products!$A$1:A829, products!$C$1:C829, 0)</f>
        <v>M</v>
      </c>
      <c r="K782" s="4" cm="1">
        <f t="array" ref="K782">_xlfn.XLOOKUP(D782, products!$A$1:A829, products!$D$1:D829, 0)</f>
        <v>1</v>
      </c>
      <c r="L782" s="4" cm="1">
        <f t="array" ref="L782">_xlfn.XLOOKUP(D782, products!$A$1:A829, products!$E$1:E829)</f>
        <v>13.75</v>
      </c>
      <c r="M782">
        <f t="shared" si="24"/>
        <v>41.25</v>
      </c>
      <c r="N782" t="str">
        <f t="shared" si="25"/>
        <v>Excelsa</v>
      </c>
      <c r="O782" t="str" cm="1">
        <f t="array" ref="O782">_xlfn.IFS(J782="M", "Medium", J782="L", "Light", J782="D", "Dark")</f>
        <v>Medium</v>
      </c>
      <c r="P782" t="str">
        <f>_xlfn.XLOOKUP(Orders[[#This Row],[Customer ID]], customers!$A$2:$A$1001, customers!$I$2:$I$1001, 0)</f>
        <v>No</v>
      </c>
    </row>
    <row r="783" spans="1:16" x14ac:dyDescent="0.35">
      <c r="A783" s="2" t="s">
        <v>4903</v>
      </c>
      <c r="B783" s="3">
        <v>43778</v>
      </c>
      <c r="C783" s="2" t="s">
        <v>4904</v>
      </c>
      <c r="D783" t="s">
        <v>6164</v>
      </c>
      <c r="E783" s="2">
        <v>4</v>
      </c>
      <c r="F783" s="2" t="str" cm="1">
        <f t="array" ref="F783">_xlfn.XLOOKUP(C783, customers!$A$1:A1782, customers!$B$1:B1782, 0)</f>
        <v>Lacee Burtenshaw</v>
      </c>
      <c r="G783" s="2" t="str">
        <f>IF(_xlfn.XLOOKUP(C783, customers!A782:A1782, customers!C782:C1782, 0)=0, "", _xlfn.XLOOKUP(C783, customers!A782:A1782, customers!C782:C1782, 0))</f>
        <v>lburtenshawlp@shinystat.com</v>
      </c>
      <c r="H783" s="2" t="str" cm="1">
        <f t="array" ref="H783">_xlfn.XLOOKUP(C783, customers!$A$1:A1782, customers!$G$1:G1782,, 0)</f>
        <v>United States</v>
      </c>
      <c r="I783" t="str" cm="1">
        <f t="array" ref="I783">_xlfn.XLOOKUP(orders!D783, products!$A$1:A830, products!$B$1:B830, 0)</f>
        <v>Lib</v>
      </c>
      <c r="J783" t="str" cm="1">
        <f t="array" ref="J783">_xlfn.XLOOKUP(D783, products!$A$1:A830, products!$C$1:C830, 0)</f>
        <v>L</v>
      </c>
      <c r="K783" s="4" cm="1">
        <f t="array" ref="K783">_xlfn.XLOOKUP(D783, products!$A$1:A830, products!$D$1:D830, 0)</f>
        <v>2.5</v>
      </c>
      <c r="L783" s="4" cm="1">
        <f t="array" ref="L783">_xlfn.XLOOKUP(D783, products!$A$1:A830, products!$E$1:E830)</f>
        <v>36.454999999999998</v>
      </c>
      <c r="M783">
        <f t="shared" si="24"/>
        <v>145.82</v>
      </c>
      <c r="N783" t="str">
        <f t="shared" si="25"/>
        <v>Liberica</v>
      </c>
      <c r="O783" t="str" cm="1">
        <f t="array" ref="O783">_xlfn.IFS(J783="M", "Medium", J783="L", "Light", J783="D", "Dark")</f>
        <v>Light</v>
      </c>
      <c r="P783" t="str">
        <f>_xlfn.XLOOKUP(Orders[[#This Row],[Customer ID]], customers!$A$2:$A$1001, customers!$I$2:$I$1001, 0)</f>
        <v>No</v>
      </c>
    </row>
    <row r="784" spans="1:16" x14ac:dyDescent="0.35">
      <c r="A784" s="2" t="s">
        <v>4909</v>
      </c>
      <c r="B784" s="3">
        <v>43897</v>
      </c>
      <c r="C784" s="2" t="s">
        <v>4910</v>
      </c>
      <c r="D784" t="s">
        <v>6184</v>
      </c>
      <c r="E784" s="2">
        <v>6</v>
      </c>
      <c r="F784" s="2" t="str" cm="1">
        <f t="array" ref="F784">_xlfn.XLOOKUP(C784, customers!$A$1:A1783, customers!$B$1:B1783, 0)</f>
        <v>Adorne Gregoratti</v>
      </c>
      <c r="G784" s="2" t="str">
        <f>IF(_xlfn.XLOOKUP(C784, customers!A783:A1783, customers!C783:C1783, 0)=0, "", _xlfn.XLOOKUP(C784, customers!A783:A1783, customers!C783:C1783, 0))</f>
        <v>agregorattilq@vistaprint.com</v>
      </c>
      <c r="H784" s="2" t="str" cm="1">
        <f t="array" ref="H784">_xlfn.XLOOKUP(C784, customers!$A$1:A1783, customers!$G$1:G1783,, 0)</f>
        <v>Ireland</v>
      </c>
      <c r="I784" t="str" cm="1">
        <f t="array" ref="I784">_xlfn.XLOOKUP(orders!D784, products!$A$1:A831, products!$B$1:B831, 0)</f>
        <v>Exc</v>
      </c>
      <c r="J784" t="str" cm="1">
        <f t="array" ref="J784">_xlfn.XLOOKUP(D784, products!$A$1:A831, products!$C$1:C831, 0)</f>
        <v>L</v>
      </c>
      <c r="K784" s="4" cm="1">
        <f t="array" ref="K784">_xlfn.XLOOKUP(D784, products!$A$1:A831, products!$D$1:D831, 0)</f>
        <v>0.2</v>
      </c>
      <c r="L784" s="4" cm="1">
        <f t="array" ref="L784">_xlfn.XLOOKUP(D784, products!$A$1:A831, products!$E$1:E831)</f>
        <v>4.4550000000000001</v>
      </c>
      <c r="M784">
        <f t="shared" si="24"/>
        <v>26.73</v>
      </c>
      <c r="N784" t="str">
        <f t="shared" si="25"/>
        <v>Excelsa</v>
      </c>
      <c r="O784" t="str" cm="1">
        <f t="array" ref="O784">_xlfn.IFS(J784="M", "Medium", J784="L", "Light", J784="D", "Dark")</f>
        <v>Light</v>
      </c>
      <c r="P784" t="str">
        <f>_xlfn.XLOOKUP(Orders[[#This Row],[Customer ID]], customers!$A$2:$A$1001, customers!$I$2:$I$1001, 0)</f>
        <v>No</v>
      </c>
    </row>
    <row r="785" spans="1:16" x14ac:dyDescent="0.35">
      <c r="A785" s="2" t="s">
        <v>4915</v>
      </c>
      <c r="B785" s="3">
        <v>44312</v>
      </c>
      <c r="C785" s="2" t="s">
        <v>4916</v>
      </c>
      <c r="D785" t="s">
        <v>6160</v>
      </c>
      <c r="E785" s="2">
        <v>5</v>
      </c>
      <c r="F785" s="2" t="str" cm="1">
        <f t="array" ref="F785">_xlfn.XLOOKUP(C785, customers!$A$1:A1784, customers!$B$1:B1784, 0)</f>
        <v>Chris Croster</v>
      </c>
      <c r="G785" s="2" t="str">
        <f>IF(_xlfn.XLOOKUP(C785, customers!A784:A1784, customers!C784:C1784, 0)=0, "", _xlfn.XLOOKUP(C785, customers!A784:A1784, customers!C784:C1784, 0))</f>
        <v>ccrosterlr@gov.uk</v>
      </c>
      <c r="H785" s="2" t="str" cm="1">
        <f t="array" ref="H785">_xlfn.XLOOKUP(C785, customers!$A$1:A1784, customers!$G$1:G1784,, 0)</f>
        <v>United States</v>
      </c>
      <c r="I785" t="str" cm="1">
        <f t="array" ref="I785">_xlfn.XLOOKUP(orders!D785, products!$A$1:A832, products!$B$1:B832, 0)</f>
        <v>Lib</v>
      </c>
      <c r="J785" t="str" cm="1">
        <f t="array" ref="J785">_xlfn.XLOOKUP(D785, products!$A$1:A832, products!$C$1:C832, 0)</f>
        <v>M</v>
      </c>
      <c r="K785" s="4" cm="1">
        <f t="array" ref="K785">_xlfn.XLOOKUP(D785, products!$A$1:A832, products!$D$1:D832, 0)</f>
        <v>0.5</v>
      </c>
      <c r="L785" s="4" cm="1">
        <f t="array" ref="L785">_xlfn.XLOOKUP(D785, products!$A$1:A832, products!$E$1:E832)</f>
        <v>8.73</v>
      </c>
      <c r="M785">
        <f t="shared" si="24"/>
        <v>43.650000000000006</v>
      </c>
      <c r="N785" t="str">
        <f t="shared" si="25"/>
        <v>Liberica</v>
      </c>
      <c r="O785" t="str" cm="1">
        <f t="array" ref="O785">_xlfn.IFS(J785="M", "Medium", J785="L", "Light", J785="D", "Dark")</f>
        <v>Medium</v>
      </c>
      <c r="P785" t="str">
        <f>_xlfn.XLOOKUP(Orders[[#This Row],[Customer ID]], customers!$A$2:$A$1001, customers!$I$2:$I$1001, 0)</f>
        <v>Yes</v>
      </c>
    </row>
    <row r="786" spans="1:16" x14ac:dyDescent="0.35">
      <c r="A786" s="2" t="s">
        <v>4921</v>
      </c>
      <c r="B786" s="3">
        <v>44511</v>
      </c>
      <c r="C786" s="2" t="s">
        <v>4922</v>
      </c>
      <c r="D786" t="s">
        <v>6170</v>
      </c>
      <c r="E786" s="2">
        <v>2</v>
      </c>
      <c r="F786" s="2" t="str" cm="1">
        <f t="array" ref="F786">_xlfn.XLOOKUP(C786, customers!$A$1:A1785, customers!$B$1:B1785, 0)</f>
        <v>Graeme Whitehead</v>
      </c>
      <c r="G786" s="2" t="str">
        <f>IF(_xlfn.XLOOKUP(C786, customers!A785:A1785, customers!C785:C1785, 0)=0, "", _xlfn.XLOOKUP(C786, customers!A785:A1785, customers!C785:C1785, 0))</f>
        <v>gwhiteheadls@hp.com</v>
      </c>
      <c r="H786" s="2" t="str" cm="1">
        <f t="array" ref="H786">_xlfn.XLOOKUP(C786, customers!$A$1:A1785, customers!$G$1:G1785,, 0)</f>
        <v>United States</v>
      </c>
      <c r="I786" t="str" cm="1">
        <f t="array" ref="I786">_xlfn.XLOOKUP(orders!D786, products!$A$1:A833, products!$B$1:B833, 0)</f>
        <v>Lib</v>
      </c>
      <c r="J786" t="str" cm="1">
        <f t="array" ref="J786">_xlfn.XLOOKUP(D786, products!$A$1:A833, products!$C$1:C833, 0)</f>
        <v>L</v>
      </c>
      <c r="K786" s="4" cm="1">
        <f t="array" ref="K786">_xlfn.XLOOKUP(D786, products!$A$1:A833, products!$D$1:D833, 0)</f>
        <v>1</v>
      </c>
      <c r="L786" s="4" cm="1">
        <f t="array" ref="L786">_xlfn.XLOOKUP(D786, products!$A$1:A833, products!$E$1:E833)</f>
        <v>15.85</v>
      </c>
      <c r="M786">
        <f t="shared" si="24"/>
        <v>31.7</v>
      </c>
      <c r="N786" t="str">
        <f t="shared" si="25"/>
        <v>Liberica</v>
      </c>
      <c r="O786" t="str" cm="1">
        <f t="array" ref="O786">_xlfn.IFS(J786="M", "Medium", J786="L", "Light", J786="D", "Dark")</f>
        <v>Light</v>
      </c>
      <c r="P786" t="str">
        <f>_xlfn.XLOOKUP(Orders[[#This Row],[Customer ID]], customers!$A$2:$A$1001, customers!$I$2:$I$1001, 0)</f>
        <v>No</v>
      </c>
    </row>
    <row r="787" spans="1:16" x14ac:dyDescent="0.35">
      <c r="A787" s="2" t="s">
        <v>4926</v>
      </c>
      <c r="B787" s="3">
        <v>44362</v>
      </c>
      <c r="C787" s="2" t="s">
        <v>4927</v>
      </c>
      <c r="D787" t="s">
        <v>6168</v>
      </c>
      <c r="E787" s="2">
        <v>1</v>
      </c>
      <c r="F787" s="2" t="str" cm="1">
        <f t="array" ref="F787">_xlfn.XLOOKUP(C787, customers!$A$1:A1786, customers!$B$1:B1786, 0)</f>
        <v>Haslett Jodrelle</v>
      </c>
      <c r="G787" s="2" t="str">
        <f>IF(_xlfn.XLOOKUP(C787, customers!A786:A1786, customers!C786:C1786, 0)=0, "", _xlfn.XLOOKUP(C787, customers!A786:A1786, customers!C786:C1786, 0))</f>
        <v>hjodrellelt@samsung.com</v>
      </c>
      <c r="H787" s="2" t="str" cm="1">
        <f t="array" ref="H787">_xlfn.XLOOKUP(C787, customers!$A$1:A1786, customers!$G$1:G1786,, 0)</f>
        <v>United States</v>
      </c>
      <c r="I787" t="str" cm="1">
        <f t="array" ref="I787">_xlfn.XLOOKUP(orders!D787, products!$A$1:A834, products!$B$1:B834, 0)</f>
        <v>Ara</v>
      </c>
      <c r="J787" t="str" cm="1">
        <f t="array" ref="J787">_xlfn.XLOOKUP(D787, products!$A$1:A834, products!$C$1:C834, 0)</f>
        <v>D</v>
      </c>
      <c r="K787" s="4" cm="1">
        <f t="array" ref="K787">_xlfn.XLOOKUP(D787, products!$A$1:A834, products!$D$1:D834, 0)</f>
        <v>2.5</v>
      </c>
      <c r="L787" s="4" cm="1">
        <f t="array" ref="L787">_xlfn.XLOOKUP(D787, products!$A$1:A834, products!$E$1:E834)</f>
        <v>22.884999999999998</v>
      </c>
      <c r="M787">
        <f t="shared" si="24"/>
        <v>22.884999999999998</v>
      </c>
      <c r="N787" t="str">
        <f t="shared" si="25"/>
        <v>Arabica</v>
      </c>
      <c r="O787" t="str" cm="1">
        <f t="array" ref="O787">_xlfn.IFS(J787="M", "Medium", J787="L", "Light", J787="D", "Dark")</f>
        <v>Dark</v>
      </c>
      <c r="P787" t="str">
        <f>_xlfn.XLOOKUP(Orders[[#This Row],[Customer ID]], customers!$A$2:$A$1001, customers!$I$2:$I$1001, 0)</f>
        <v>No</v>
      </c>
    </row>
    <row r="788" spans="1:16" x14ac:dyDescent="0.35">
      <c r="A788" s="2" t="s">
        <v>4932</v>
      </c>
      <c r="B788" s="3">
        <v>43888</v>
      </c>
      <c r="C788" s="2" t="s">
        <v>4933</v>
      </c>
      <c r="D788" t="s">
        <v>6185</v>
      </c>
      <c r="E788" s="2">
        <v>1</v>
      </c>
      <c r="F788" s="2" t="str" cm="1">
        <f t="array" ref="F788">_xlfn.XLOOKUP(C788, customers!$A$1:A1787, customers!$B$1:B1787, 0)</f>
        <v>Cam Jewster</v>
      </c>
      <c r="G788" s="2" t="str">
        <f>IF(_xlfn.XLOOKUP(C788, customers!A787:A1787, customers!C787:C1787, 0)=0, "", _xlfn.XLOOKUP(C788, customers!A787:A1787, customers!C787:C1787, 0))</f>
        <v>cjewsterlu@moonfruit.com</v>
      </c>
      <c r="H788" s="2" t="str" cm="1">
        <f t="array" ref="H788">_xlfn.XLOOKUP(C788, customers!$A$1:A1787, customers!$G$1:G1787,, 0)</f>
        <v>United States</v>
      </c>
      <c r="I788" t="str" cm="1">
        <f t="array" ref="I788">_xlfn.XLOOKUP(orders!D788, products!$A$1:A835, products!$B$1:B835, 0)</f>
        <v>Exc</v>
      </c>
      <c r="J788" t="str" cm="1">
        <f t="array" ref="J788">_xlfn.XLOOKUP(D788, products!$A$1:A835, products!$C$1:C835, 0)</f>
        <v>D</v>
      </c>
      <c r="K788" s="4" cm="1">
        <f t="array" ref="K788">_xlfn.XLOOKUP(D788, products!$A$1:A835, products!$D$1:D835, 0)</f>
        <v>2.5</v>
      </c>
      <c r="L788" s="4" cm="1">
        <f t="array" ref="L788">_xlfn.XLOOKUP(D788, products!$A$1:A835, products!$E$1:E835)</f>
        <v>27.945</v>
      </c>
      <c r="M788">
        <f t="shared" si="24"/>
        <v>27.945</v>
      </c>
      <c r="N788" t="str">
        <f t="shared" si="25"/>
        <v>Excelsa</v>
      </c>
      <c r="O788" t="str" cm="1">
        <f t="array" ref="O788">_xlfn.IFS(J788="M", "Medium", J788="L", "Light", J788="D", "Dark")</f>
        <v>Dark</v>
      </c>
      <c r="P788" t="str">
        <f>_xlfn.XLOOKUP(Orders[[#This Row],[Customer ID]], customers!$A$2:$A$1001, customers!$I$2:$I$1001, 0)</f>
        <v>Yes</v>
      </c>
    </row>
    <row r="789" spans="1:16" x14ac:dyDescent="0.35">
      <c r="A789" s="2" t="s">
        <v>4938</v>
      </c>
      <c r="B789" s="3">
        <v>44305</v>
      </c>
      <c r="C789" s="2" t="s">
        <v>4939</v>
      </c>
      <c r="D789" t="s">
        <v>6141</v>
      </c>
      <c r="E789" s="2">
        <v>6</v>
      </c>
      <c r="F789" s="2" t="str" cm="1">
        <f t="array" ref="F789">_xlfn.XLOOKUP(C789, customers!$A$1:A1788, customers!$B$1:B1788, 0)</f>
        <v>Beryl Osborn</v>
      </c>
      <c r="G789" s="2" t="str">
        <f>IF(_xlfn.XLOOKUP(C789, customers!A788:A1788, customers!C788:C1788, 0)=0, "", _xlfn.XLOOKUP(C789, customers!A788:A1788, customers!C788:C1788, 0))</f>
        <v/>
      </c>
      <c r="H789" s="2" t="str" cm="1">
        <f t="array" ref="H789">_xlfn.XLOOKUP(C789, customers!$A$1:A1788, customers!$G$1:G1788,, 0)</f>
        <v>United States</v>
      </c>
      <c r="I789" t="str" cm="1">
        <f t="array" ref="I789">_xlfn.XLOOKUP(orders!D789, products!$A$1:A836, products!$B$1:B836, 0)</f>
        <v>Exc</v>
      </c>
      <c r="J789" t="str" cm="1">
        <f t="array" ref="J789">_xlfn.XLOOKUP(D789, products!$A$1:A836, products!$C$1:C836, 0)</f>
        <v>M</v>
      </c>
      <c r="K789" s="4" cm="1">
        <f t="array" ref="K789">_xlfn.XLOOKUP(D789, products!$A$1:A836, products!$D$1:D836, 0)</f>
        <v>1</v>
      </c>
      <c r="L789" s="4" cm="1">
        <f t="array" ref="L789">_xlfn.XLOOKUP(D789, products!$A$1:A836, products!$E$1:E836)</f>
        <v>13.75</v>
      </c>
      <c r="M789">
        <f t="shared" si="24"/>
        <v>82.5</v>
      </c>
      <c r="N789" t="str">
        <f t="shared" si="25"/>
        <v>Excelsa</v>
      </c>
      <c r="O789" t="str" cm="1">
        <f t="array" ref="O789">_xlfn.IFS(J789="M", "Medium", J789="L", "Light", J789="D", "Dark")</f>
        <v>Medium</v>
      </c>
      <c r="P789" t="str">
        <f>_xlfn.XLOOKUP(Orders[[#This Row],[Customer ID]], customers!$A$2:$A$1001, customers!$I$2:$I$1001, 0)</f>
        <v>Yes</v>
      </c>
    </row>
    <row r="790" spans="1:16" x14ac:dyDescent="0.35">
      <c r="A790" s="2" t="s">
        <v>4943</v>
      </c>
      <c r="B790" s="3">
        <v>44771</v>
      </c>
      <c r="C790" s="2" t="s">
        <v>4944</v>
      </c>
      <c r="D790" t="s">
        <v>6151</v>
      </c>
      <c r="E790" s="2">
        <v>2</v>
      </c>
      <c r="F790" s="2" t="str" cm="1">
        <f t="array" ref="F790">_xlfn.XLOOKUP(C790, customers!$A$1:A1789, customers!$B$1:B1789, 0)</f>
        <v>Kaela Nottram</v>
      </c>
      <c r="G790" s="2" t="str">
        <f>IF(_xlfn.XLOOKUP(C790, customers!A789:A1789, customers!C789:C1789, 0)=0, "", _xlfn.XLOOKUP(C790, customers!A789:A1789, customers!C789:C1789, 0))</f>
        <v>knottramlw@odnoklassniki.ru</v>
      </c>
      <c r="H790" s="2" t="str" cm="1">
        <f t="array" ref="H790">_xlfn.XLOOKUP(C790, customers!$A$1:A1789, customers!$G$1:G1789,, 0)</f>
        <v>Ireland</v>
      </c>
      <c r="I790" t="str" cm="1">
        <f t="array" ref="I790">_xlfn.XLOOKUP(orders!D790, products!$A$1:A837, products!$B$1:B837, 0)</f>
        <v>Rob</v>
      </c>
      <c r="J790" t="str" cm="1">
        <f t="array" ref="J790">_xlfn.XLOOKUP(D790, products!$A$1:A837, products!$C$1:C837, 0)</f>
        <v>M</v>
      </c>
      <c r="K790" s="4" cm="1">
        <f t="array" ref="K790">_xlfn.XLOOKUP(D790, products!$A$1:A837, products!$D$1:D837, 0)</f>
        <v>2.5</v>
      </c>
      <c r="L790" s="4" cm="1">
        <f t="array" ref="L790">_xlfn.XLOOKUP(D790, products!$A$1:A837, products!$E$1:E837)</f>
        <v>22.884999999999998</v>
      </c>
      <c r="M790">
        <f t="shared" si="24"/>
        <v>45.769999999999996</v>
      </c>
      <c r="N790" t="str">
        <f t="shared" si="25"/>
        <v>Robusta</v>
      </c>
      <c r="O790" t="str" cm="1">
        <f t="array" ref="O790">_xlfn.IFS(J790="M", "Medium", J790="L", "Light", J790="D", "Dark")</f>
        <v>Medium</v>
      </c>
      <c r="P790" t="str">
        <f>_xlfn.XLOOKUP(Orders[[#This Row],[Customer ID]], customers!$A$2:$A$1001, customers!$I$2:$I$1001, 0)</f>
        <v>Yes</v>
      </c>
    </row>
    <row r="791" spans="1:16" x14ac:dyDescent="0.35">
      <c r="A791" s="2" t="s">
        <v>4949</v>
      </c>
      <c r="B791" s="3">
        <v>43485</v>
      </c>
      <c r="C791" s="2" t="s">
        <v>4950</v>
      </c>
      <c r="D791" t="s">
        <v>6140</v>
      </c>
      <c r="E791" s="2">
        <v>6</v>
      </c>
      <c r="F791" s="2" t="str" cm="1">
        <f t="array" ref="F791">_xlfn.XLOOKUP(C791, customers!$A$1:A1790, customers!$B$1:B1790, 0)</f>
        <v>Nobe Buney</v>
      </c>
      <c r="G791" s="2" t="str">
        <f>IF(_xlfn.XLOOKUP(C791, customers!A790:A1790, customers!C790:C1790, 0)=0, "", _xlfn.XLOOKUP(C791, customers!A790:A1790, customers!C790:C1790, 0))</f>
        <v>nbuneylx@jugem.jp</v>
      </c>
      <c r="H791" s="2" t="str" cm="1">
        <f t="array" ref="H791">_xlfn.XLOOKUP(C791, customers!$A$1:A1790, customers!$G$1:G1790,, 0)</f>
        <v>United States</v>
      </c>
      <c r="I791" t="str" cm="1">
        <f t="array" ref="I791">_xlfn.XLOOKUP(orders!D791, products!$A$1:A838, products!$B$1:B838, 0)</f>
        <v>Ara</v>
      </c>
      <c r="J791" t="str" cm="1">
        <f t="array" ref="J791">_xlfn.XLOOKUP(D791, products!$A$1:A838, products!$C$1:C838, 0)</f>
        <v>L</v>
      </c>
      <c r="K791" s="4" cm="1">
        <f t="array" ref="K791">_xlfn.XLOOKUP(D791, products!$A$1:A838, products!$D$1:D838, 0)</f>
        <v>1</v>
      </c>
      <c r="L791" s="4" cm="1">
        <f t="array" ref="L791">_xlfn.XLOOKUP(D791, products!$A$1:A838, products!$E$1:E838)</f>
        <v>12.95</v>
      </c>
      <c r="M791">
        <f t="shared" si="24"/>
        <v>77.699999999999989</v>
      </c>
      <c r="N791" t="str">
        <f t="shared" si="25"/>
        <v>Arabica</v>
      </c>
      <c r="O791" t="str" cm="1">
        <f t="array" ref="O791">_xlfn.IFS(J791="M", "Medium", J791="L", "Light", J791="D", "Dark")</f>
        <v>Light</v>
      </c>
      <c r="P791" t="str">
        <f>_xlfn.XLOOKUP(Orders[[#This Row],[Customer ID]], customers!$A$2:$A$1001, customers!$I$2:$I$1001, 0)</f>
        <v>No</v>
      </c>
    </row>
    <row r="792" spans="1:16" x14ac:dyDescent="0.35">
      <c r="A792" s="2" t="s">
        <v>4955</v>
      </c>
      <c r="B792" s="3">
        <v>44613</v>
      </c>
      <c r="C792" s="2" t="s">
        <v>4956</v>
      </c>
      <c r="D792" t="s">
        <v>6180</v>
      </c>
      <c r="E792" s="2">
        <v>3</v>
      </c>
      <c r="F792" s="2" t="str" cm="1">
        <f t="array" ref="F792">_xlfn.XLOOKUP(C792, customers!$A$1:A1791, customers!$B$1:B1791, 0)</f>
        <v>Silvan McShea</v>
      </c>
      <c r="G792" s="2" t="str">
        <f>IF(_xlfn.XLOOKUP(C792, customers!A791:A1791, customers!C791:C1791, 0)=0, "", _xlfn.XLOOKUP(C792, customers!A791:A1791, customers!C791:C1791, 0))</f>
        <v>smcshealy@photobucket.com</v>
      </c>
      <c r="H792" s="2" t="str" cm="1">
        <f t="array" ref="H792">_xlfn.XLOOKUP(C792, customers!$A$1:A1791, customers!$G$1:G1791,, 0)</f>
        <v>United States</v>
      </c>
      <c r="I792" t="str" cm="1">
        <f t="array" ref="I792">_xlfn.XLOOKUP(orders!D792, products!$A$1:A839, products!$B$1:B839, 0)</f>
        <v>Ara</v>
      </c>
      <c r="J792" t="str" cm="1">
        <f t="array" ref="J792">_xlfn.XLOOKUP(D792, products!$A$1:A839, products!$C$1:C839, 0)</f>
        <v>L</v>
      </c>
      <c r="K792" s="4" cm="1">
        <f t="array" ref="K792">_xlfn.XLOOKUP(D792, products!$A$1:A839, products!$D$1:D839, 0)</f>
        <v>0.5</v>
      </c>
      <c r="L792" s="4" cm="1">
        <f t="array" ref="L792">_xlfn.XLOOKUP(D792, products!$A$1:A839, products!$E$1:E839)</f>
        <v>7.77</v>
      </c>
      <c r="M792">
        <f t="shared" si="24"/>
        <v>23.31</v>
      </c>
      <c r="N792" t="str">
        <f t="shared" si="25"/>
        <v>Arabica</v>
      </c>
      <c r="O792" t="str" cm="1">
        <f t="array" ref="O792">_xlfn.IFS(J792="M", "Medium", J792="L", "Light", J792="D", "Dark")</f>
        <v>Light</v>
      </c>
      <c r="P792" t="str">
        <f>_xlfn.XLOOKUP(Orders[[#This Row],[Customer ID]], customers!$A$2:$A$1001, customers!$I$2:$I$1001, 0)</f>
        <v>No</v>
      </c>
    </row>
    <row r="793" spans="1:16" x14ac:dyDescent="0.35">
      <c r="A793" s="2" t="s">
        <v>4961</v>
      </c>
      <c r="B793" s="3">
        <v>43954</v>
      </c>
      <c r="C793" s="2" t="s">
        <v>4962</v>
      </c>
      <c r="D793" t="s">
        <v>6145</v>
      </c>
      <c r="E793" s="2">
        <v>5</v>
      </c>
      <c r="F793" s="2" t="str" cm="1">
        <f t="array" ref="F793">_xlfn.XLOOKUP(C793, customers!$A$1:A1792, customers!$B$1:B1792, 0)</f>
        <v>Karylin Huddart</v>
      </c>
      <c r="G793" s="2" t="str">
        <f>IF(_xlfn.XLOOKUP(C793, customers!A792:A1792, customers!C792:C1792, 0)=0, "", _xlfn.XLOOKUP(C793, customers!A792:A1792, customers!C792:C1792, 0))</f>
        <v>khuddartlz@about.com</v>
      </c>
      <c r="H793" s="2" t="str" cm="1">
        <f t="array" ref="H793">_xlfn.XLOOKUP(C793, customers!$A$1:A1792, customers!$G$1:G1792,, 0)</f>
        <v>United States</v>
      </c>
      <c r="I793" t="str" cm="1">
        <f t="array" ref="I793">_xlfn.XLOOKUP(orders!D793, products!$A$1:A840, products!$B$1:B840, 0)</f>
        <v>Lib</v>
      </c>
      <c r="J793" t="str" cm="1">
        <f t="array" ref="J793">_xlfn.XLOOKUP(D793, products!$A$1:A840, products!$C$1:C840, 0)</f>
        <v>L</v>
      </c>
      <c r="K793" s="4" cm="1">
        <f t="array" ref="K793">_xlfn.XLOOKUP(D793, products!$A$1:A840, products!$D$1:D840, 0)</f>
        <v>0.2</v>
      </c>
      <c r="L793" s="4" cm="1">
        <f t="array" ref="L793">_xlfn.XLOOKUP(D793, products!$A$1:A840, products!$E$1:E840)</f>
        <v>4.7549999999999999</v>
      </c>
      <c r="M793">
        <f t="shared" si="24"/>
        <v>23.774999999999999</v>
      </c>
      <c r="N793" t="str">
        <f t="shared" si="25"/>
        <v>Liberica</v>
      </c>
      <c r="O793" t="str" cm="1">
        <f t="array" ref="O793">_xlfn.IFS(J793="M", "Medium", J793="L", "Light", J793="D", "Dark")</f>
        <v>Light</v>
      </c>
      <c r="P793" t="str">
        <f>_xlfn.XLOOKUP(Orders[[#This Row],[Customer ID]], customers!$A$2:$A$1001, customers!$I$2:$I$1001, 0)</f>
        <v>Yes</v>
      </c>
    </row>
    <row r="794" spans="1:16" x14ac:dyDescent="0.35">
      <c r="A794" s="2" t="s">
        <v>4967</v>
      </c>
      <c r="B794" s="3">
        <v>43545</v>
      </c>
      <c r="C794" s="2" t="s">
        <v>4968</v>
      </c>
      <c r="D794" t="s">
        <v>6160</v>
      </c>
      <c r="E794" s="2">
        <v>6</v>
      </c>
      <c r="F794" s="2" t="str" cm="1">
        <f t="array" ref="F794">_xlfn.XLOOKUP(C794, customers!$A$1:A1793, customers!$B$1:B1793, 0)</f>
        <v>Jereme Gippes</v>
      </c>
      <c r="G794" s="2" t="str">
        <f>IF(_xlfn.XLOOKUP(C794, customers!A793:A1793, customers!C793:C1793, 0)=0, "", _xlfn.XLOOKUP(C794, customers!A793:A1793, customers!C793:C1793, 0))</f>
        <v>jgippesm0@cloudflare.com</v>
      </c>
      <c r="H794" s="2" t="str" cm="1">
        <f t="array" ref="H794">_xlfn.XLOOKUP(C794, customers!$A$1:A1793, customers!$G$1:G1793,, 0)</f>
        <v>United Kingdom</v>
      </c>
      <c r="I794" t="str" cm="1">
        <f t="array" ref="I794">_xlfn.XLOOKUP(orders!D794, products!$A$1:A841, products!$B$1:B841, 0)</f>
        <v>Lib</v>
      </c>
      <c r="J794" t="str" cm="1">
        <f t="array" ref="J794">_xlfn.XLOOKUP(D794, products!$A$1:A841, products!$C$1:C841, 0)</f>
        <v>M</v>
      </c>
      <c r="K794" s="4" cm="1">
        <f t="array" ref="K794">_xlfn.XLOOKUP(D794, products!$A$1:A841, products!$D$1:D841, 0)</f>
        <v>0.5</v>
      </c>
      <c r="L794" s="4" cm="1">
        <f t="array" ref="L794">_xlfn.XLOOKUP(D794, products!$A$1:A841, products!$E$1:E841)</f>
        <v>8.73</v>
      </c>
      <c r="M794">
        <f t="shared" si="24"/>
        <v>52.38</v>
      </c>
      <c r="N794" t="str">
        <f t="shared" si="25"/>
        <v>Liberica</v>
      </c>
      <c r="O794" t="str" cm="1">
        <f t="array" ref="O794">_xlfn.IFS(J794="M", "Medium", J794="L", "Light", J794="D", "Dark")</f>
        <v>Medium</v>
      </c>
      <c r="P794" t="str">
        <f>_xlfn.XLOOKUP(Orders[[#This Row],[Customer ID]], customers!$A$2:$A$1001, customers!$I$2:$I$1001, 0)</f>
        <v>Yes</v>
      </c>
    </row>
    <row r="795" spans="1:16" x14ac:dyDescent="0.35">
      <c r="A795" s="2" t="s">
        <v>4973</v>
      </c>
      <c r="B795" s="3">
        <v>43629</v>
      </c>
      <c r="C795" s="2" t="s">
        <v>4974</v>
      </c>
      <c r="D795" t="s">
        <v>6178</v>
      </c>
      <c r="E795" s="2">
        <v>5</v>
      </c>
      <c r="F795" s="2" t="str" cm="1">
        <f t="array" ref="F795">_xlfn.XLOOKUP(C795, customers!$A$1:A1794, customers!$B$1:B1794, 0)</f>
        <v>Lukas Whittlesee</v>
      </c>
      <c r="G795" s="2" t="str">
        <f>IF(_xlfn.XLOOKUP(C795, customers!A794:A1794, customers!C794:C1794, 0)=0, "", _xlfn.XLOOKUP(C795, customers!A794:A1794, customers!C794:C1794, 0))</f>
        <v>lwhittleseem1@e-recht24.de</v>
      </c>
      <c r="H795" s="2" t="str" cm="1">
        <f t="array" ref="H795">_xlfn.XLOOKUP(C795, customers!$A$1:A1794, customers!$G$1:G1794,, 0)</f>
        <v>United States</v>
      </c>
      <c r="I795" t="str" cm="1">
        <f t="array" ref="I795">_xlfn.XLOOKUP(orders!D795, products!$A$1:A842, products!$B$1:B842, 0)</f>
        <v>Rob</v>
      </c>
      <c r="J795" t="str" cm="1">
        <f t="array" ref="J795">_xlfn.XLOOKUP(D795, products!$A$1:A842, products!$C$1:C842, 0)</f>
        <v>L</v>
      </c>
      <c r="K795" s="4" cm="1">
        <f t="array" ref="K795">_xlfn.XLOOKUP(D795, products!$A$1:A842, products!$D$1:D842, 0)</f>
        <v>0.2</v>
      </c>
      <c r="L795" s="4" cm="1">
        <f t="array" ref="L795">_xlfn.XLOOKUP(D795, products!$A$1:A842, products!$E$1:E842)</f>
        <v>3.5849999999999995</v>
      </c>
      <c r="M795">
        <f t="shared" si="24"/>
        <v>17.924999999999997</v>
      </c>
      <c r="N795" t="str">
        <f t="shared" si="25"/>
        <v>Robusta</v>
      </c>
      <c r="O795" t="str" cm="1">
        <f t="array" ref="O795">_xlfn.IFS(J795="M", "Medium", J795="L", "Light", J795="D", "Dark")</f>
        <v>Light</v>
      </c>
      <c r="P795" t="str">
        <f>_xlfn.XLOOKUP(Orders[[#This Row],[Customer ID]], customers!$A$2:$A$1001, customers!$I$2:$I$1001, 0)</f>
        <v>No</v>
      </c>
    </row>
    <row r="796" spans="1:16" x14ac:dyDescent="0.35">
      <c r="A796" s="2" t="s">
        <v>4979</v>
      </c>
      <c r="B796" s="3">
        <v>43987</v>
      </c>
      <c r="C796" s="2" t="s">
        <v>4980</v>
      </c>
      <c r="D796" t="s">
        <v>6182</v>
      </c>
      <c r="E796" s="2">
        <v>5</v>
      </c>
      <c r="F796" s="2" t="str" cm="1">
        <f t="array" ref="F796">_xlfn.XLOOKUP(C796, customers!$A$1:A1795, customers!$B$1:B1795, 0)</f>
        <v>Gregorius Trengrove</v>
      </c>
      <c r="G796" s="2" t="str">
        <f>IF(_xlfn.XLOOKUP(C796, customers!A795:A1795, customers!C795:C1795, 0)=0, "", _xlfn.XLOOKUP(C796, customers!A795:A1795, customers!C795:C1795, 0))</f>
        <v>gtrengrovem2@elpais.com</v>
      </c>
      <c r="H796" s="2" t="str" cm="1">
        <f t="array" ref="H796">_xlfn.XLOOKUP(C796, customers!$A$1:A1795, customers!$G$1:G1795,, 0)</f>
        <v>United States</v>
      </c>
      <c r="I796" t="str" cm="1">
        <f t="array" ref="I796">_xlfn.XLOOKUP(orders!D796, products!$A$1:A843, products!$B$1:B843, 0)</f>
        <v>Ara</v>
      </c>
      <c r="J796" t="str" cm="1">
        <f t="array" ref="J796">_xlfn.XLOOKUP(D796, products!$A$1:A843, products!$C$1:C843, 0)</f>
        <v>L</v>
      </c>
      <c r="K796" s="4" cm="1">
        <f t="array" ref="K796">_xlfn.XLOOKUP(D796, products!$A$1:A843, products!$D$1:D843, 0)</f>
        <v>2.5</v>
      </c>
      <c r="L796" s="4" cm="1">
        <f t="array" ref="L796">_xlfn.XLOOKUP(D796, products!$A$1:A843, products!$E$1:E843)</f>
        <v>29.784999999999997</v>
      </c>
      <c r="M796">
        <f t="shared" si="24"/>
        <v>148.92499999999998</v>
      </c>
      <c r="N796" t="str">
        <f t="shared" si="25"/>
        <v>Arabica</v>
      </c>
      <c r="O796" t="str" cm="1">
        <f t="array" ref="O796">_xlfn.IFS(J796="M", "Medium", J796="L", "Light", J796="D", "Dark")</f>
        <v>Light</v>
      </c>
      <c r="P796" t="str">
        <f>_xlfn.XLOOKUP(Orders[[#This Row],[Customer ID]], customers!$A$2:$A$1001, customers!$I$2:$I$1001, 0)</f>
        <v>No</v>
      </c>
    </row>
    <row r="797" spans="1:16" x14ac:dyDescent="0.35">
      <c r="A797" s="2" t="s">
        <v>4985</v>
      </c>
      <c r="B797" s="3">
        <v>43540</v>
      </c>
      <c r="C797" s="2" t="s">
        <v>4986</v>
      </c>
      <c r="D797" t="s">
        <v>6173</v>
      </c>
      <c r="E797" s="2">
        <v>4</v>
      </c>
      <c r="F797" s="2" t="str" cm="1">
        <f t="array" ref="F797">_xlfn.XLOOKUP(C797, customers!$A$1:A1796, customers!$B$1:B1796, 0)</f>
        <v>Wright Caldero</v>
      </c>
      <c r="G797" s="2" t="str">
        <f>IF(_xlfn.XLOOKUP(C797, customers!A796:A1796, customers!C796:C1796, 0)=0, "", _xlfn.XLOOKUP(C797, customers!A796:A1796, customers!C796:C1796, 0))</f>
        <v>wcalderom3@stumbleupon.com</v>
      </c>
      <c r="H797" s="2" t="str" cm="1">
        <f t="array" ref="H797">_xlfn.XLOOKUP(C797, customers!$A$1:A1796, customers!$G$1:G1796,, 0)</f>
        <v>United States</v>
      </c>
      <c r="I797" t="str" cm="1">
        <f t="array" ref="I797">_xlfn.XLOOKUP(orders!D797, products!$A$1:A844, products!$B$1:B844, 0)</f>
        <v>Rob</v>
      </c>
      <c r="J797" t="str" cm="1">
        <f t="array" ref="J797">_xlfn.XLOOKUP(D797, products!$A$1:A844, products!$C$1:C844, 0)</f>
        <v>L</v>
      </c>
      <c r="K797" s="4" cm="1">
        <f t="array" ref="K797">_xlfn.XLOOKUP(D797, products!$A$1:A844, products!$D$1:D844, 0)</f>
        <v>0.5</v>
      </c>
      <c r="L797" s="4" cm="1">
        <f t="array" ref="L797">_xlfn.XLOOKUP(D797, products!$A$1:A844, products!$E$1:E844)</f>
        <v>7.169999999999999</v>
      </c>
      <c r="M797">
        <f t="shared" si="24"/>
        <v>28.679999999999996</v>
      </c>
      <c r="N797" t="str">
        <f t="shared" si="25"/>
        <v>Robusta</v>
      </c>
      <c r="O797" t="str" cm="1">
        <f t="array" ref="O797">_xlfn.IFS(J797="M", "Medium", J797="L", "Light", J797="D", "Dark")</f>
        <v>Light</v>
      </c>
      <c r="P797" t="str">
        <f>_xlfn.XLOOKUP(Orders[[#This Row],[Customer ID]], customers!$A$2:$A$1001, customers!$I$2:$I$1001, 0)</f>
        <v>No</v>
      </c>
    </row>
    <row r="798" spans="1:16" x14ac:dyDescent="0.35">
      <c r="A798" s="2" t="s">
        <v>4991</v>
      </c>
      <c r="B798" s="3">
        <v>44533</v>
      </c>
      <c r="C798" s="2" t="s">
        <v>4992</v>
      </c>
      <c r="D798" t="s">
        <v>6161</v>
      </c>
      <c r="E798" s="2">
        <v>1</v>
      </c>
      <c r="F798" s="2" t="str" cm="1">
        <f t="array" ref="F798">_xlfn.XLOOKUP(C798, customers!$A$1:A1797, customers!$B$1:B1797, 0)</f>
        <v>Merell Zanazzi</v>
      </c>
      <c r="G798" s="2" t="str">
        <f>IF(_xlfn.XLOOKUP(C798, customers!A797:A1797, customers!C797:C1797, 0)=0, "", _xlfn.XLOOKUP(C798, customers!A797:A1797, customers!C797:C1797, 0))</f>
        <v/>
      </c>
      <c r="H798" s="2" t="str" cm="1">
        <f t="array" ref="H798">_xlfn.XLOOKUP(C798, customers!$A$1:A1797, customers!$G$1:G1797,, 0)</f>
        <v>United States</v>
      </c>
      <c r="I798" t="str" cm="1">
        <f t="array" ref="I798">_xlfn.XLOOKUP(orders!D798, products!$A$1:A845, products!$B$1:B845, 0)</f>
        <v>Lib</v>
      </c>
      <c r="J798" t="str" cm="1">
        <f t="array" ref="J798">_xlfn.XLOOKUP(D798, products!$A$1:A845, products!$C$1:C845, 0)</f>
        <v>L</v>
      </c>
      <c r="K798" s="4" cm="1">
        <f t="array" ref="K798">_xlfn.XLOOKUP(D798, products!$A$1:A845, products!$D$1:D845, 0)</f>
        <v>0.5</v>
      </c>
      <c r="L798" s="4" cm="1">
        <f t="array" ref="L798">_xlfn.XLOOKUP(D798, products!$A$1:A845, products!$E$1:E845)</f>
        <v>9.51</v>
      </c>
      <c r="M798">
        <f t="shared" si="24"/>
        <v>9.51</v>
      </c>
      <c r="N798" t="str">
        <f t="shared" si="25"/>
        <v>Liberica</v>
      </c>
      <c r="O798" t="str" cm="1">
        <f t="array" ref="O798">_xlfn.IFS(J798="M", "Medium", J798="L", "Light", J798="D", "Dark")</f>
        <v>Light</v>
      </c>
      <c r="P798" t="str">
        <f>_xlfn.XLOOKUP(Orders[[#This Row],[Customer ID]], customers!$A$2:$A$1001, customers!$I$2:$I$1001, 0)</f>
        <v>No</v>
      </c>
    </row>
    <row r="799" spans="1:16" x14ac:dyDescent="0.35">
      <c r="A799" s="2" t="s">
        <v>4996</v>
      </c>
      <c r="B799" s="3">
        <v>44751</v>
      </c>
      <c r="C799" s="2" t="s">
        <v>4997</v>
      </c>
      <c r="D799" t="s">
        <v>6180</v>
      </c>
      <c r="E799" s="2">
        <v>4</v>
      </c>
      <c r="F799" s="2" t="str" cm="1">
        <f t="array" ref="F799">_xlfn.XLOOKUP(C799, customers!$A$1:A1798, customers!$B$1:B1798, 0)</f>
        <v>Jed Kennicott</v>
      </c>
      <c r="G799" s="2" t="str">
        <f>IF(_xlfn.XLOOKUP(C799, customers!A798:A1798, customers!C798:C1798, 0)=0, "", _xlfn.XLOOKUP(C799, customers!A798:A1798, customers!C798:C1798, 0))</f>
        <v>jkennicottm5@yahoo.co.jp</v>
      </c>
      <c r="H799" s="2" t="str" cm="1">
        <f t="array" ref="H799">_xlfn.XLOOKUP(C799, customers!$A$1:A1798, customers!$G$1:G1798,, 0)</f>
        <v>United States</v>
      </c>
      <c r="I799" t="str" cm="1">
        <f t="array" ref="I799">_xlfn.XLOOKUP(orders!D799, products!$A$1:A846, products!$B$1:B846, 0)</f>
        <v>Ara</v>
      </c>
      <c r="J799" t="str" cm="1">
        <f t="array" ref="J799">_xlfn.XLOOKUP(D799, products!$A$1:A846, products!$C$1:C846, 0)</f>
        <v>L</v>
      </c>
      <c r="K799" s="4" cm="1">
        <f t="array" ref="K799">_xlfn.XLOOKUP(D799, products!$A$1:A846, products!$D$1:D846, 0)</f>
        <v>0.5</v>
      </c>
      <c r="L799" s="4" cm="1">
        <f t="array" ref="L799">_xlfn.XLOOKUP(D799, products!$A$1:A846, products!$E$1:E846)</f>
        <v>7.77</v>
      </c>
      <c r="M799">
        <f t="shared" si="24"/>
        <v>31.08</v>
      </c>
      <c r="N799" t="str">
        <f t="shared" si="25"/>
        <v>Arabica</v>
      </c>
      <c r="O799" t="str" cm="1">
        <f t="array" ref="O799">_xlfn.IFS(J799="M", "Medium", J799="L", "Light", J799="D", "Dark")</f>
        <v>Light</v>
      </c>
      <c r="P799" t="str">
        <f>_xlfn.XLOOKUP(Orders[[#This Row],[Customer ID]], customers!$A$2:$A$1001, customers!$I$2:$I$1001, 0)</f>
        <v>No</v>
      </c>
    </row>
    <row r="800" spans="1:16" x14ac:dyDescent="0.35">
      <c r="A800" s="2" t="s">
        <v>5002</v>
      </c>
      <c r="B800" s="3">
        <v>43950</v>
      </c>
      <c r="C800" s="2" t="s">
        <v>5003</v>
      </c>
      <c r="D800" t="s">
        <v>6163</v>
      </c>
      <c r="E800" s="2">
        <v>3</v>
      </c>
      <c r="F800" s="2" t="str" cm="1">
        <f t="array" ref="F800">_xlfn.XLOOKUP(C800, customers!$A$1:A1799, customers!$B$1:B1799, 0)</f>
        <v>Guenevere Ruggen</v>
      </c>
      <c r="G800" s="2" t="str">
        <f>IF(_xlfn.XLOOKUP(C800, customers!A799:A1799, customers!C799:C1799, 0)=0, "", _xlfn.XLOOKUP(C800, customers!A799:A1799, customers!C799:C1799, 0))</f>
        <v>gruggenm6@nymag.com</v>
      </c>
      <c r="H800" s="2" t="str" cm="1">
        <f t="array" ref="H800">_xlfn.XLOOKUP(C800, customers!$A$1:A1799, customers!$G$1:G1799,, 0)</f>
        <v>United States</v>
      </c>
      <c r="I800" t="str" cm="1">
        <f t="array" ref="I800">_xlfn.XLOOKUP(orders!D800, products!$A$1:A847, products!$B$1:B847, 0)</f>
        <v>Rob</v>
      </c>
      <c r="J800" t="str" cm="1">
        <f t="array" ref="J800">_xlfn.XLOOKUP(D800, products!$A$1:A847, products!$C$1:C847, 0)</f>
        <v>D</v>
      </c>
      <c r="K800" s="4" cm="1">
        <f t="array" ref="K800">_xlfn.XLOOKUP(D800, products!$A$1:A847, products!$D$1:D847, 0)</f>
        <v>0.2</v>
      </c>
      <c r="L800" s="4" cm="1">
        <f t="array" ref="L800">_xlfn.XLOOKUP(D800, products!$A$1:A847, products!$E$1:E847)</f>
        <v>2.6849999999999996</v>
      </c>
      <c r="M800">
        <f t="shared" si="24"/>
        <v>8.0549999999999997</v>
      </c>
      <c r="N800" t="str">
        <f t="shared" si="25"/>
        <v>Robusta</v>
      </c>
      <c r="O800" t="str" cm="1">
        <f t="array" ref="O800">_xlfn.IFS(J800="M", "Medium", J800="L", "Light", J800="D", "Dark")</f>
        <v>Dark</v>
      </c>
      <c r="P800" t="str">
        <f>_xlfn.XLOOKUP(Orders[[#This Row],[Customer ID]], customers!$A$2:$A$1001, customers!$I$2:$I$1001, 0)</f>
        <v>Yes</v>
      </c>
    </row>
    <row r="801" spans="1:16" x14ac:dyDescent="0.35">
      <c r="A801" s="2" t="s">
        <v>5008</v>
      </c>
      <c r="B801" s="3">
        <v>44588</v>
      </c>
      <c r="C801" s="2" t="s">
        <v>5009</v>
      </c>
      <c r="D801" t="s">
        <v>6183</v>
      </c>
      <c r="E801" s="2">
        <v>3</v>
      </c>
      <c r="F801" s="2" t="str" cm="1">
        <f t="array" ref="F801">_xlfn.XLOOKUP(C801, customers!$A$1:A1800, customers!$B$1:B1800, 0)</f>
        <v>Gonzales Cicculi</v>
      </c>
      <c r="G801" s="2" t="str">
        <f>IF(_xlfn.XLOOKUP(C801, customers!A800:A1800, customers!C800:C1800, 0)=0, "", _xlfn.XLOOKUP(C801, customers!A800:A1800, customers!C800:C1800, 0))</f>
        <v/>
      </c>
      <c r="H801" s="2" t="str" cm="1">
        <f t="array" ref="H801">_xlfn.XLOOKUP(C801, customers!$A$1:A1800, customers!$G$1:G1800,, 0)</f>
        <v>United States</v>
      </c>
      <c r="I801" t="str" cm="1">
        <f t="array" ref="I801">_xlfn.XLOOKUP(orders!D801, products!$A$1:A848, products!$B$1:B848, 0)</f>
        <v>Exc</v>
      </c>
      <c r="J801" t="str" cm="1">
        <f t="array" ref="J801">_xlfn.XLOOKUP(D801, products!$A$1:A848, products!$C$1:C848, 0)</f>
        <v>D</v>
      </c>
      <c r="K801" s="4" cm="1">
        <f t="array" ref="K801">_xlfn.XLOOKUP(D801, products!$A$1:A848, products!$D$1:D848, 0)</f>
        <v>1</v>
      </c>
      <c r="L801" s="4" cm="1">
        <f t="array" ref="L801">_xlfn.XLOOKUP(D801, products!$A$1:A848, products!$E$1:E848)</f>
        <v>12.15</v>
      </c>
      <c r="M801">
        <f t="shared" si="24"/>
        <v>36.450000000000003</v>
      </c>
      <c r="N801" t="str">
        <f t="shared" si="25"/>
        <v>Excelsa</v>
      </c>
      <c r="O801" t="str" cm="1">
        <f t="array" ref="O801">_xlfn.IFS(J801="M", "Medium", J801="L", "Light", J801="D", "Dark")</f>
        <v>Dark</v>
      </c>
      <c r="P801" t="str">
        <f>_xlfn.XLOOKUP(Orders[[#This Row],[Customer ID]], customers!$A$2:$A$1001, customers!$I$2:$I$1001, 0)</f>
        <v>Yes</v>
      </c>
    </row>
    <row r="802" spans="1:16" x14ac:dyDescent="0.35">
      <c r="A802" s="2" t="s">
        <v>5012</v>
      </c>
      <c r="B802" s="3">
        <v>44240</v>
      </c>
      <c r="C802" s="2" t="s">
        <v>5013</v>
      </c>
      <c r="D802" t="s">
        <v>6163</v>
      </c>
      <c r="E802" s="2">
        <v>6</v>
      </c>
      <c r="F802" s="2" t="str" cm="1">
        <f t="array" ref="F802">_xlfn.XLOOKUP(C802, customers!$A$1:A1801, customers!$B$1:B1801, 0)</f>
        <v>Man Fright</v>
      </c>
      <c r="G802" s="2" t="str">
        <f>IF(_xlfn.XLOOKUP(C802, customers!A801:A1801, customers!C801:C1801, 0)=0, "", _xlfn.XLOOKUP(C802, customers!A801:A1801, customers!C801:C1801, 0))</f>
        <v>mfrightm8@harvard.edu</v>
      </c>
      <c r="H802" s="2" t="str" cm="1">
        <f t="array" ref="H802">_xlfn.XLOOKUP(C802, customers!$A$1:A1801, customers!$G$1:G1801,, 0)</f>
        <v>Ireland</v>
      </c>
      <c r="I802" t="str" cm="1">
        <f t="array" ref="I802">_xlfn.XLOOKUP(orders!D802, products!$A$1:A849, products!$B$1:B849, 0)</f>
        <v>Rob</v>
      </c>
      <c r="J802" t="str" cm="1">
        <f t="array" ref="J802">_xlfn.XLOOKUP(D802, products!$A$1:A849, products!$C$1:C849, 0)</f>
        <v>D</v>
      </c>
      <c r="K802" s="4" cm="1">
        <f t="array" ref="K802">_xlfn.XLOOKUP(D802, products!$A$1:A849, products!$D$1:D849, 0)</f>
        <v>0.2</v>
      </c>
      <c r="L802" s="4" cm="1">
        <f t="array" ref="L802">_xlfn.XLOOKUP(D802, products!$A$1:A849, products!$E$1:E849)</f>
        <v>2.6849999999999996</v>
      </c>
      <c r="M802">
        <f t="shared" si="24"/>
        <v>16.11</v>
      </c>
      <c r="N802" t="str">
        <f t="shared" si="25"/>
        <v>Robusta</v>
      </c>
      <c r="O802" t="str" cm="1">
        <f t="array" ref="O802">_xlfn.IFS(J802="M", "Medium", J802="L", "Light", J802="D", "Dark")</f>
        <v>Dark</v>
      </c>
      <c r="P802" t="str">
        <f>_xlfn.XLOOKUP(Orders[[#This Row],[Customer ID]], customers!$A$2:$A$1001, customers!$I$2:$I$1001, 0)</f>
        <v>No</v>
      </c>
    </row>
    <row r="803" spans="1:16" x14ac:dyDescent="0.35">
      <c r="A803" s="2" t="s">
        <v>5018</v>
      </c>
      <c r="B803" s="3">
        <v>44025</v>
      </c>
      <c r="C803" s="2" t="s">
        <v>5019</v>
      </c>
      <c r="D803" t="s">
        <v>6149</v>
      </c>
      <c r="E803" s="2">
        <v>2</v>
      </c>
      <c r="F803" s="2" t="str" cm="1">
        <f t="array" ref="F803">_xlfn.XLOOKUP(C803, customers!$A$1:A1802, customers!$B$1:B1802, 0)</f>
        <v>Boyce Tarte</v>
      </c>
      <c r="G803" s="2" t="str">
        <f>IF(_xlfn.XLOOKUP(C803, customers!A802:A1802, customers!C802:C1802, 0)=0, "", _xlfn.XLOOKUP(C803, customers!A802:A1802, customers!C802:C1802, 0))</f>
        <v>btartem9@aol.com</v>
      </c>
      <c r="H803" s="2" t="str" cm="1">
        <f t="array" ref="H803">_xlfn.XLOOKUP(C803, customers!$A$1:A1802, customers!$G$1:G1802,, 0)</f>
        <v>United States</v>
      </c>
      <c r="I803" t="str" cm="1">
        <f t="array" ref="I803">_xlfn.XLOOKUP(orders!D803, products!$A$1:A850, products!$B$1:B850, 0)</f>
        <v>Rob</v>
      </c>
      <c r="J803" t="str" cm="1">
        <f t="array" ref="J803">_xlfn.XLOOKUP(D803, products!$A$1:A850, products!$C$1:C850, 0)</f>
        <v>D</v>
      </c>
      <c r="K803" s="4" cm="1">
        <f t="array" ref="K803">_xlfn.XLOOKUP(D803, products!$A$1:A850, products!$D$1:D850, 0)</f>
        <v>2.5</v>
      </c>
      <c r="L803" s="4" cm="1">
        <f t="array" ref="L803">_xlfn.XLOOKUP(D803, products!$A$1:A850, products!$E$1:E850)</f>
        <v>20.584999999999997</v>
      </c>
      <c r="M803">
        <f t="shared" si="24"/>
        <v>41.169999999999995</v>
      </c>
      <c r="N803" t="str">
        <f t="shared" si="25"/>
        <v>Robusta</v>
      </c>
      <c r="O803" t="str" cm="1">
        <f t="array" ref="O803">_xlfn.IFS(J803="M", "Medium", J803="L", "Light", J803="D", "Dark")</f>
        <v>Dark</v>
      </c>
      <c r="P803" t="str">
        <f>_xlfn.XLOOKUP(Orders[[#This Row],[Customer ID]], customers!$A$2:$A$1001, customers!$I$2:$I$1001, 0)</f>
        <v>Yes</v>
      </c>
    </row>
    <row r="804" spans="1:16" x14ac:dyDescent="0.35">
      <c r="A804" s="2" t="s">
        <v>5024</v>
      </c>
      <c r="B804" s="3">
        <v>43902</v>
      </c>
      <c r="C804" s="2" t="s">
        <v>5025</v>
      </c>
      <c r="D804" t="s">
        <v>6163</v>
      </c>
      <c r="E804" s="2">
        <v>4</v>
      </c>
      <c r="F804" s="2" t="str" cm="1">
        <f t="array" ref="F804">_xlfn.XLOOKUP(C804, customers!$A$1:A1803, customers!$B$1:B1803, 0)</f>
        <v>Caddric Krzysztofiak</v>
      </c>
      <c r="G804" s="2" t="str">
        <f>IF(_xlfn.XLOOKUP(C804, customers!A803:A1803, customers!C803:C1803, 0)=0, "", _xlfn.XLOOKUP(C804, customers!A803:A1803, customers!C803:C1803, 0))</f>
        <v>ckrzysztofiakma@skyrock.com</v>
      </c>
      <c r="H804" s="2" t="str" cm="1">
        <f t="array" ref="H804">_xlfn.XLOOKUP(C804, customers!$A$1:A1803, customers!$G$1:G1803,, 0)</f>
        <v>United States</v>
      </c>
      <c r="I804" t="str" cm="1">
        <f t="array" ref="I804">_xlfn.XLOOKUP(orders!D804, products!$A$1:A851, products!$B$1:B851, 0)</f>
        <v>Rob</v>
      </c>
      <c r="J804" t="str" cm="1">
        <f t="array" ref="J804">_xlfn.XLOOKUP(D804, products!$A$1:A851, products!$C$1:C851, 0)</f>
        <v>D</v>
      </c>
      <c r="K804" s="4" cm="1">
        <f t="array" ref="K804">_xlfn.XLOOKUP(D804, products!$A$1:A851, products!$D$1:D851, 0)</f>
        <v>0.2</v>
      </c>
      <c r="L804" s="4" cm="1">
        <f t="array" ref="L804">_xlfn.XLOOKUP(D804, products!$A$1:A851, products!$E$1:E851)</f>
        <v>2.6849999999999996</v>
      </c>
      <c r="M804">
        <f t="shared" si="24"/>
        <v>10.739999999999998</v>
      </c>
      <c r="N804" t="str">
        <f t="shared" si="25"/>
        <v>Robusta</v>
      </c>
      <c r="O804" t="str" cm="1">
        <f t="array" ref="O804">_xlfn.IFS(J804="M", "Medium", J804="L", "Light", J804="D", "Dark")</f>
        <v>Dark</v>
      </c>
      <c r="P804" t="str">
        <f>_xlfn.XLOOKUP(Orders[[#This Row],[Customer ID]], customers!$A$2:$A$1001, customers!$I$2:$I$1001, 0)</f>
        <v>No</v>
      </c>
    </row>
    <row r="805" spans="1:16" x14ac:dyDescent="0.35">
      <c r="A805" s="2" t="s">
        <v>5030</v>
      </c>
      <c r="B805" s="3">
        <v>43955</v>
      </c>
      <c r="C805" s="2" t="s">
        <v>5031</v>
      </c>
      <c r="D805" t="s">
        <v>6166</v>
      </c>
      <c r="E805" s="2">
        <v>4</v>
      </c>
      <c r="F805" s="2" t="str" cm="1">
        <f t="array" ref="F805">_xlfn.XLOOKUP(C805, customers!$A$1:A1804, customers!$B$1:B1804, 0)</f>
        <v>Darn Penquet</v>
      </c>
      <c r="G805" s="2" t="str">
        <f>IF(_xlfn.XLOOKUP(C805, customers!A804:A1804, customers!C804:C1804, 0)=0, "", _xlfn.XLOOKUP(C805, customers!A804:A1804, customers!C804:C1804, 0))</f>
        <v>dpenquetmb@diigo.com</v>
      </c>
      <c r="H805" s="2" t="str" cm="1">
        <f t="array" ref="H805">_xlfn.XLOOKUP(C805, customers!$A$1:A1804, customers!$G$1:G1804,, 0)</f>
        <v>United States</v>
      </c>
      <c r="I805" t="str" cm="1">
        <f t="array" ref="I805">_xlfn.XLOOKUP(orders!D805, products!$A$1:A852, products!$B$1:B852, 0)</f>
        <v>Exc</v>
      </c>
      <c r="J805" t="str" cm="1">
        <f t="array" ref="J805">_xlfn.XLOOKUP(D805, products!$A$1:A852, products!$C$1:C852, 0)</f>
        <v>M</v>
      </c>
      <c r="K805" s="4" cm="1">
        <f t="array" ref="K805">_xlfn.XLOOKUP(D805, products!$A$1:A852, products!$D$1:D852, 0)</f>
        <v>2.5</v>
      </c>
      <c r="L805" s="4" cm="1">
        <f t="array" ref="L805">_xlfn.XLOOKUP(D805, products!$A$1:A852, products!$E$1:E852)</f>
        <v>31.624999999999996</v>
      </c>
      <c r="M805">
        <f t="shared" si="24"/>
        <v>126.49999999999999</v>
      </c>
      <c r="N805" t="str">
        <f t="shared" si="25"/>
        <v>Excelsa</v>
      </c>
      <c r="O805" t="str" cm="1">
        <f t="array" ref="O805">_xlfn.IFS(J805="M", "Medium", J805="L", "Light", J805="D", "Dark")</f>
        <v>Medium</v>
      </c>
      <c r="P805" t="str">
        <f>_xlfn.XLOOKUP(Orders[[#This Row],[Customer ID]], customers!$A$2:$A$1001, customers!$I$2:$I$1001, 0)</f>
        <v>No</v>
      </c>
    </row>
    <row r="806" spans="1:16" x14ac:dyDescent="0.35">
      <c r="A806" s="2" t="s">
        <v>5035</v>
      </c>
      <c r="B806" s="3">
        <v>44289</v>
      </c>
      <c r="C806" s="2" t="s">
        <v>5036</v>
      </c>
      <c r="D806" t="s">
        <v>6179</v>
      </c>
      <c r="E806" s="2">
        <v>2</v>
      </c>
      <c r="F806" s="2" t="str" cm="1">
        <f t="array" ref="F806">_xlfn.XLOOKUP(C806, customers!$A$1:A1805, customers!$B$1:B1805, 0)</f>
        <v>Jammie Cloke</v>
      </c>
      <c r="G806" s="2" t="str">
        <f>IF(_xlfn.XLOOKUP(C806, customers!A805:A1805, customers!C805:C1805, 0)=0, "", _xlfn.XLOOKUP(C806, customers!A805:A1805, customers!C805:C1805, 0))</f>
        <v/>
      </c>
      <c r="H806" s="2" t="str" cm="1">
        <f t="array" ref="H806">_xlfn.XLOOKUP(C806, customers!$A$1:A1805, customers!$G$1:G1805,, 0)</f>
        <v>United Kingdom</v>
      </c>
      <c r="I806" t="str" cm="1">
        <f t="array" ref="I806">_xlfn.XLOOKUP(orders!D806, products!$A$1:A853, products!$B$1:B853, 0)</f>
        <v>Rob</v>
      </c>
      <c r="J806" t="str" cm="1">
        <f t="array" ref="J806">_xlfn.XLOOKUP(D806, products!$A$1:A853, products!$C$1:C853, 0)</f>
        <v>L</v>
      </c>
      <c r="K806" s="4" cm="1">
        <f t="array" ref="K806">_xlfn.XLOOKUP(D806, products!$A$1:A853, products!$D$1:D853, 0)</f>
        <v>1</v>
      </c>
      <c r="L806" s="4" cm="1">
        <f t="array" ref="L806">_xlfn.XLOOKUP(D806, products!$A$1:A853, products!$E$1:E853)</f>
        <v>11.95</v>
      </c>
      <c r="M806">
        <f t="shared" si="24"/>
        <v>23.9</v>
      </c>
      <c r="N806" t="str">
        <f t="shared" si="25"/>
        <v>Robusta</v>
      </c>
      <c r="O806" t="str" cm="1">
        <f t="array" ref="O806">_xlfn.IFS(J806="M", "Medium", J806="L", "Light", J806="D", "Dark")</f>
        <v>Light</v>
      </c>
      <c r="P806" t="str">
        <f>_xlfn.XLOOKUP(Orders[[#This Row],[Customer ID]], customers!$A$2:$A$1001, customers!$I$2:$I$1001, 0)</f>
        <v>No</v>
      </c>
    </row>
    <row r="807" spans="1:16" x14ac:dyDescent="0.35">
      <c r="A807" s="2" t="s">
        <v>5040</v>
      </c>
      <c r="B807" s="3">
        <v>44713</v>
      </c>
      <c r="C807" s="2" t="s">
        <v>5041</v>
      </c>
      <c r="D807" t="s">
        <v>6146</v>
      </c>
      <c r="E807" s="2">
        <v>1</v>
      </c>
      <c r="F807" s="2" t="str" cm="1">
        <f t="array" ref="F807">_xlfn.XLOOKUP(C807, customers!$A$1:A1806, customers!$B$1:B1806, 0)</f>
        <v>Chester Clowton</v>
      </c>
      <c r="G807" s="2" t="str">
        <f>IF(_xlfn.XLOOKUP(C807, customers!A806:A1806, customers!C806:C1806, 0)=0, "", _xlfn.XLOOKUP(C807, customers!A806:A1806, customers!C806:C1806, 0))</f>
        <v/>
      </c>
      <c r="H807" s="2" t="str" cm="1">
        <f t="array" ref="H807">_xlfn.XLOOKUP(C807, customers!$A$1:A1806, customers!$G$1:G1806,, 0)</f>
        <v>United States</v>
      </c>
      <c r="I807" t="str" cm="1">
        <f t="array" ref="I807">_xlfn.XLOOKUP(orders!D807, products!$A$1:A854, products!$B$1:B854, 0)</f>
        <v>Rob</v>
      </c>
      <c r="J807" t="str" cm="1">
        <f t="array" ref="J807">_xlfn.XLOOKUP(D807, products!$A$1:A854, products!$C$1:C854, 0)</f>
        <v>M</v>
      </c>
      <c r="K807" s="4" cm="1">
        <f t="array" ref="K807">_xlfn.XLOOKUP(D807, products!$A$1:A854, products!$D$1:D854, 0)</f>
        <v>0.5</v>
      </c>
      <c r="L807" s="4" cm="1">
        <f t="array" ref="L807">_xlfn.XLOOKUP(D807, products!$A$1:A854, products!$E$1:E854)</f>
        <v>5.97</v>
      </c>
      <c r="M807">
        <f t="shared" si="24"/>
        <v>5.97</v>
      </c>
      <c r="N807" t="str">
        <f t="shared" si="25"/>
        <v>Robusta</v>
      </c>
      <c r="O807" t="str" cm="1">
        <f t="array" ref="O807">_xlfn.IFS(J807="M", "Medium", J807="L", "Light", J807="D", "Dark")</f>
        <v>Medium</v>
      </c>
      <c r="P807" t="str">
        <f>_xlfn.XLOOKUP(Orders[[#This Row],[Customer ID]], customers!$A$2:$A$1001, customers!$I$2:$I$1001, 0)</f>
        <v>No</v>
      </c>
    </row>
    <row r="808" spans="1:16" x14ac:dyDescent="0.35">
      <c r="A808" s="2" t="s">
        <v>5046</v>
      </c>
      <c r="B808" s="3">
        <v>44241</v>
      </c>
      <c r="C808" s="2" t="s">
        <v>5047</v>
      </c>
      <c r="D808" t="s">
        <v>6150</v>
      </c>
      <c r="E808" s="2">
        <v>2</v>
      </c>
      <c r="F808" s="2" t="str" cm="1">
        <f t="array" ref="F808">_xlfn.XLOOKUP(C808, customers!$A$1:A1807, customers!$B$1:B1807, 0)</f>
        <v>Kathleen Diable</v>
      </c>
      <c r="G808" s="2" t="str">
        <f>IF(_xlfn.XLOOKUP(C808, customers!A807:A1807, customers!C807:C1807, 0)=0, "", _xlfn.XLOOKUP(C808, customers!A807:A1807, customers!C807:C1807, 0))</f>
        <v/>
      </c>
      <c r="H808" s="2" t="str" cm="1">
        <f t="array" ref="H808">_xlfn.XLOOKUP(C808, customers!$A$1:A1807, customers!$G$1:G1807,, 0)</f>
        <v>United Kingdom</v>
      </c>
      <c r="I808" t="str" cm="1">
        <f t="array" ref="I808">_xlfn.XLOOKUP(orders!D808, products!$A$1:A855, products!$B$1:B855, 0)</f>
        <v>Lib</v>
      </c>
      <c r="J808" t="str" cm="1">
        <f t="array" ref="J808">_xlfn.XLOOKUP(D808, products!$A$1:A855, products!$C$1:C855, 0)</f>
        <v>D</v>
      </c>
      <c r="K808" s="4" cm="1">
        <f t="array" ref="K808">_xlfn.XLOOKUP(D808, products!$A$1:A855, products!$D$1:D855, 0)</f>
        <v>0.2</v>
      </c>
      <c r="L808" s="4" cm="1">
        <f t="array" ref="L808">_xlfn.XLOOKUP(D808, products!$A$1:A855, products!$E$1:E855)</f>
        <v>3.8849999999999998</v>
      </c>
      <c r="M808">
        <f t="shared" si="24"/>
        <v>7.77</v>
      </c>
      <c r="N808" t="str">
        <f t="shared" si="25"/>
        <v>Liberica</v>
      </c>
      <c r="O808" t="str" cm="1">
        <f t="array" ref="O808">_xlfn.IFS(J808="M", "Medium", J808="L", "Light", J808="D", "Dark")</f>
        <v>Dark</v>
      </c>
      <c r="P808" t="str">
        <f>_xlfn.XLOOKUP(Orders[[#This Row],[Customer ID]], customers!$A$2:$A$1001, customers!$I$2:$I$1001, 0)</f>
        <v>Yes</v>
      </c>
    </row>
    <row r="809" spans="1:16" x14ac:dyDescent="0.35">
      <c r="A809" s="2" t="s">
        <v>5050</v>
      </c>
      <c r="B809" s="3">
        <v>44543</v>
      </c>
      <c r="C809" s="2" t="s">
        <v>5051</v>
      </c>
      <c r="D809" t="s">
        <v>6169</v>
      </c>
      <c r="E809" s="2">
        <v>3</v>
      </c>
      <c r="F809" s="2" t="str" cm="1">
        <f t="array" ref="F809">_xlfn.XLOOKUP(C809, customers!$A$1:A1808, customers!$B$1:B1808, 0)</f>
        <v>Koren Ferretti</v>
      </c>
      <c r="G809" s="2" t="str">
        <f>IF(_xlfn.XLOOKUP(C809, customers!A808:A1808, customers!C808:C1808, 0)=0, "", _xlfn.XLOOKUP(C809, customers!A808:A1808, customers!C808:C1808, 0))</f>
        <v>kferrettimf@huffingtonpost.com</v>
      </c>
      <c r="H809" s="2" t="str" cm="1">
        <f t="array" ref="H809">_xlfn.XLOOKUP(C809, customers!$A$1:A1808, customers!$G$1:G1808,, 0)</f>
        <v>Ireland</v>
      </c>
      <c r="I809" t="str" cm="1">
        <f t="array" ref="I809">_xlfn.XLOOKUP(orders!D809, products!$A$1:A856, products!$B$1:B856, 0)</f>
        <v>Lib</v>
      </c>
      <c r="J809" t="str" cm="1">
        <f t="array" ref="J809">_xlfn.XLOOKUP(D809, products!$A$1:A856, products!$C$1:C856, 0)</f>
        <v>D</v>
      </c>
      <c r="K809" s="4" cm="1">
        <f t="array" ref="K809">_xlfn.XLOOKUP(D809, products!$A$1:A856, products!$D$1:D856, 0)</f>
        <v>0.5</v>
      </c>
      <c r="L809" s="4" cm="1">
        <f t="array" ref="L809">_xlfn.XLOOKUP(D809, products!$A$1:A856, products!$E$1:E856)</f>
        <v>7.77</v>
      </c>
      <c r="M809">
        <f t="shared" si="24"/>
        <v>23.31</v>
      </c>
      <c r="N809" t="str">
        <f t="shared" si="25"/>
        <v>Liberica</v>
      </c>
      <c r="O809" t="str" cm="1">
        <f t="array" ref="O809">_xlfn.IFS(J809="M", "Medium", J809="L", "Light", J809="D", "Dark")</f>
        <v>Dark</v>
      </c>
      <c r="P809" t="str">
        <f>_xlfn.XLOOKUP(Orders[[#This Row],[Customer ID]], customers!$A$2:$A$1001, customers!$I$2:$I$1001, 0)</f>
        <v>No</v>
      </c>
    </row>
    <row r="810" spans="1:16" x14ac:dyDescent="0.35">
      <c r="A810" s="2" t="s">
        <v>5056</v>
      </c>
      <c r="B810" s="3">
        <v>43868</v>
      </c>
      <c r="C810" s="2" t="s">
        <v>5113</v>
      </c>
      <c r="D810" t="s">
        <v>6142</v>
      </c>
      <c r="E810" s="2">
        <v>5</v>
      </c>
      <c r="F810" s="2" t="str" cm="1">
        <f t="array" ref="F810">_xlfn.XLOOKUP(C810, customers!$A$1:A1809, customers!$B$1:B1809, 0)</f>
        <v>Allis Wilmore</v>
      </c>
      <c r="G810" s="2" t="str">
        <f>IF(_xlfn.XLOOKUP(C810, customers!A809:A1809, customers!C809:C1809, 0)=0, "", _xlfn.XLOOKUP(C810, customers!A809:A1809, customers!C809:C1809, 0))</f>
        <v/>
      </c>
      <c r="H810" s="2" t="str" cm="1">
        <f t="array" ref="H810">_xlfn.XLOOKUP(C810, customers!$A$1:A1809, customers!$G$1:G1809,, 0)</f>
        <v>United States</v>
      </c>
      <c r="I810" t="str" cm="1">
        <f t="array" ref="I810">_xlfn.XLOOKUP(orders!D810, products!$A$1:A857, products!$B$1:B857, 0)</f>
        <v>Rob</v>
      </c>
      <c r="J810" t="str" cm="1">
        <f t="array" ref="J810">_xlfn.XLOOKUP(D810, products!$A$1:A857, products!$C$1:C857, 0)</f>
        <v>L</v>
      </c>
      <c r="K810" s="4" cm="1">
        <f t="array" ref="K810">_xlfn.XLOOKUP(D810, products!$A$1:A857, products!$D$1:D857, 0)</f>
        <v>2.5</v>
      </c>
      <c r="L810" s="4" cm="1">
        <f t="array" ref="L810">_xlfn.XLOOKUP(D810, products!$A$1:A857, products!$E$1:E857)</f>
        <v>27.484999999999996</v>
      </c>
      <c r="M810">
        <f t="shared" si="24"/>
        <v>137.42499999999998</v>
      </c>
      <c r="N810" t="str">
        <f t="shared" si="25"/>
        <v>Robusta</v>
      </c>
      <c r="O810" t="str" cm="1">
        <f t="array" ref="O810">_xlfn.IFS(J810="M", "Medium", J810="L", "Light", J810="D", "Dark")</f>
        <v>Light</v>
      </c>
      <c r="P810" t="str">
        <f>_xlfn.XLOOKUP(Orders[[#This Row],[Customer ID]], customers!$A$2:$A$1001, customers!$I$2:$I$1001, 0)</f>
        <v>No</v>
      </c>
    </row>
    <row r="811" spans="1:16" x14ac:dyDescent="0.35">
      <c r="A811" s="2" t="s">
        <v>5062</v>
      </c>
      <c r="B811" s="3">
        <v>44235</v>
      </c>
      <c r="C811" s="2" t="s">
        <v>5063</v>
      </c>
      <c r="D811" t="s">
        <v>6163</v>
      </c>
      <c r="E811" s="2">
        <v>3</v>
      </c>
      <c r="F811" s="2" t="str" cm="1">
        <f t="array" ref="F811">_xlfn.XLOOKUP(C811, customers!$A$1:A1810, customers!$B$1:B1810, 0)</f>
        <v>Chaddie Bennie</v>
      </c>
      <c r="G811" s="2" t="str">
        <f>IF(_xlfn.XLOOKUP(C811, customers!A810:A1810, customers!C810:C1810, 0)=0, "", _xlfn.XLOOKUP(C811, customers!A810:A1810, customers!C810:C1810, 0))</f>
        <v/>
      </c>
      <c r="H811" s="2" t="str" cm="1">
        <f t="array" ref="H811">_xlfn.XLOOKUP(C811, customers!$A$1:A1810, customers!$G$1:G1810,, 0)</f>
        <v>United States</v>
      </c>
      <c r="I811" t="str" cm="1">
        <f t="array" ref="I811">_xlfn.XLOOKUP(orders!D811, products!$A$1:A858, products!$B$1:B858, 0)</f>
        <v>Rob</v>
      </c>
      <c r="J811" t="str" cm="1">
        <f t="array" ref="J811">_xlfn.XLOOKUP(D811, products!$A$1:A858, products!$C$1:C858, 0)</f>
        <v>D</v>
      </c>
      <c r="K811" s="4" cm="1">
        <f t="array" ref="K811">_xlfn.XLOOKUP(D811, products!$A$1:A858, products!$D$1:D858, 0)</f>
        <v>0.2</v>
      </c>
      <c r="L811" s="4" cm="1">
        <f t="array" ref="L811">_xlfn.XLOOKUP(D811, products!$A$1:A858, products!$E$1:E858)</f>
        <v>2.6849999999999996</v>
      </c>
      <c r="M811">
        <f t="shared" si="24"/>
        <v>8.0549999999999997</v>
      </c>
      <c r="N811" t="str">
        <f t="shared" si="25"/>
        <v>Robusta</v>
      </c>
      <c r="O811" t="str" cm="1">
        <f t="array" ref="O811">_xlfn.IFS(J811="M", "Medium", J811="L", "Light", J811="D", "Dark")</f>
        <v>Dark</v>
      </c>
      <c r="P811" t="str">
        <f>_xlfn.XLOOKUP(Orders[[#This Row],[Customer ID]], customers!$A$2:$A$1001, customers!$I$2:$I$1001, 0)</f>
        <v>Yes</v>
      </c>
    </row>
    <row r="812" spans="1:16" x14ac:dyDescent="0.35">
      <c r="A812" s="2" t="s">
        <v>5067</v>
      </c>
      <c r="B812" s="3">
        <v>44054</v>
      </c>
      <c r="C812" s="2" t="s">
        <v>5068</v>
      </c>
      <c r="D812" t="s">
        <v>6161</v>
      </c>
      <c r="E812" s="2">
        <v>3</v>
      </c>
      <c r="F812" s="2" t="str" cm="1">
        <f t="array" ref="F812">_xlfn.XLOOKUP(C812, customers!$A$1:A1811, customers!$B$1:B1811, 0)</f>
        <v>Alberta Balsdone</v>
      </c>
      <c r="G812" s="2" t="str">
        <f>IF(_xlfn.XLOOKUP(C812, customers!A811:A1811, customers!C811:C1811, 0)=0, "", _xlfn.XLOOKUP(C812, customers!A811:A1811, customers!C811:C1811, 0))</f>
        <v>abalsdonemi@toplist.cz</v>
      </c>
      <c r="H812" s="2" t="str" cm="1">
        <f t="array" ref="H812">_xlfn.XLOOKUP(C812, customers!$A$1:A1811, customers!$G$1:G1811,, 0)</f>
        <v>United States</v>
      </c>
      <c r="I812" t="str" cm="1">
        <f t="array" ref="I812">_xlfn.XLOOKUP(orders!D812, products!$A$1:A859, products!$B$1:B859, 0)</f>
        <v>Lib</v>
      </c>
      <c r="J812" t="str" cm="1">
        <f t="array" ref="J812">_xlfn.XLOOKUP(D812, products!$A$1:A859, products!$C$1:C859, 0)</f>
        <v>L</v>
      </c>
      <c r="K812" s="4" cm="1">
        <f t="array" ref="K812">_xlfn.XLOOKUP(D812, products!$A$1:A859, products!$D$1:D859, 0)</f>
        <v>0.5</v>
      </c>
      <c r="L812" s="4" cm="1">
        <f t="array" ref="L812">_xlfn.XLOOKUP(D812, products!$A$1:A859, products!$E$1:E859)</f>
        <v>9.51</v>
      </c>
      <c r="M812">
        <f t="shared" si="24"/>
        <v>28.53</v>
      </c>
      <c r="N812" t="str">
        <f t="shared" si="25"/>
        <v>Liberica</v>
      </c>
      <c r="O812" t="str" cm="1">
        <f t="array" ref="O812">_xlfn.IFS(J812="M", "Medium", J812="L", "Light", J812="D", "Dark")</f>
        <v>Light</v>
      </c>
      <c r="P812" t="str">
        <f>_xlfn.XLOOKUP(Orders[[#This Row],[Customer ID]], customers!$A$2:$A$1001, customers!$I$2:$I$1001, 0)</f>
        <v>No</v>
      </c>
    </row>
    <row r="813" spans="1:16" x14ac:dyDescent="0.35">
      <c r="A813" s="2" t="s">
        <v>5073</v>
      </c>
      <c r="B813" s="3">
        <v>44114</v>
      </c>
      <c r="C813" s="2" t="s">
        <v>5074</v>
      </c>
      <c r="D813" t="s">
        <v>6155</v>
      </c>
      <c r="E813" s="2">
        <v>6</v>
      </c>
      <c r="F813" s="2" t="str" cm="1">
        <f t="array" ref="F813">_xlfn.XLOOKUP(C813, customers!$A$1:A1812, customers!$B$1:B1812, 0)</f>
        <v>Brice Romera</v>
      </c>
      <c r="G813" s="2" t="str">
        <f>IF(_xlfn.XLOOKUP(C813, customers!A812:A1812, customers!C812:C1812, 0)=0, "", _xlfn.XLOOKUP(C813, customers!A812:A1812, customers!C812:C1812, 0))</f>
        <v>bromeramj@list-manage.com</v>
      </c>
      <c r="H813" s="2" t="str" cm="1">
        <f t="array" ref="H813">_xlfn.XLOOKUP(C813, customers!$A$1:A1812, customers!$G$1:G1812,, 0)</f>
        <v>Ireland</v>
      </c>
      <c r="I813" t="str" cm="1">
        <f t="array" ref="I813">_xlfn.XLOOKUP(orders!D813, products!$A$1:A860, products!$B$1:B860, 0)</f>
        <v>Ara</v>
      </c>
      <c r="J813" t="str" cm="1">
        <f t="array" ref="J813">_xlfn.XLOOKUP(D813, products!$A$1:A860, products!$C$1:C860, 0)</f>
        <v>M</v>
      </c>
      <c r="K813" s="4" cm="1">
        <f t="array" ref="K813">_xlfn.XLOOKUP(D813, products!$A$1:A860, products!$D$1:D860, 0)</f>
        <v>1</v>
      </c>
      <c r="L813" s="4" cm="1">
        <f t="array" ref="L813">_xlfn.XLOOKUP(D813, products!$A$1:A860, products!$E$1:E860)</f>
        <v>11.25</v>
      </c>
      <c r="M813">
        <f t="shared" si="24"/>
        <v>67.5</v>
      </c>
      <c r="N813" t="str">
        <f t="shared" si="25"/>
        <v>Arabica</v>
      </c>
      <c r="O813" t="str" cm="1">
        <f t="array" ref="O813">_xlfn.IFS(J813="M", "Medium", J813="L", "Light", J813="D", "Dark")</f>
        <v>Medium</v>
      </c>
      <c r="P813" t="str">
        <f>_xlfn.XLOOKUP(Orders[[#This Row],[Customer ID]], customers!$A$2:$A$1001, customers!$I$2:$I$1001, 0)</f>
        <v>Yes</v>
      </c>
    </row>
    <row r="814" spans="1:16" x14ac:dyDescent="0.35">
      <c r="A814" s="2" t="s">
        <v>5073</v>
      </c>
      <c r="B814" s="3">
        <v>44114</v>
      </c>
      <c r="C814" s="2" t="s">
        <v>5074</v>
      </c>
      <c r="D814" t="s">
        <v>6165</v>
      </c>
      <c r="E814" s="2">
        <v>6</v>
      </c>
      <c r="F814" s="2" t="str" cm="1">
        <f t="array" ref="F814">_xlfn.XLOOKUP(C814, customers!$A$1:A1813, customers!$B$1:B1813, 0)</f>
        <v>Brice Romera</v>
      </c>
      <c r="G814" s="2" t="str">
        <f>IF(_xlfn.XLOOKUP(C814, customers!A813:A1813, customers!C813:C1813, 0)=0, "", _xlfn.XLOOKUP(C814, customers!A813:A1813, customers!C813:C1813, 0))</f>
        <v>bromeramj@list-manage.com</v>
      </c>
      <c r="H814" s="2" t="str" cm="1">
        <f t="array" ref="H814">_xlfn.XLOOKUP(C814, customers!$A$1:A1813, customers!$G$1:G1813,, 0)</f>
        <v>Ireland</v>
      </c>
      <c r="I814" t="str" cm="1">
        <f t="array" ref="I814">_xlfn.XLOOKUP(orders!D814, products!$A$1:A861, products!$B$1:B861, 0)</f>
        <v>Lib</v>
      </c>
      <c r="J814" t="str" cm="1">
        <f t="array" ref="J814">_xlfn.XLOOKUP(D814, products!$A$1:A861, products!$C$1:C861, 0)</f>
        <v>D</v>
      </c>
      <c r="K814" s="4" cm="1">
        <f t="array" ref="K814">_xlfn.XLOOKUP(D814, products!$A$1:A861, products!$D$1:D861, 0)</f>
        <v>2.5</v>
      </c>
      <c r="L814" s="4" cm="1">
        <f t="array" ref="L814">_xlfn.XLOOKUP(D814, products!$A$1:A861, products!$E$1:E861)</f>
        <v>29.784999999999997</v>
      </c>
      <c r="M814">
        <f t="shared" si="24"/>
        <v>178.70999999999998</v>
      </c>
      <c r="N814" t="str">
        <f t="shared" si="25"/>
        <v>Liberica</v>
      </c>
      <c r="O814" t="str" cm="1">
        <f t="array" ref="O814">_xlfn.IFS(J814="M", "Medium", J814="L", "Light", J814="D", "Dark")</f>
        <v>Dark</v>
      </c>
      <c r="P814" t="str">
        <f>_xlfn.XLOOKUP(Orders[[#This Row],[Customer ID]], customers!$A$2:$A$1001, customers!$I$2:$I$1001, 0)</f>
        <v>Yes</v>
      </c>
    </row>
    <row r="815" spans="1:16" x14ac:dyDescent="0.35">
      <c r="A815" s="2" t="s">
        <v>5084</v>
      </c>
      <c r="B815" s="3">
        <v>44173</v>
      </c>
      <c r="C815" s="2" t="s">
        <v>5085</v>
      </c>
      <c r="D815" t="s">
        <v>6166</v>
      </c>
      <c r="E815" s="2">
        <v>1</v>
      </c>
      <c r="F815" s="2" t="str" cm="1">
        <f t="array" ref="F815">_xlfn.XLOOKUP(C815, customers!$A$1:A1814, customers!$B$1:B1814, 0)</f>
        <v>Conchita Bryde</v>
      </c>
      <c r="G815" s="2" t="str">
        <f>IF(_xlfn.XLOOKUP(C815, customers!A814:A1814, customers!C814:C1814, 0)=0, "", _xlfn.XLOOKUP(C815, customers!A814:A1814, customers!C814:C1814, 0))</f>
        <v>cbrydeml@tuttocitta.it</v>
      </c>
      <c r="H815" s="2" t="str" cm="1">
        <f t="array" ref="H815">_xlfn.XLOOKUP(C815, customers!$A$1:A1814, customers!$G$1:G1814,, 0)</f>
        <v>United States</v>
      </c>
      <c r="I815" t="str" cm="1">
        <f t="array" ref="I815">_xlfn.XLOOKUP(orders!D815, products!$A$1:A862, products!$B$1:B862, 0)</f>
        <v>Exc</v>
      </c>
      <c r="J815" t="str" cm="1">
        <f t="array" ref="J815">_xlfn.XLOOKUP(D815, products!$A$1:A862, products!$C$1:C862, 0)</f>
        <v>M</v>
      </c>
      <c r="K815" s="4" cm="1">
        <f t="array" ref="K815">_xlfn.XLOOKUP(D815, products!$A$1:A862, products!$D$1:D862, 0)</f>
        <v>2.5</v>
      </c>
      <c r="L815" s="4" cm="1">
        <f t="array" ref="L815">_xlfn.XLOOKUP(D815, products!$A$1:A862, products!$E$1:E862)</f>
        <v>31.624999999999996</v>
      </c>
      <c r="M815">
        <f t="shared" si="24"/>
        <v>31.624999999999996</v>
      </c>
      <c r="N815" t="str">
        <f t="shared" si="25"/>
        <v>Excelsa</v>
      </c>
      <c r="O815" t="str" cm="1">
        <f t="array" ref="O815">_xlfn.IFS(J815="M", "Medium", J815="L", "Light", J815="D", "Dark")</f>
        <v>Medium</v>
      </c>
      <c r="P815" t="str">
        <f>_xlfn.XLOOKUP(Orders[[#This Row],[Customer ID]], customers!$A$2:$A$1001, customers!$I$2:$I$1001, 0)</f>
        <v>Yes</v>
      </c>
    </row>
    <row r="816" spans="1:16" x14ac:dyDescent="0.35">
      <c r="A816" s="2" t="s">
        <v>5090</v>
      </c>
      <c r="B816" s="3">
        <v>43573</v>
      </c>
      <c r="C816" s="2" t="s">
        <v>5091</v>
      </c>
      <c r="D816" t="s">
        <v>6184</v>
      </c>
      <c r="E816" s="2">
        <v>2</v>
      </c>
      <c r="F816" s="2" t="str" cm="1">
        <f t="array" ref="F816">_xlfn.XLOOKUP(C816, customers!$A$1:A1815, customers!$B$1:B1815, 0)</f>
        <v>Silvanus Enefer</v>
      </c>
      <c r="G816" s="2" t="str">
        <f>IF(_xlfn.XLOOKUP(C816, customers!A815:A1815, customers!C815:C1815, 0)=0, "", _xlfn.XLOOKUP(C816, customers!A815:A1815, customers!C815:C1815, 0))</f>
        <v>senefermm@blog.com</v>
      </c>
      <c r="H816" s="2" t="str" cm="1">
        <f t="array" ref="H816">_xlfn.XLOOKUP(C816, customers!$A$1:A1815, customers!$G$1:G1815,, 0)</f>
        <v>United States</v>
      </c>
      <c r="I816" t="str" cm="1">
        <f t="array" ref="I816">_xlfn.XLOOKUP(orders!D816, products!$A$1:A863, products!$B$1:B863, 0)</f>
        <v>Exc</v>
      </c>
      <c r="J816" t="str" cm="1">
        <f t="array" ref="J816">_xlfn.XLOOKUP(D816, products!$A$1:A863, products!$C$1:C863, 0)</f>
        <v>L</v>
      </c>
      <c r="K816" s="4" cm="1">
        <f t="array" ref="K816">_xlfn.XLOOKUP(D816, products!$A$1:A863, products!$D$1:D863, 0)</f>
        <v>0.2</v>
      </c>
      <c r="L816" s="4" cm="1">
        <f t="array" ref="L816">_xlfn.XLOOKUP(D816, products!$A$1:A863, products!$E$1:E863)</f>
        <v>4.4550000000000001</v>
      </c>
      <c r="M816">
        <f t="shared" si="24"/>
        <v>8.91</v>
      </c>
      <c r="N816" t="str">
        <f t="shared" si="25"/>
        <v>Excelsa</v>
      </c>
      <c r="O816" t="str" cm="1">
        <f t="array" ref="O816">_xlfn.IFS(J816="M", "Medium", J816="L", "Light", J816="D", "Dark")</f>
        <v>Light</v>
      </c>
      <c r="P816" t="str">
        <f>_xlfn.XLOOKUP(Orders[[#This Row],[Customer ID]], customers!$A$2:$A$1001, customers!$I$2:$I$1001, 0)</f>
        <v>No</v>
      </c>
    </row>
    <row r="817" spans="1:16" x14ac:dyDescent="0.35">
      <c r="A817" s="2" t="s">
        <v>5096</v>
      </c>
      <c r="B817" s="3">
        <v>44200</v>
      </c>
      <c r="C817" s="2" t="s">
        <v>5097</v>
      </c>
      <c r="D817" t="s">
        <v>6146</v>
      </c>
      <c r="E817" s="2">
        <v>6</v>
      </c>
      <c r="F817" s="2" t="str" cm="1">
        <f t="array" ref="F817">_xlfn.XLOOKUP(C817, customers!$A$1:A1816, customers!$B$1:B1816, 0)</f>
        <v>Lenci Haggerstone</v>
      </c>
      <c r="G817" s="2" t="str">
        <f>IF(_xlfn.XLOOKUP(C817, customers!A816:A1816, customers!C816:C1816, 0)=0, "", _xlfn.XLOOKUP(C817, customers!A816:A1816, customers!C816:C1816, 0))</f>
        <v>lhaggerstonemn@independent.co.uk</v>
      </c>
      <c r="H817" s="2" t="str" cm="1">
        <f t="array" ref="H817">_xlfn.XLOOKUP(C817, customers!$A$1:A1816, customers!$G$1:G1816,, 0)</f>
        <v>United States</v>
      </c>
      <c r="I817" t="str" cm="1">
        <f t="array" ref="I817">_xlfn.XLOOKUP(orders!D817, products!$A$1:A864, products!$B$1:B864, 0)</f>
        <v>Rob</v>
      </c>
      <c r="J817" t="str" cm="1">
        <f t="array" ref="J817">_xlfn.XLOOKUP(D817, products!$A$1:A864, products!$C$1:C864, 0)</f>
        <v>M</v>
      </c>
      <c r="K817" s="4" cm="1">
        <f t="array" ref="K817">_xlfn.XLOOKUP(D817, products!$A$1:A864, products!$D$1:D864, 0)</f>
        <v>0.5</v>
      </c>
      <c r="L817" s="4" cm="1">
        <f t="array" ref="L817">_xlfn.XLOOKUP(D817, products!$A$1:A864, products!$E$1:E864)</f>
        <v>5.97</v>
      </c>
      <c r="M817">
        <f t="shared" si="24"/>
        <v>35.82</v>
      </c>
      <c r="N817" t="str">
        <f t="shared" si="25"/>
        <v>Robusta</v>
      </c>
      <c r="O817" t="str" cm="1">
        <f t="array" ref="O817">_xlfn.IFS(J817="M", "Medium", J817="L", "Light", J817="D", "Dark")</f>
        <v>Medium</v>
      </c>
      <c r="P817" t="str">
        <f>_xlfn.XLOOKUP(Orders[[#This Row],[Customer ID]], customers!$A$2:$A$1001, customers!$I$2:$I$1001, 0)</f>
        <v>No</v>
      </c>
    </row>
    <row r="818" spans="1:16" x14ac:dyDescent="0.35">
      <c r="A818" s="2" t="s">
        <v>5102</v>
      </c>
      <c r="B818" s="3">
        <v>43534</v>
      </c>
      <c r="C818" s="2" t="s">
        <v>5103</v>
      </c>
      <c r="D818" t="s">
        <v>6161</v>
      </c>
      <c r="E818" s="2">
        <v>4</v>
      </c>
      <c r="F818" s="2" t="str" cm="1">
        <f t="array" ref="F818">_xlfn.XLOOKUP(C818, customers!$A$1:A1817, customers!$B$1:B1817, 0)</f>
        <v>Marvin Gundry</v>
      </c>
      <c r="G818" s="2" t="str">
        <f>IF(_xlfn.XLOOKUP(C818, customers!A817:A1817, customers!C817:C1817, 0)=0, "", _xlfn.XLOOKUP(C818, customers!A817:A1817, customers!C817:C1817, 0))</f>
        <v>mgundrymo@omniture.com</v>
      </c>
      <c r="H818" s="2" t="str" cm="1">
        <f t="array" ref="H818">_xlfn.XLOOKUP(C818, customers!$A$1:A1817, customers!$G$1:G1817,, 0)</f>
        <v>Ireland</v>
      </c>
      <c r="I818" t="str" cm="1">
        <f t="array" ref="I818">_xlfn.XLOOKUP(orders!D818, products!$A$1:A865, products!$B$1:B865, 0)</f>
        <v>Lib</v>
      </c>
      <c r="J818" t="str" cm="1">
        <f t="array" ref="J818">_xlfn.XLOOKUP(D818, products!$A$1:A865, products!$C$1:C865, 0)</f>
        <v>L</v>
      </c>
      <c r="K818" s="4" cm="1">
        <f t="array" ref="K818">_xlfn.XLOOKUP(D818, products!$A$1:A865, products!$D$1:D865, 0)</f>
        <v>0.5</v>
      </c>
      <c r="L818" s="4" cm="1">
        <f t="array" ref="L818">_xlfn.XLOOKUP(D818, products!$A$1:A865, products!$E$1:E865)</f>
        <v>9.51</v>
      </c>
      <c r="M818">
        <f t="shared" si="24"/>
        <v>38.04</v>
      </c>
      <c r="N818" t="str">
        <f t="shared" si="25"/>
        <v>Liberica</v>
      </c>
      <c r="O818" t="str" cm="1">
        <f t="array" ref="O818">_xlfn.IFS(J818="M", "Medium", J818="L", "Light", J818="D", "Dark")</f>
        <v>Light</v>
      </c>
      <c r="P818" t="str">
        <f>_xlfn.XLOOKUP(Orders[[#This Row],[Customer ID]], customers!$A$2:$A$1001, customers!$I$2:$I$1001, 0)</f>
        <v>No</v>
      </c>
    </row>
    <row r="819" spans="1:16" x14ac:dyDescent="0.35">
      <c r="A819" s="2" t="s">
        <v>5107</v>
      </c>
      <c r="B819" s="3">
        <v>43798</v>
      </c>
      <c r="C819" s="2" t="s">
        <v>5108</v>
      </c>
      <c r="D819" t="s">
        <v>6169</v>
      </c>
      <c r="E819" s="2">
        <v>2</v>
      </c>
      <c r="F819" s="2" t="str" cm="1">
        <f t="array" ref="F819">_xlfn.XLOOKUP(C819, customers!$A$1:A1818, customers!$B$1:B1818, 0)</f>
        <v>Bayard Wellan</v>
      </c>
      <c r="G819" s="2" t="str">
        <f>IF(_xlfn.XLOOKUP(C819, customers!A818:A1818, customers!C818:C1818, 0)=0, "", _xlfn.XLOOKUP(C819, customers!A818:A1818, customers!C818:C1818, 0))</f>
        <v>bwellanmp@cafepress.com</v>
      </c>
      <c r="H819" s="2" t="str" cm="1">
        <f t="array" ref="H819">_xlfn.XLOOKUP(C819, customers!$A$1:A1818, customers!$G$1:G1818,, 0)</f>
        <v>United States</v>
      </c>
      <c r="I819" t="str" cm="1">
        <f t="array" ref="I819">_xlfn.XLOOKUP(orders!D819, products!$A$1:A866, products!$B$1:B866, 0)</f>
        <v>Lib</v>
      </c>
      <c r="J819" t="str" cm="1">
        <f t="array" ref="J819">_xlfn.XLOOKUP(D819, products!$A$1:A866, products!$C$1:C866, 0)</f>
        <v>D</v>
      </c>
      <c r="K819" s="4" cm="1">
        <f t="array" ref="K819">_xlfn.XLOOKUP(D819, products!$A$1:A866, products!$D$1:D866, 0)</f>
        <v>0.5</v>
      </c>
      <c r="L819" s="4" cm="1">
        <f t="array" ref="L819">_xlfn.XLOOKUP(D819, products!$A$1:A866, products!$E$1:E866)</f>
        <v>7.77</v>
      </c>
      <c r="M819">
        <f t="shared" si="24"/>
        <v>15.54</v>
      </c>
      <c r="N819" t="str">
        <f t="shared" si="25"/>
        <v>Liberica</v>
      </c>
      <c r="O819" t="str" cm="1">
        <f t="array" ref="O819">_xlfn.IFS(J819="M", "Medium", J819="L", "Light", J819="D", "Dark")</f>
        <v>Dark</v>
      </c>
      <c r="P819" t="str">
        <f>_xlfn.XLOOKUP(Orders[[#This Row],[Customer ID]], customers!$A$2:$A$1001, customers!$I$2:$I$1001, 0)</f>
        <v>No</v>
      </c>
    </row>
    <row r="820" spans="1:16" x14ac:dyDescent="0.35">
      <c r="A820" s="2" t="s">
        <v>5112</v>
      </c>
      <c r="B820" s="3">
        <v>44761</v>
      </c>
      <c r="C820" s="2" t="s">
        <v>5113</v>
      </c>
      <c r="D820" t="s">
        <v>6170</v>
      </c>
      <c r="E820" s="2">
        <v>5</v>
      </c>
      <c r="F820" s="2" t="str" cm="1">
        <f t="array" ref="F820">_xlfn.XLOOKUP(C820, customers!$A$1:A1819, customers!$B$1:B1819, 0)</f>
        <v>Allis Wilmore</v>
      </c>
      <c r="G820" s="2" t="str">
        <f>IF(_xlfn.XLOOKUP(C820, customers!A819:A1819, customers!C819:C1819, 0)=0, "", _xlfn.XLOOKUP(C820, customers!A819:A1819, customers!C819:C1819, 0))</f>
        <v/>
      </c>
      <c r="H820" s="2" t="str" cm="1">
        <f t="array" ref="H820">_xlfn.XLOOKUP(C820, customers!$A$1:A1819, customers!$G$1:G1819,, 0)</f>
        <v>United States</v>
      </c>
      <c r="I820" t="str" cm="1">
        <f t="array" ref="I820">_xlfn.XLOOKUP(orders!D820, products!$A$1:A867, products!$B$1:B867, 0)</f>
        <v>Lib</v>
      </c>
      <c r="J820" t="str" cm="1">
        <f t="array" ref="J820">_xlfn.XLOOKUP(D820, products!$A$1:A867, products!$C$1:C867, 0)</f>
        <v>L</v>
      </c>
      <c r="K820" s="4" cm="1">
        <f t="array" ref="K820">_xlfn.XLOOKUP(D820, products!$A$1:A867, products!$D$1:D867, 0)</f>
        <v>1</v>
      </c>
      <c r="L820" s="4" cm="1">
        <f t="array" ref="L820">_xlfn.XLOOKUP(D820, products!$A$1:A867, products!$E$1:E867)</f>
        <v>15.85</v>
      </c>
      <c r="M820">
        <f t="shared" si="24"/>
        <v>79.25</v>
      </c>
      <c r="N820" t="str">
        <f t="shared" si="25"/>
        <v>Liberica</v>
      </c>
      <c r="O820" t="str" cm="1">
        <f t="array" ref="O820">_xlfn.IFS(J820="M", "Medium", J820="L", "Light", J820="D", "Dark")</f>
        <v>Light</v>
      </c>
      <c r="P820" t="str">
        <f>_xlfn.XLOOKUP(Orders[[#This Row],[Customer ID]], customers!$A$2:$A$1001, customers!$I$2:$I$1001, 0)</f>
        <v>No</v>
      </c>
    </row>
    <row r="821" spans="1:16" x14ac:dyDescent="0.35">
      <c r="A821" s="2" t="s">
        <v>5117</v>
      </c>
      <c r="B821" s="3">
        <v>44008</v>
      </c>
      <c r="C821" s="2" t="s">
        <v>5118</v>
      </c>
      <c r="D821" t="s">
        <v>6145</v>
      </c>
      <c r="E821" s="2">
        <v>1</v>
      </c>
      <c r="F821" s="2" t="str" cm="1">
        <f t="array" ref="F821">_xlfn.XLOOKUP(C821, customers!$A$1:A1820, customers!$B$1:B1820, 0)</f>
        <v>Caddric Atcheson</v>
      </c>
      <c r="G821" s="2" t="str">
        <f>IF(_xlfn.XLOOKUP(C821, customers!A820:A1820, customers!C820:C1820, 0)=0, "", _xlfn.XLOOKUP(C821, customers!A820:A1820, customers!C820:C1820, 0))</f>
        <v>catchesonmr@xinhuanet.com</v>
      </c>
      <c r="H821" s="2" t="str" cm="1">
        <f t="array" ref="H821">_xlfn.XLOOKUP(C821, customers!$A$1:A1820, customers!$G$1:G1820,, 0)</f>
        <v>United States</v>
      </c>
      <c r="I821" t="str" cm="1">
        <f t="array" ref="I821">_xlfn.XLOOKUP(orders!D821, products!$A$1:A868, products!$B$1:B868, 0)</f>
        <v>Lib</v>
      </c>
      <c r="J821" t="str" cm="1">
        <f t="array" ref="J821">_xlfn.XLOOKUP(D821, products!$A$1:A868, products!$C$1:C868, 0)</f>
        <v>L</v>
      </c>
      <c r="K821" s="4" cm="1">
        <f t="array" ref="K821">_xlfn.XLOOKUP(D821, products!$A$1:A868, products!$D$1:D868, 0)</f>
        <v>0.2</v>
      </c>
      <c r="L821" s="4" cm="1">
        <f t="array" ref="L821">_xlfn.XLOOKUP(D821, products!$A$1:A868, products!$E$1:E868)</f>
        <v>4.7549999999999999</v>
      </c>
      <c r="M821">
        <f t="shared" si="24"/>
        <v>4.7549999999999999</v>
      </c>
      <c r="N821" t="str">
        <f t="shared" si="25"/>
        <v>Liberica</v>
      </c>
      <c r="O821" t="str" cm="1">
        <f t="array" ref="O821">_xlfn.IFS(J821="M", "Medium", J821="L", "Light", J821="D", "Dark")</f>
        <v>Light</v>
      </c>
      <c r="P821" t="str">
        <f>_xlfn.XLOOKUP(Orders[[#This Row],[Customer ID]], customers!$A$2:$A$1001, customers!$I$2:$I$1001, 0)</f>
        <v>Yes</v>
      </c>
    </row>
    <row r="822" spans="1:16" x14ac:dyDescent="0.35">
      <c r="A822" s="2" t="s">
        <v>5123</v>
      </c>
      <c r="B822" s="3">
        <v>43510</v>
      </c>
      <c r="C822" s="2" t="s">
        <v>5124</v>
      </c>
      <c r="D822" t="s">
        <v>6141</v>
      </c>
      <c r="E822" s="2">
        <v>4</v>
      </c>
      <c r="F822" s="2" t="str" cm="1">
        <f t="array" ref="F822">_xlfn.XLOOKUP(C822, customers!$A$1:A1821, customers!$B$1:B1821, 0)</f>
        <v>Eustace Stenton</v>
      </c>
      <c r="G822" s="2" t="str">
        <f>IF(_xlfn.XLOOKUP(C822, customers!A821:A1821, customers!C821:C1821, 0)=0, "", _xlfn.XLOOKUP(C822, customers!A821:A1821, customers!C821:C1821, 0))</f>
        <v>estentonms@google.it</v>
      </c>
      <c r="H822" s="2" t="str" cm="1">
        <f t="array" ref="H822">_xlfn.XLOOKUP(C822, customers!$A$1:A1821, customers!$G$1:G1821,, 0)</f>
        <v>United States</v>
      </c>
      <c r="I822" t="str" cm="1">
        <f t="array" ref="I822">_xlfn.XLOOKUP(orders!D822, products!$A$1:A869, products!$B$1:B869, 0)</f>
        <v>Exc</v>
      </c>
      <c r="J822" t="str" cm="1">
        <f t="array" ref="J822">_xlfn.XLOOKUP(D822, products!$A$1:A869, products!$C$1:C869, 0)</f>
        <v>M</v>
      </c>
      <c r="K822" s="4" cm="1">
        <f t="array" ref="K822">_xlfn.XLOOKUP(D822, products!$A$1:A869, products!$D$1:D869, 0)</f>
        <v>1</v>
      </c>
      <c r="L822" s="4" cm="1">
        <f t="array" ref="L822">_xlfn.XLOOKUP(D822, products!$A$1:A869, products!$E$1:E869)</f>
        <v>13.75</v>
      </c>
      <c r="M822">
        <f t="shared" si="24"/>
        <v>55</v>
      </c>
      <c r="N822" t="str">
        <f t="shared" si="25"/>
        <v>Excelsa</v>
      </c>
      <c r="O822" t="str" cm="1">
        <f t="array" ref="O822">_xlfn.IFS(J822="M", "Medium", J822="L", "Light", J822="D", "Dark")</f>
        <v>Medium</v>
      </c>
      <c r="P822" t="str">
        <f>_xlfn.XLOOKUP(Orders[[#This Row],[Customer ID]], customers!$A$2:$A$1001, customers!$I$2:$I$1001, 0)</f>
        <v>Yes</v>
      </c>
    </row>
    <row r="823" spans="1:16" x14ac:dyDescent="0.35">
      <c r="A823" s="2" t="s">
        <v>5129</v>
      </c>
      <c r="B823" s="3">
        <v>44144</v>
      </c>
      <c r="C823" s="2" t="s">
        <v>5130</v>
      </c>
      <c r="D823" t="s">
        <v>6172</v>
      </c>
      <c r="E823" s="2">
        <v>5</v>
      </c>
      <c r="F823" s="2" t="str" cm="1">
        <f t="array" ref="F823">_xlfn.XLOOKUP(C823, customers!$A$1:A1822, customers!$B$1:B1822, 0)</f>
        <v>Ericka Tripp</v>
      </c>
      <c r="G823" s="2" t="str">
        <f>IF(_xlfn.XLOOKUP(C823, customers!A822:A1822, customers!C822:C1822, 0)=0, "", _xlfn.XLOOKUP(C823, customers!A822:A1822, customers!C822:C1822, 0))</f>
        <v>etrippmt@wp.com</v>
      </c>
      <c r="H823" s="2" t="str" cm="1">
        <f t="array" ref="H823">_xlfn.XLOOKUP(C823, customers!$A$1:A1822, customers!$G$1:G1822,, 0)</f>
        <v>United States</v>
      </c>
      <c r="I823" t="str" cm="1">
        <f t="array" ref="I823">_xlfn.XLOOKUP(orders!D823, products!$A$1:A870, products!$B$1:B870, 0)</f>
        <v>Rob</v>
      </c>
      <c r="J823" t="str" cm="1">
        <f t="array" ref="J823">_xlfn.XLOOKUP(D823, products!$A$1:A870, products!$C$1:C870, 0)</f>
        <v>D</v>
      </c>
      <c r="K823" s="4" cm="1">
        <f t="array" ref="K823">_xlfn.XLOOKUP(D823, products!$A$1:A870, products!$D$1:D870, 0)</f>
        <v>0.5</v>
      </c>
      <c r="L823" s="4" cm="1">
        <f t="array" ref="L823">_xlfn.XLOOKUP(D823, products!$A$1:A870, products!$E$1:E870)</f>
        <v>5.3699999999999992</v>
      </c>
      <c r="M823">
        <f t="shared" si="24"/>
        <v>26.849999999999994</v>
      </c>
      <c r="N823" t="str">
        <f t="shared" si="25"/>
        <v>Robusta</v>
      </c>
      <c r="O823" t="str" cm="1">
        <f t="array" ref="O823">_xlfn.IFS(J823="M", "Medium", J823="L", "Light", J823="D", "Dark")</f>
        <v>Dark</v>
      </c>
      <c r="P823" t="str">
        <f>_xlfn.XLOOKUP(Orders[[#This Row],[Customer ID]], customers!$A$2:$A$1001, customers!$I$2:$I$1001, 0)</f>
        <v>No</v>
      </c>
    </row>
    <row r="824" spans="1:16" x14ac:dyDescent="0.35">
      <c r="A824" s="2" t="s">
        <v>5135</v>
      </c>
      <c r="B824" s="3">
        <v>43585</v>
      </c>
      <c r="C824" s="2" t="s">
        <v>5136</v>
      </c>
      <c r="D824" t="s">
        <v>6148</v>
      </c>
      <c r="E824" s="2">
        <v>4</v>
      </c>
      <c r="F824" s="2" t="str" cm="1">
        <f t="array" ref="F824">_xlfn.XLOOKUP(C824, customers!$A$1:A1823, customers!$B$1:B1823, 0)</f>
        <v>Lyndsey MacManus</v>
      </c>
      <c r="G824" s="2" t="str">
        <f>IF(_xlfn.XLOOKUP(C824, customers!A823:A1823, customers!C823:C1823, 0)=0, "", _xlfn.XLOOKUP(C824, customers!A823:A1823, customers!C823:C1823, 0))</f>
        <v>lmacmanusmu@imdb.com</v>
      </c>
      <c r="H824" s="2" t="str" cm="1">
        <f t="array" ref="H824">_xlfn.XLOOKUP(C824, customers!$A$1:A1823, customers!$G$1:G1823,, 0)</f>
        <v>United States</v>
      </c>
      <c r="I824" t="str" cm="1">
        <f t="array" ref="I824">_xlfn.XLOOKUP(orders!D824, products!$A$1:A871, products!$B$1:B871, 0)</f>
        <v>Exc</v>
      </c>
      <c r="J824" t="str" cm="1">
        <f t="array" ref="J824">_xlfn.XLOOKUP(D824, products!$A$1:A871, products!$C$1:C871, 0)</f>
        <v>L</v>
      </c>
      <c r="K824" s="4" cm="1">
        <f t="array" ref="K824">_xlfn.XLOOKUP(D824, products!$A$1:A871, products!$D$1:D871, 0)</f>
        <v>2.5</v>
      </c>
      <c r="L824" s="4" cm="1">
        <f t="array" ref="L824">_xlfn.XLOOKUP(D824, products!$A$1:A871, products!$E$1:E871)</f>
        <v>34.154999999999994</v>
      </c>
      <c r="M824">
        <f t="shared" si="24"/>
        <v>136.61999999999998</v>
      </c>
      <c r="N824" t="str">
        <f t="shared" si="25"/>
        <v>Excelsa</v>
      </c>
      <c r="O824" t="str" cm="1">
        <f t="array" ref="O824">_xlfn.IFS(J824="M", "Medium", J824="L", "Light", J824="D", "Dark")</f>
        <v>Light</v>
      </c>
      <c r="P824" t="str">
        <f>_xlfn.XLOOKUP(Orders[[#This Row],[Customer ID]], customers!$A$2:$A$1001, customers!$I$2:$I$1001, 0)</f>
        <v>No</v>
      </c>
    </row>
    <row r="825" spans="1:16" x14ac:dyDescent="0.35">
      <c r="A825" s="2" t="s">
        <v>5141</v>
      </c>
      <c r="B825" s="3">
        <v>44134</v>
      </c>
      <c r="C825" s="2" t="s">
        <v>5142</v>
      </c>
      <c r="D825" t="s">
        <v>6170</v>
      </c>
      <c r="E825" s="2">
        <v>3</v>
      </c>
      <c r="F825" s="2" t="str" cm="1">
        <f t="array" ref="F825">_xlfn.XLOOKUP(C825, customers!$A$1:A1824, customers!$B$1:B1824, 0)</f>
        <v>Tess Benediktovich</v>
      </c>
      <c r="G825" s="2" t="str">
        <f>IF(_xlfn.XLOOKUP(C825, customers!A824:A1824, customers!C824:C1824, 0)=0, "", _xlfn.XLOOKUP(C825, customers!A824:A1824, customers!C824:C1824, 0))</f>
        <v>tbenediktovichmv@ebay.com</v>
      </c>
      <c r="H825" s="2" t="str" cm="1">
        <f t="array" ref="H825">_xlfn.XLOOKUP(C825, customers!$A$1:A1824, customers!$G$1:G1824,, 0)</f>
        <v>United States</v>
      </c>
      <c r="I825" t="str" cm="1">
        <f t="array" ref="I825">_xlfn.XLOOKUP(orders!D825, products!$A$1:A872, products!$B$1:B872, 0)</f>
        <v>Lib</v>
      </c>
      <c r="J825" t="str" cm="1">
        <f t="array" ref="J825">_xlfn.XLOOKUP(D825, products!$A$1:A872, products!$C$1:C872, 0)</f>
        <v>L</v>
      </c>
      <c r="K825" s="4" cm="1">
        <f t="array" ref="K825">_xlfn.XLOOKUP(D825, products!$A$1:A872, products!$D$1:D872, 0)</f>
        <v>1</v>
      </c>
      <c r="L825" s="4" cm="1">
        <f t="array" ref="L825">_xlfn.XLOOKUP(D825, products!$A$1:A872, products!$E$1:E872)</f>
        <v>15.85</v>
      </c>
      <c r="M825">
        <f t="shared" si="24"/>
        <v>47.55</v>
      </c>
      <c r="N825" t="str">
        <f t="shared" si="25"/>
        <v>Liberica</v>
      </c>
      <c r="O825" t="str" cm="1">
        <f t="array" ref="O825">_xlfn.IFS(J825="M", "Medium", J825="L", "Light", J825="D", "Dark")</f>
        <v>Light</v>
      </c>
      <c r="P825" t="str">
        <f>_xlfn.XLOOKUP(Orders[[#This Row],[Customer ID]], customers!$A$2:$A$1001, customers!$I$2:$I$1001, 0)</f>
        <v>Yes</v>
      </c>
    </row>
    <row r="826" spans="1:16" x14ac:dyDescent="0.35">
      <c r="A826" s="2" t="s">
        <v>5147</v>
      </c>
      <c r="B826" s="3">
        <v>43781</v>
      </c>
      <c r="C826" s="2" t="s">
        <v>5148</v>
      </c>
      <c r="D826" t="s">
        <v>6152</v>
      </c>
      <c r="E826" s="2">
        <v>5</v>
      </c>
      <c r="F826" s="2" t="str" cm="1">
        <f t="array" ref="F826">_xlfn.XLOOKUP(C826, customers!$A$1:A1825, customers!$B$1:B1825, 0)</f>
        <v>Correy Bourner</v>
      </c>
      <c r="G826" s="2" t="str">
        <f>IF(_xlfn.XLOOKUP(C826, customers!A825:A1825, customers!C825:C1825, 0)=0, "", _xlfn.XLOOKUP(C826, customers!A825:A1825, customers!C825:C1825, 0))</f>
        <v>cbournermw@chronoengine.com</v>
      </c>
      <c r="H826" s="2" t="str" cm="1">
        <f t="array" ref="H826">_xlfn.XLOOKUP(C826, customers!$A$1:A1825, customers!$G$1:G1825,, 0)</f>
        <v>United States</v>
      </c>
      <c r="I826" t="str" cm="1">
        <f t="array" ref="I826">_xlfn.XLOOKUP(orders!D826, products!$A$1:A873, products!$B$1:B873, 0)</f>
        <v>Ara</v>
      </c>
      <c r="J826" t="str" cm="1">
        <f t="array" ref="J826">_xlfn.XLOOKUP(D826, products!$A$1:A873, products!$C$1:C873, 0)</f>
        <v>M</v>
      </c>
      <c r="K826" s="4" cm="1">
        <f t="array" ref="K826">_xlfn.XLOOKUP(D826, products!$A$1:A873, products!$D$1:D873, 0)</f>
        <v>0.2</v>
      </c>
      <c r="L826" s="4" cm="1">
        <f t="array" ref="L826">_xlfn.XLOOKUP(D826, products!$A$1:A873, products!$E$1:E873)</f>
        <v>3.375</v>
      </c>
      <c r="M826">
        <f t="shared" si="24"/>
        <v>16.875</v>
      </c>
      <c r="N826" t="str">
        <f t="shared" si="25"/>
        <v>Arabica</v>
      </c>
      <c r="O826" t="str" cm="1">
        <f t="array" ref="O826">_xlfn.IFS(J826="M", "Medium", J826="L", "Light", J826="D", "Dark")</f>
        <v>Medium</v>
      </c>
      <c r="P826" t="str">
        <f>_xlfn.XLOOKUP(Orders[[#This Row],[Customer ID]], customers!$A$2:$A$1001, customers!$I$2:$I$1001, 0)</f>
        <v>Yes</v>
      </c>
    </row>
    <row r="827" spans="1:16" x14ac:dyDescent="0.35">
      <c r="A827" s="2" t="s">
        <v>5152</v>
      </c>
      <c r="B827" s="3">
        <v>44603</v>
      </c>
      <c r="C827" s="2" t="s">
        <v>5188</v>
      </c>
      <c r="D827" t="s">
        <v>6147</v>
      </c>
      <c r="E827" s="2">
        <v>3</v>
      </c>
      <c r="F827" s="2" t="str" cm="1">
        <f t="array" ref="F827">_xlfn.XLOOKUP(C827, customers!$A$1:A1826, customers!$B$1:B1826, 0)</f>
        <v>Odelia Skerme</v>
      </c>
      <c r="G827" s="2" t="str">
        <f>IF(_xlfn.XLOOKUP(C827, customers!A826:A1826, customers!C826:C1826, 0)=0, "", _xlfn.XLOOKUP(C827, customers!A826:A1826, customers!C826:C1826, 0))</f>
        <v>oskermen3@hatena.ne.jp</v>
      </c>
      <c r="H827" s="2" t="str" cm="1">
        <f t="array" ref="H827">_xlfn.XLOOKUP(C827, customers!$A$1:A1826, customers!$G$1:G1826,, 0)</f>
        <v>United States</v>
      </c>
      <c r="I827" t="str" cm="1">
        <f t="array" ref="I827">_xlfn.XLOOKUP(orders!D827, products!$A$1:A874, products!$B$1:B874, 0)</f>
        <v>Ara</v>
      </c>
      <c r="J827" t="str" cm="1">
        <f t="array" ref="J827">_xlfn.XLOOKUP(D827, products!$A$1:A874, products!$C$1:C874, 0)</f>
        <v>D</v>
      </c>
      <c r="K827" s="4" cm="1">
        <f t="array" ref="K827">_xlfn.XLOOKUP(D827, products!$A$1:A874, products!$D$1:D874, 0)</f>
        <v>1</v>
      </c>
      <c r="L827" s="4" cm="1">
        <f t="array" ref="L827">_xlfn.XLOOKUP(D827, products!$A$1:A874, products!$E$1:E874)</f>
        <v>9.9499999999999993</v>
      </c>
      <c r="M827">
        <f t="shared" si="24"/>
        <v>29.849999999999998</v>
      </c>
      <c r="N827" t="str">
        <f t="shared" si="25"/>
        <v>Arabica</v>
      </c>
      <c r="O827" t="str" cm="1">
        <f t="array" ref="O827">_xlfn.IFS(J827="M", "Medium", J827="L", "Light", J827="D", "Dark")</f>
        <v>Dark</v>
      </c>
      <c r="P827" t="str">
        <f>_xlfn.XLOOKUP(Orders[[#This Row],[Customer ID]], customers!$A$2:$A$1001, customers!$I$2:$I$1001, 0)</f>
        <v>Yes</v>
      </c>
    </row>
    <row r="828" spans="1:16" x14ac:dyDescent="0.35">
      <c r="A828" s="2" t="s">
        <v>5158</v>
      </c>
      <c r="B828" s="3">
        <v>44283</v>
      </c>
      <c r="C828" s="2" t="s">
        <v>5159</v>
      </c>
      <c r="D828" t="s">
        <v>6139</v>
      </c>
      <c r="E828" s="2">
        <v>5</v>
      </c>
      <c r="F828" s="2" t="str" cm="1">
        <f t="array" ref="F828">_xlfn.XLOOKUP(C828, customers!$A$1:A1827, customers!$B$1:B1827, 0)</f>
        <v>Kandy Heddan</v>
      </c>
      <c r="G828" s="2" t="str">
        <f>IF(_xlfn.XLOOKUP(C828, customers!A827:A1827, customers!C827:C1827, 0)=0, "", _xlfn.XLOOKUP(C828, customers!A827:A1827, customers!C827:C1827, 0))</f>
        <v>kheddanmy@icq.com</v>
      </c>
      <c r="H828" s="2" t="str" cm="1">
        <f t="array" ref="H828">_xlfn.XLOOKUP(C828, customers!$A$1:A1827, customers!$G$1:G1827,, 0)</f>
        <v>United States</v>
      </c>
      <c r="I828" t="str" cm="1">
        <f t="array" ref="I828">_xlfn.XLOOKUP(orders!D828, products!$A$1:A875, products!$B$1:B875, 0)</f>
        <v>Exc</v>
      </c>
      <c r="J828" t="str" cm="1">
        <f t="array" ref="J828">_xlfn.XLOOKUP(D828, products!$A$1:A875, products!$C$1:C875, 0)</f>
        <v>M</v>
      </c>
      <c r="K828" s="4" cm="1">
        <f t="array" ref="K828">_xlfn.XLOOKUP(D828, products!$A$1:A875, products!$D$1:D875, 0)</f>
        <v>0.5</v>
      </c>
      <c r="L828" s="4" cm="1">
        <f t="array" ref="L828">_xlfn.XLOOKUP(D828, products!$A$1:A875, products!$E$1:E875)</f>
        <v>8.25</v>
      </c>
      <c r="M828">
        <f t="shared" si="24"/>
        <v>41.25</v>
      </c>
      <c r="N828" t="str">
        <f t="shared" si="25"/>
        <v>Excelsa</v>
      </c>
      <c r="O828" t="str" cm="1">
        <f t="array" ref="O828">_xlfn.IFS(J828="M", "Medium", J828="L", "Light", J828="D", "Dark")</f>
        <v>Medium</v>
      </c>
      <c r="P828" t="str">
        <f>_xlfn.XLOOKUP(Orders[[#This Row],[Customer ID]], customers!$A$2:$A$1001, customers!$I$2:$I$1001, 0)</f>
        <v>Yes</v>
      </c>
    </row>
    <row r="829" spans="1:16" x14ac:dyDescent="0.35">
      <c r="A829" s="2" t="s">
        <v>5164</v>
      </c>
      <c r="B829" s="3">
        <v>44540</v>
      </c>
      <c r="C829" s="2" t="s">
        <v>5165</v>
      </c>
      <c r="D829" t="s">
        <v>6156</v>
      </c>
      <c r="E829" s="2">
        <v>5</v>
      </c>
      <c r="F829" s="2" t="str" cm="1">
        <f t="array" ref="F829">_xlfn.XLOOKUP(C829, customers!$A$1:A1828, customers!$B$1:B1828, 0)</f>
        <v>Ibby Charters</v>
      </c>
      <c r="G829" s="2" t="str">
        <f>IF(_xlfn.XLOOKUP(C829, customers!A828:A1828, customers!C828:C1828, 0)=0, "", _xlfn.XLOOKUP(C829, customers!A828:A1828, customers!C828:C1828, 0))</f>
        <v>ichartersmz@abc.net.au</v>
      </c>
      <c r="H829" s="2" t="str" cm="1">
        <f t="array" ref="H829">_xlfn.XLOOKUP(C829, customers!$A$1:A1828, customers!$G$1:G1828,, 0)</f>
        <v>United States</v>
      </c>
      <c r="I829" t="str" cm="1">
        <f t="array" ref="I829">_xlfn.XLOOKUP(orders!D829, products!$A$1:A876, products!$B$1:B876, 0)</f>
        <v>Exc</v>
      </c>
      <c r="J829" t="str" cm="1">
        <f t="array" ref="J829">_xlfn.XLOOKUP(D829, products!$A$1:A876, products!$C$1:C876, 0)</f>
        <v>M</v>
      </c>
      <c r="K829" s="4" cm="1">
        <f t="array" ref="K829">_xlfn.XLOOKUP(D829, products!$A$1:A876, products!$D$1:D876, 0)</f>
        <v>0.2</v>
      </c>
      <c r="L829" s="4" cm="1">
        <f t="array" ref="L829">_xlfn.XLOOKUP(D829, products!$A$1:A876, products!$E$1:E876)</f>
        <v>4.125</v>
      </c>
      <c r="M829">
        <f t="shared" si="24"/>
        <v>20.625</v>
      </c>
      <c r="N829" t="str">
        <f t="shared" si="25"/>
        <v>Excelsa</v>
      </c>
      <c r="O829" t="str" cm="1">
        <f t="array" ref="O829">_xlfn.IFS(J829="M", "Medium", J829="L", "Light", J829="D", "Dark")</f>
        <v>Medium</v>
      </c>
      <c r="P829" t="str">
        <f>_xlfn.XLOOKUP(Orders[[#This Row],[Customer ID]], customers!$A$2:$A$1001, customers!$I$2:$I$1001, 0)</f>
        <v>No</v>
      </c>
    </row>
    <row r="830" spans="1:16" x14ac:dyDescent="0.35">
      <c r="A830" s="2" t="s">
        <v>5170</v>
      </c>
      <c r="B830" s="3">
        <v>44505</v>
      </c>
      <c r="C830" s="2" t="s">
        <v>5171</v>
      </c>
      <c r="D830" t="s">
        <v>6168</v>
      </c>
      <c r="E830" s="2">
        <v>6</v>
      </c>
      <c r="F830" s="2" t="str" cm="1">
        <f t="array" ref="F830">_xlfn.XLOOKUP(C830, customers!$A$1:A1829, customers!$B$1:B1829, 0)</f>
        <v>Adora Roubert</v>
      </c>
      <c r="G830" s="2" t="str">
        <f>IF(_xlfn.XLOOKUP(C830, customers!A829:A1829, customers!C829:C1829, 0)=0, "", _xlfn.XLOOKUP(C830, customers!A829:A1829, customers!C829:C1829, 0))</f>
        <v>aroubertn0@tmall.com</v>
      </c>
      <c r="H830" s="2" t="str" cm="1">
        <f t="array" ref="H830">_xlfn.XLOOKUP(C830, customers!$A$1:A1829, customers!$G$1:G1829,, 0)</f>
        <v>United States</v>
      </c>
      <c r="I830" t="str" cm="1">
        <f t="array" ref="I830">_xlfn.XLOOKUP(orders!D830, products!$A$1:A877, products!$B$1:B877, 0)</f>
        <v>Ara</v>
      </c>
      <c r="J830" t="str" cm="1">
        <f t="array" ref="J830">_xlfn.XLOOKUP(D830, products!$A$1:A877, products!$C$1:C877, 0)</f>
        <v>D</v>
      </c>
      <c r="K830" s="4" cm="1">
        <f t="array" ref="K830">_xlfn.XLOOKUP(D830, products!$A$1:A877, products!$D$1:D877, 0)</f>
        <v>2.5</v>
      </c>
      <c r="L830" s="4" cm="1">
        <f t="array" ref="L830">_xlfn.XLOOKUP(D830, products!$A$1:A877, products!$E$1:E877)</f>
        <v>22.884999999999998</v>
      </c>
      <c r="M830">
        <f t="shared" si="24"/>
        <v>137.31</v>
      </c>
      <c r="N830" t="str">
        <f t="shared" si="25"/>
        <v>Arabica</v>
      </c>
      <c r="O830" t="str" cm="1">
        <f t="array" ref="O830">_xlfn.IFS(J830="M", "Medium", J830="L", "Light", J830="D", "Dark")</f>
        <v>Dark</v>
      </c>
      <c r="P830" t="str">
        <f>_xlfn.XLOOKUP(Orders[[#This Row],[Customer ID]], customers!$A$2:$A$1001, customers!$I$2:$I$1001, 0)</f>
        <v>Yes</v>
      </c>
    </row>
    <row r="831" spans="1:16" x14ac:dyDescent="0.35">
      <c r="A831" s="2" t="s">
        <v>5176</v>
      </c>
      <c r="B831" s="3">
        <v>43890</v>
      </c>
      <c r="C831" s="2" t="s">
        <v>5177</v>
      </c>
      <c r="D831" t="s">
        <v>6154</v>
      </c>
      <c r="E831" s="2">
        <v>1</v>
      </c>
      <c r="F831" s="2" t="str" cm="1">
        <f t="array" ref="F831">_xlfn.XLOOKUP(C831, customers!$A$1:A1830, customers!$B$1:B1830, 0)</f>
        <v>Hillel Mairs</v>
      </c>
      <c r="G831" s="2" t="str">
        <f>IF(_xlfn.XLOOKUP(C831, customers!A830:A1830, customers!C830:C1830, 0)=0, "", _xlfn.XLOOKUP(C831, customers!A830:A1830, customers!C830:C1830, 0))</f>
        <v>hmairsn1@so-net.ne.jp</v>
      </c>
      <c r="H831" s="2" t="str" cm="1">
        <f t="array" ref="H831">_xlfn.XLOOKUP(C831, customers!$A$1:A1830, customers!$G$1:G1830,, 0)</f>
        <v>United States</v>
      </c>
      <c r="I831" t="str" cm="1">
        <f t="array" ref="I831">_xlfn.XLOOKUP(orders!D831, products!$A$1:A878, products!$B$1:B878, 0)</f>
        <v>Ara</v>
      </c>
      <c r="J831" t="str" cm="1">
        <f t="array" ref="J831">_xlfn.XLOOKUP(D831, products!$A$1:A878, products!$C$1:C878, 0)</f>
        <v>D</v>
      </c>
      <c r="K831" s="4" cm="1">
        <f t="array" ref="K831">_xlfn.XLOOKUP(D831, products!$A$1:A878, products!$D$1:D878, 0)</f>
        <v>0.2</v>
      </c>
      <c r="L831" s="4" cm="1">
        <f t="array" ref="L831">_xlfn.XLOOKUP(D831, products!$A$1:A878, products!$E$1:E878)</f>
        <v>2.9849999999999999</v>
      </c>
      <c r="M831">
        <f t="shared" si="24"/>
        <v>2.9849999999999999</v>
      </c>
      <c r="N831" t="str">
        <f t="shared" si="25"/>
        <v>Arabica</v>
      </c>
      <c r="O831" t="str" cm="1">
        <f t="array" ref="O831">_xlfn.IFS(J831="M", "Medium", J831="L", "Light", J831="D", "Dark")</f>
        <v>Dark</v>
      </c>
      <c r="P831" t="str">
        <f>_xlfn.XLOOKUP(Orders[[#This Row],[Customer ID]], customers!$A$2:$A$1001, customers!$I$2:$I$1001, 0)</f>
        <v>No</v>
      </c>
    </row>
    <row r="832" spans="1:16" x14ac:dyDescent="0.35">
      <c r="A832" s="2" t="s">
        <v>5182</v>
      </c>
      <c r="B832" s="3">
        <v>44414</v>
      </c>
      <c r="C832" s="2" t="s">
        <v>5183</v>
      </c>
      <c r="D832" t="s">
        <v>6141</v>
      </c>
      <c r="E832" s="2">
        <v>2</v>
      </c>
      <c r="F832" s="2" t="str" cm="1">
        <f t="array" ref="F832">_xlfn.XLOOKUP(C832, customers!$A$1:A1831, customers!$B$1:B1831, 0)</f>
        <v>Helaina Rainforth</v>
      </c>
      <c r="G832" s="2" t="str">
        <f>IF(_xlfn.XLOOKUP(C832, customers!A831:A1831, customers!C831:C1831, 0)=0, "", _xlfn.XLOOKUP(C832, customers!A831:A1831, customers!C831:C1831, 0))</f>
        <v>hrainforthn2@blog.com</v>
      </c>
      <c r="H832" s="2" t="str" cm="1">
        <f t="array" ref="H832">_xlfn.XLOOKUP(C832, customers!$A$1:A1831, customers!$G$1:G1831,, 0)</f>
        <v>United States</v>
      </c>
      <c r="I832" t="str" cm="1">
        <f t="array" ref="I832">_xlfn.XLOOKUP(orders!D832, products!$A$1:A879, products!$B$1:B879, 0)</f>
        <v>Exc</v>
      </c>
      <c r="J832" t="str" cm="1">
        <f t="array" ref="J832">_xlfn.XLOOKUP(D832, products!$A$1:A879, products!$C$1:C879, 0)</f>
        <v>M</v>
      </c>
      <c r="K832" s="4" cm="1">
        <f t="array" ref="K832">_xlfn.XLOOKUP(D832, products!$A$1:A879, products!$D$1:D879, 0)</f>
        <v>1</v>
      </c>
      <c r="L832" s="4" cm="1">
        <f t="array" ref="L832">_xlfn.XLOOKUP(D832, products!$A$1:A879, products!$E$1:E879)</f>
        <v>13.75</v>
      </c>
      <c r="M832">
        <f t="shared" si="24"/>
        <v>27.5</v>
      </c>
      <c r="N832" t="str">
        <f t="shared" si="25"/>
        <v>Excelsa</v>
      </c>
      <c r="O832" t="str" cm="1">
        <f t="array" ref="O832">_xlfn.IFS(J832="M", "Medium", J832="L", "Light", J832="D", "Dark")</f>
        <v>Medium</v>
      </c>
      <c r="P832" t="str">
        <f>_xlfn.XLOOKUP(Orders[[#This Row],[Customer ID]], customers!$A$2:$A$1001, customers!$I$2:$I$1001, 0)</f>
        <v>No</v>
      </c>
    </row>
    <row r="833" spans="1:16" x14ac:dyDescent="0.35">
      <c r="A833" s="2" t="s">
        <v>5182</v>
      </c>
      <c r="B833" s="3">
        <v>44414</v>
      </c>
      <c r="C833" s="2" t="s">
        <v>5183</v>
      </c>
      <c r="D833" t="s">
        <v>6154</v>
      </c>
      <c r="E833" s="2">
        <v>2</v>
      </c>
      <c r="F833" s="2" t="str" cm="1">
        <f t="array" ref="F833">_xlfn.XLOOKUP(C833, customers!$A$1:A1832, customers!$B$1:B1832, 0)</f>
        <v>Helaina Rainforth</v>
      </c>
      <c r="G833" s="2" t="str">
        <f>IF(_xlfn.XLOOKUP(C833, customers!A832:A1832, customers!C832:C1832, 0)=0, "", _xlfn.XLOOKUP(C833, customers!A832:A1832, customers!C832:C1832, 0))</f>
        <v>hrainforthn2@blog.com</v>
      </c>
      <c r="H833" s="2" t="str" cm="1">
        <f t="array" ref="H833">_xlfn.XLOOKUP(C833, customers!$A$1:A1832, customers!$G$1:G1832,, 0)</f>
        <v>United States</v>
      </c>
      <c r="I833" t="str" cm="1">
        <f t="array" ref="I833">_xlfn.XLOOKUP(orders!D833, products!$A$1:A880, products!$B$1:B880, 0)</f>
        <v>Ara</v>
      </c>
      <c r="J833" t="str" cm="1">
        <f t="array" ref="J833">_xlfn.XLOOKUP(D833, products!$A$1:A880, products!$C$1:C880, 0)</f>
        <v>D</v>
      </c>
      <c r="K833" s="4" cm="1">
        <f t="array" ref="K833">_xlfn.XLOOKUP(D833, products!$A$1:A880, products!$D$1:D880, 0)</f>
        <v>0.2</v>
      </c>
      <c r="L833" s="4" cm="1">
        <f t="array" ref="L833">_xlfn.XLOOKUP(D833, products!$A$1:A880, products!$E$1:E880)</f>
        <v>2.9849999999999999</v>
      </c>
      <c r="M833">
        <f t="shared" si="24"/>
        <v>5.97</v>
      </c>
      <c r="N833" t="str">
        <f t="shared" si="25"/>
        <v>Arabica</v>
      </c>
      <c r="O833" t="str" cm="1">
        <f t="array" ref="O833">_xlfn.IFS(J833="M", "Medium", J833="L", "Light", J833="D", "Dark")</f>
        <v>Dark</v>
      </c>
      <c r="P833" t="str">
        <f>_xlfn.XLOOKUP(Orders[[#This Row],[Customer ID]], customers!$A$2:$A$1001, customers!$I$2:$I$1001, 0)</f>
        <v>No</v>
      </c>
    </row>
    <row r="834" spans="1:16" x14ac:dyDescent="0.35">
      <c r="A834" s="2" t="s">
        <v>5193</v>
      </c>
      <c r="B834" s="3">
        <v>44274</v>
      </c>
      <c r="C834" s="2" t="s">
        <v>5194</v>
      </c>
      <c r="D834" t="s">
        <v>6138</v>
      </c>
      <c r="E834" s="2">
        <v>6</v>
      </c>
      <c r="F834" s="2" t="str" cm="1">
        <f t="array" ref="F834">_xlfn.XLOOKUP(C834, customers!$A$1:A1833, customers!$B$1:B1833, 0)</f>
        <v>Isac Jesper</v>
      </c>
      <c r="G834" s="2" t="str">
        <f>IF(_xlfn.XLOOKUP(C834, customers!A833:A1833, customers!C833:C1833, 0)=0, "", _xlfn.XLOOKUP(C834, customers!A833:A1833, customers!C833:C1833, 0))</f>
        <v>ijespern4@theglobeandmail.com</v>
      </c>
      <c r="H834" s="2" t="str" cm="1">
        <f t="array" ref="H834">_xlfn.XLOOKUP(C834, customers!$A$1:A1833, customers!$G$1:G1833,, 0)</f>
        <v>United States</v>
      </c>
      <c r="I834" t="str" cm="1">
        <f t="array" ref="I834">_xlfn.XLOOKUP(orders!D834, products!$A$1:A881, products!$B$1:B881, 0)</f>
        <v>Rob</v>
      </c>
      <c r="J834" t="str" cm="1">
        <f t="array" ref="J834">_xlfn.XLOOKUP(D834, products!$A$1:A881, products!$C$1:C881, 0)</f>
        <v>M</v>
      </c>
      <c r="K834" s="4" cm="1">
        <f t="array" ref="K834">_xlfn.XLOOKUP(D834, products!$A$1:A881, products!$D$1:D881, 0)</f>
        <v>1</v>
      </c>
      <c r="L834" s="4" cm="1">
        <f t="array" ref="L834">_xlfn.XLOOKUP(D834, products!$A$1:A881, products!$E$1:E881)</f>
        <v>9.9499999999999993</v>
      </c>
      <c r="M834">
        <f t="shared" si="24"/>
        <v>59.699999999999996</v>
      </c>
      <c r="N834" t="str">
        <f t="shared" si="25"/>
        <v>Robusta</v>
      </c>
      <c r="O834" t="str" cm="1">
        <f t="array" ref="O834">_xlfn.IFS(J834="M", "Medium", J834="L", "Light", J834="D", "Dark")</f>
        <v>Medium</v>
      </c>
      <c r="P834" t="str">
        <f>_xlfn.XLOOKUP(Orders[[#This Row],[Customer ID]], customers!$A$2:$A$1001, customers!$I$2:$I$1001, 0)</f>
        <v>No</v>
      </c>
    </row>
    <row r="835" spans="1:16" x14ac:dyDescent="0.35">
      <c r="A835" s="2" t="s">
        <v>5199</v>
      </c>
      <c r="B835" s="3">
        <v>44302</v>
      </c>
      <c r="C835" s="2" t="s">
        <v>5200</v>
      </c>
      <c r="D835" t="s">
        <v>6149</v>
      </c>
      <c r="E835" s="2">
        <v>4</v>
      </c>
      <c r="F835" s="2" t="str" cm="1">
        <f t="array" ref="F835">_xlfn.XLOOKUP(C835, customers!$A$1:A1834, customers!$B$1:B1834, 0)</f>
        <v>Lenette Dwerryhouse</v>
      </c>
      <c r="G835" s="2" t="str">
        <f>IF(_xlfn.XLOOKUP(C835, customers!A834:A1834, customers!C834:C1834, 0)=0, "", _xlfn.XLOOKUP(C835, customers!A834:A1834, customers!C834:C1834, 0))</f>
        <v>ldwerryhousen5@gravatar.com</v>
      </c>
      <c r="H835" s="2" t="str" cm="1">
        <f t="array" ref="H835">_xlfn.XLOOKUP(C835, customers!$A$1:A1834, customers!$G$1:G1834,, 0)</f>
        <v>United States</v>
      </c>
      <c r="I835" t="str" cm="1">
        <f t="array" ref="I835">_xlfn.XLOOKUP(orders!D835, products!$A$1:A882, products!$B$1:B882, 0)</f>
        <v>Rob</v>
      </c>
      <c r="J835" t="str" cm="1">
        <f t="array" ref="J835">_xlfn.XLOOKUP(D835, products!$A$1:A882, products!$C$1:C882, 0)</f>
        <v>D</v>
      </c>
      <c r="K835" s="4" cm="1">
        <f t="array" ref="K835">_xlfn.XLOOKUP(D835, products!$A$1:A882, products!$D$1:D882, 0)</f>
        <v>2.5</v>
      </c>
      <c r="L835" s="4" cm="1">
        <f t="array" ref="L835">_xlfn.XLOOKUP(D835, products!$A$1:A882, products!$E$1:E882)</f>
        <v>20.584999999999997</v>
      </c>
      <c r="M835">
        <f t="shared" ref="M835:M898" si="26">L835*E835</f>
        <v>82.339999999999989</v>
      </c>
      <c r="N835" t="str">
        <f t="shared" ref="N835:N898" si="27">IF(I835="Rob", "Robusta", IF(I835="Exc", "Excelsa", IF(I835="Ara", "Arabica", IF(I835="Lib", "Liberica", ""))))</f>
        <v>Robusta</v>
      </c>
      <c r="O835" t="str" cm="1">
        <f t="array" ref="O835">_xlfn.IFS(J835="M", "Medium", J835="L", "Light", J835="D", "Dark")</f>
        <v>Dark</v>
      </c>
      <c r="P835" t="str">
        <f>_xlfn.XLOOKUP(Orders[[#This Row],[Customer ID]], customers!$A$2:$A$1001, customers!$I$2:$I$1001, 0)</f>
        <v>Yes</v>
      </c>
    </row>
    <row r="836" spans="1:16" x14ac:dyDescent="0.35">
      <c r="A836" s="2" t="s">
        <v>5205</v>
      </c>
      <c r="B836" s="3">
        <v>44141</v>
      </c>
      <c r="C836" s="2" t="s">
        <v>5206</v>
      </c>
      <c r="D836" t="s">
        <v>6168</v>
      </c>
      <c r="E836" s="2">
        <v>1</v>
      </c>
      <c r="F836" s="2" t="str" cm="1">
        <f t="array" ref="F836">_xlfn.XLOOKUP(C836, customers!$A$1:A1835, customers!$B$1:B1835, 0)</f>
        <v>Nadeen Broomer</v>
      </c>
      <c r="G836" s="2" t="str">
        <f>IF(_xlfn.XLOOKUP(C836, customers!A835:A1835, customers!C835:C1835, 0)=0, "", _xlfn.XLOOKUP(C836, customers!A835:A1835, customers!C835:C1835, 0))</f>
        <v>nbroomern6@examiner.com</v>
      </c>
      <c r="H836" s="2" t="str" cm="1">
        <f t="array" ref="H836">_xlfn.XLOOKUP(C836, customers!$A$1:A1835, customers!$G$1:G1835,, 0)</f>
        <v>United States</v>
      </c>
      <c r="I836" t="str" cm="1">
        <f t="array" ref="I836">_xlfn.XLOOKUP(orders!D836, products!$A$1:A883, products!$B$1:B883, 0)</f>
        <v>Ara</v>
      </c>
      <c r="J836" t="str" cm="1">
        <f t="array" ref="J836">_xlfn.XLOOKUP(D836, products!$A$1:A883, products!$C$1:C883, 0)</f>
        <v>D</v>
      </c>
      <c r="K836" s="4" cm="1">
        <f t="array" ref="K836">_xlfn.XLOOKUP(D836, products!$A$1:A883, products!$D$1:D883, 0)</f>
        <v>2.5</v>
      </c>
      <c r="L836" s="4" cm="1">
        <f t="array" ref="L836">_xlfn.XLOOKUP(D836, products!$A$1:A883, products!$E$1:E883)</f>
        <v>22.884999999999998</v>
      </c>
      <c r="M836">
        <f t="shared" si="26"/>
        <v>22.884999999999998</v>
      </c>
      <c r="N836" t="str">
        <f t="shared" si="27"/>
        <v>Arabica</v>
      </c>
      <c r="O836" t="str" cm="1">
        <f t="array" ref="O836">_xlfn.IFS(J836="M", "Medium", J836="L", "Light", J836="D", "Dark")</f>
        <v>Dark</v>
      </c>
      <c r="P836" t="str">
        <f>_xlfn.XLOOKUP(Orders[[#This Row],[Customer ID]], customers!$A$2:$A$1001, customers!$I$2:$I$1001, 0)</f>
        <v>No</v>
      </c>
    </row>
    <row r="837" spans="1:16" x14ac:dyDescent="0.35">
      <c r="A837" s="2" t="s">
        <v>5211</v>
      </c>
      <c r="B837" s="3">
        <v>44270</v>
      </c>
      <c r="C837" s="2" t="s">
        <v>5212</v>
      </c>
      <c r="D837" t="s">
        <v>6176</v>
      </c>
      <c r="E837" s="2">
        <v>1</v>
      </c>
      <c r="F837" s="2" t="str" cm="1">
        <f t="array" ref="F837">_xlfn.XLOOKUP(C837, customers!$A$1:A1836, customers!$B$1:B1836, 0)</f>
        <v>Konstantine Thoumasson</v>
      </c>
      <c r="G837" s="2" t="str">
        <f>IF(_xlfn.XLOOKUP(C837, customers!A836:A1836, customers!C836:C1836, 0)=0, "", _xlfn.XLOOKUP(C837, customers!A836:A1836, customers!C836:C1836, 0))</f>
        <v>kthoumassonn7@bloglovin.com</v>
      </c>
      <c r="H837" s="2" t="str" cm="1">
        <f t="array" ref="H837">_xlfn.XLOOKUP(C837, customers!$A$1:A1836, customers!$G$1:G1836,, 0)</f>
        <v>United States</v>
      </c>
      <c r="I837" t="str" cm="1">
        <f t="array" ref="I837">_xlfn.XLOOKUP(orders!D837, products!$A$1:A884, products!$B$1:B884, 0)</f>
        <v>Exc</v>
      </c>
      <c r="J837" t="str" cm="1">
        <f t="array" ref="J837">_xlfn.XLOOKUP(D837, products!$A$1:A884, products!$C$1:C884, 0)</f>
        <v>L</v>
      </c>
      <c r="K837" s="4" cm="1">
        <f t="array" ref="K837">_xlfn.XLOOKUP(D837, products!$A$1:A884, products!$D$1:D884, 0)</f>
        <v>0.5</v>
      </c>
      <c r="L837" s="4" cm="1">
        <f t="array" ref="L837">_xlfn.XLOOKUP(D837, products!$A$1:A884, products!$E$1:E884)</f>
        <v>8.91</v>
      </c>
      <c r="M837">
        <f t="shared" si="26"/>
        <v>8.91</v>
      </c>
      <c r="N837" t="str">
        <f t="shared" si="27"/>
        <v>Excelsa</v>
      </c>
      <c r="O837" t="str" cm="1">
        <f t="array" ref="O837">_xlfn.IFS(J837="M", "Medium", J837="L", "Light", J837="D", "Dark")</f>
        <v>Light</v>
      </c>
      <c r="P837" t="str">
        <f>_xlfn.XLOOKUP(Orders[[#This Row],[Customer ID]], customers!$A$2:$A$1001, customers!$I$2:$I$1001, 0)</f>
        <v>Yes</v>
      </c>
    </row>
    <row r="838" spans="1:16" x14ac:dyDescent="0.35">
      <c r="A838" s="2" t="s">
        <v>5216</v>
      </c>
      <c r="B838" s="3">
        <v>44486</v>
      </c>
      <c r="C838" s="2" t="s">
        <v>5217</v>
      </c>
      <c r="D838" t="s">
        <v>6154</v>
      </c>
      <c r="E838" s="2">
        <v>4</v>
      </c>
      <c r="F838" s="2" t="str" cm="1">
        <f t="array" ref="F838">_xlfn.XLOOKUP(C838, customers!$A$1:A1837, customers!$B$1:B1837, 0)</f>
        <v>Frans Habbergham</v>
      </c>
      <c r="G838" s="2" t="str">
        <f>IF(_xlfn.XLOOKUP(C838, customers!A837:A1837, customers!C837:C1837, 0)=0, "", _xlfn.XLOOKUP(C838, customers!A837:A1837, customers!C837:C1837, 0))</f>
        <v>fhabberghamn8@discovery.com</v>
      </c>
      <c r="H838" s="2" t="str" cm="1">
        <f t="array" ref="H838">_xlfn.XLOOKUP(C838, customers!$A$1:A1837, customers!$G$1:G1837,, 0)</f>
        <v>United States</v>
      </c>
      <c r="I838" t="str" cm="1">
        <f t="array" ref="I838">_xlfn.XLOOKUP(orders!D838, products!$A$1:A885, products!$B$1:B885, 0)</f>
        <v>Ara</v>
      </c>
      <c r="J838" t="str" cm="1">
        <f t="array" ref="J838">_xlfn.XLOOKUP(D838, products!$A$1:A885, products!$C$1:C885, 0)</f>
        <v>D</v>
      </c>
      <c r="K838" s="4" cm="1">
        <f t="array" ref="K838">_xlfn.XLOOKUP(D838, products!$A$1:A885, products!$D$1:D885, 0)</f>
        <v>0.2</v>
      </c>
      <c r="L838" s="4" cm="1">
        <f t="array" ref="L838">_xlfn.XLOOKUP(D838, products!$A$1:A885, products!$E$1:E885)</f>
        <v>2.9849999999999999</v>
      </c>
      <c r="M838">
        <f t="shared" si="26"/>
        <v>11.94</v>
      </c>
      <c r="N838" t="str">
        <f t="shared" si="27"/>
        <v>Arabica</v>
      </c>
      <c r="O838" t="str" cm="1">
        <f t="array" ref="O838">_xlfn.IFS(J838="M", "Medium", J838="L", "Light", J838="D", "Dark")</f>
        <v>Dark</v>
      </c>
      <c r="P838" t="str">
        <f>_xlfn.XLOOKUP(Orders[[#This Row],[Customer ID]], customers!$A$2:$A$1001, customers!$I$2:$I$1001, 0)</f>
        <v>No</v>
      </c>
    </row>
    <row r="839" spans="1:16" x14ac:dyDescent="0.35">
      <c r="A839" s="2" t="s">
        <v>5222</v>
      </c>
      <c r="B839" s="3">
        <v>43715</v>
      </c>
      <c r="C839" s="2" t="s">
        <v>5113</v>
      </c>
      <c r="D839" t="s">
        <v>6181</v>
      </c>
      <c r="E839" s="2">
        <v>3</v>
      </c>
      <c r="F839" s="2" t="str" cm="1">
        <f t="array" ref="F839">_xlfn.XLOOKUP(C839, customers!$A$1:A1838, customers!$B$1:B1838, 0)</f>
        <v>Allis Wilmore</v>
      </c>
      <c r="G839" s="2" t="str">
        <f>IF(_xlfn.XLOOKUP(C839, customers!A838:A1838, customers!C838:C1838, 0)=0, "", _xlfn.XLOOKUP(C839, customers!A838:A1838, customers!C838:C1838, 0))</f>
        <v/>
      </c>
      <c r="H839" s="2" t="str" cm="1">
        <f t="array" ref="H839">_xlfn.XLOOKUP(C839, customers!$A$1:A1838, customers!$G$1:G1838,, 0)</f>
        <v>United States</v>
      </c>
      <c r="I839" t="str" cm="1">
        <f t="array" ref="I839">_xlfn.XLOOKUP(orders!D839, products!$A$1:A886, products!$B$1:B886, 0)</f>
        <v>Lib</v>
      </c>
      <c r="J839" t="str" cm="1">
        <f t="array" ref="J839">_xlfn.XLOOKUP(D839, products!$A$1:A886, products!$C$1:C886, 0)</f>
        <v>M</v>
      </c>
      <c r="K839" s="4" cm="1">
        <f t="array" ref="K839">_xlfn.XLOOKUP(D839, products!$A$1:A886, products!$D$1:D886, 0)</f>
        <v>2.5</v>
      </c>
      <c r="L839" s="4" cm="1">
        <f t="array" ref="L839">_xlfn.XLOOKUP(D839, products!$A$1:A886, products!$E$1:E886)</f>
        <v>33.464999999999996</v>
      </c>
      <c r="M839">
        <f t="shared" si="26"/>
        <v>100.39499999999998</v>
      </c>
      <c r="N839" t="str">
        <f t="shared" si="27"/>
        <v>Liberica</v>
      </c>
      <c r="O839" t="str" cm="1">
        <f t="array" ref="O839">_xlfn.IFS(J839="M", "Medium", J839="L", "Light", J839="D", "Dark")</f>
        <v>Medium</v>
      </c>
      <c r="P839" t="str">
        <f>_xlfn.XLOOKUP(Orders[[#This Row],[Customer ID]], customers!$A$2:$A$1001, customers!$I$2:$I$1001, 0)</f>
        <v>No</v>
      </c>
    </row>
    <row r="840" spans="1:16" x14ac:dyDescent="0.35">
      <c r="A840" s="2" t="s">
        <v>5228</v>
      </c>
      <c r="B840" s="3">
        <v>44755</v>
      </c>
      <c r="C840" s="2" t="s">
        <v>5229</v>
      </c>
      <c r="D840" t="s">
        <v>6168</v>
      </c>
      <c r="E840" s="2">
        <v>5</v>
      </c>
      <c r="F840" s="2" t="str" cm="1">
        <f t="array" ref="F840">_xlfn.XLOOKUP(C840, customers!$A$1:A1839, customers!$B$1:B1839, 0)</f>
        <v>Romain Avrashin</v>
      </c>
      <c r="G840" s="2" t="str">
        <f>IF(_xlfn.XLOOKUP(C840, customers!A839:A1839, customers!C839:C1839, 0)=0, "", _xlfn.XLOOKUP(C840, customers!A839:A1839, customers!C839:C1839, 0))</f>
        <v>ravrashinna@tamu.edu</v>
      </c>
      <c r="H840" s="2" t="str" cm="1">
        <f t="array" ref="H840">_xlfn.XLOOKUP(C840, customers!$A$1:A1839, customers!$G$1:G1839,, 0)</f>
        <v>United States</v>
      </c>
      <c r="I840" t="str" cm="1">
        <f t="array" ref="I840">_xlfn.XLOOKUP(orders!D840, products!$A$1:A887, products!$B$1:B887, 0)</f>
        <v>Ara</v>
      </c>
      <c r="J840" t="str" cm="1">
        <f t="array" ref="J840">_xlfn.XLOOKUP(D840, products!$A$1:A887, products!$C$1:C887, 0)</f>
        <v>D</v>
      </c>
      <c r="K840" s="4" cm="1">
        <f t="array" ref="K840">_xlfn.XLOOKUP(D840, products!$A$1:A887, products!$D$1:D887, 0)</f>
        <v>2.5</v>
      </c>
      <c r="L840" s="4" cm="1">
        <f t="array" ref="L840">_xlfn.XLOOKUP(D840, products!$A$1:A887, products!$E$1:E887)</f>
        <v>22.884999999999998</v>
      </c>
      <c r="M840">
        <f t="shared" si="26"/>
        <v>114.42499999999998</v>
      </c>
      <c r="N840" t="str">
        <f t="shared" si="27"/>
        <v>Arabica</v>
      </c>
      <c r="O840" t="str" cm="1">
        <f t="array" ref="O840">_xlfn.IFS(J840="M", "Medium", J840="L", "Light", J840="D", "Dark")</f>
        <v>Dark</v>
      </c>
      <c r="P840" t="str">
        <f>_xlfn.XLOOKUP(Orders[[#This Row],[Customer ID]], customers!$A$2:$A$1001, customers!$I$2:$I$1001, 0)</f>
        <v>No</v>
      </c>
    </row>
    <row r="841" spans="1:16" x14ac:dyDescent="0.35">
      <c r="A841" s="2" t="s">
        <v>5234</v>
      </c>
      <c r="B841" s="3">
        <v>44521</v>
      </c>
      <c r="C841" s="2" t="s">
        <v>5235</v>
      </c>
      <c r="D841" t="s">
        <v>6139</v>
      </c>
      <c r="E841" s="2">
        <v>5</v>
      </c>
      <c r="F841" s="2" t="str" cm="1">
        <f t="array" ref="F841">_xlfn.XLOOKUP(C841, customers!$A$1:A1840, customers!$B$1:B1840, 0)</f>
        <v>Miran Doidge</v>
      </c>
      <c r="G841" s="2" t="str">
        <f>IF(_xlfn.XLOOKUP(C841, customers!A840:A1840, customers!C840:C1840, 0)=0, "", _xlfn.XLOOKUP(C841, customers!A840:A1840, customers!C840:C1840, 0))</f>
        <v>mdoidgenb@etsy.com</v>
      </c>
      <c r="H841" s="2" t="str" cm="1">
        <f t="array" ref="H841">_xlfn.XLOOKUP(C841, customers!$A$1:A1840, customers!$G$1:G1840,, 0)</f>
        <v>United States</v>
      </c>
      <c r="I841" t="str" cm="1">
        <f t="array" ref="I841">_xlfn.XLOOKUP(orders!D841, products!$A$1:A888, products!$B$1:B888, 0)</f>
        <v>Exc</v>
      </c>
      <c r="J841" t="str" cm="1">
        <f t="array" ref="J841">_xlfn.XLOOKUP(D841, products!$A$1:A888, products!$C$1:C888, 0)</f>
        <v>M</v>
      </c>
      <c r="K841" s="4" cm="1">
        <f t="array" ref="K841">_xlfn.XLOOKUP(D841, products!$A$1:A888, products!$D$1:D888, 0)</f>
        <v>0.5</v>
      </c>
      <c r="L841" s="4" cm="1">
        <f t="array" ref="L841">_xlfn.XLOOKUP(D841, products!$A$1:A888, products!$E$1:E888)</f>
        <v>8.25</v>
      </c>
      <c r="M841">
        <f t="shared" si="26"/>
        <v>41.25</v>
      </c>
      <c r="N841" t="str">
        <f t="shared" si="27"/>
        <v>Excelsa</v>
      </c>
      <c r="O841" t="str" cm="1">
        <f t="array" ref="O841">_xlfn.IFS(J841="M", "Medium", J841="L", "Light", J841="D", "Dark")</f>
        <v>Medium</v>
      </c>
      <c r="P841" t="str">
        <f>_xlfn.XLOOKUP(Orders[[#This Row],[Customer ID]], customers!$A$2:$A$1001, customers!$I$2:$I$1001, 0)</f>
        <v>No</v>
      </c>
    </row>
    <row r="842" spans="1:16" x14ac:dyDescent="0.35">
      <c r="A842" s="2" t="s">
        <v>5240</v>
      </c>
      <c r="B842" s="3">
        <v>44574</v>
      </c>
      <c r="C842" s="2" t="s">
        <v>5241</v>
      </c>
      <c r="D842" t="s">
        <v>6173</v>
      </c>
      <c r="E842" s="2">
        <v>4</v>
      </c>
      <c r="F842" s="2" t="str" cm="1">
        <f t="array" ref="F842">_xlfn.XLOOKUP(C842, customers!$A$1:A1841, customers!$B$1:B1841, 0)</f>
        <v>Janeva Edinboro</v>
      </c>
      <c r="G842" s="2" t="str">
        <f>IF(_xlfn.XLOOKUP(C842, customers!A841:A1841, customers!C841:C1841, 0)=0, "", _xlfn.XLOOKUP(C842, customers!A841:A1841, customers!C841:C1841, 0))</f>
        <v>jedinboronc@reverbnation.com</v>
      </c>
      <c r="H842" s="2" t="str" cm="1">
        <f t="array" ref="H842">_xlfn.XLOOKUP(C842, customers!$A$1:A1841, customers!$G$1:G1841,, 0)</f>
        <v>United States</v>
      </c>
      <c r="I842" t="str" cm="1">
        <f t="array" ref="I842">_xlfn.XLOOKUP(orders!D842, products!$A$1:A889, products!$B$1:B889, 0)</f>
        <v>Rob</v>
      </c>
      <c r="J842" t="str" cm="1">
        <f t="array" ref="J842">_xlfn.XLOOKUP(D842, products!$A$1:A889, products!$C$1:C889, 0)</f>
        <v>L</v>
      </c>
      <c r="K842" s="4" cm="1">
        <f t="array" ref="K842">_xlfn.XLOOKUP(D842, products!$A$1:A889, products!$D$1:D889, 0)</f>
        <v>0.5</v>
      </c>
      <c r="L842" s="4" cm="1">
        <f t="array" ref="L842">_xlfn.XLOOKUP(D842, products!$A$1:A889, products!$E$1:E889)</f>
        <v>7.169999999999999</v>
      </c>
      <c r="M842">
        <f t="shared" si="26"/>
        <v>28.679999999999996</v>
      </c>
      <c r="N842" t="str">
        <f t="shared" si="27"/>
        <v>Robusta</v>
      </c>
      <c r="O842" t="str" cm="1">
        <f t="array" ref="O842">_xlfn.IFS(J842="M", "Medium", J842="L", "Light", J842="D", "Dark")</f>
        <v>Light</v>
      </c>
      <c r="P842" t="str">
        <f>_xlfn.XLOOKUP(Orders[[#This Row],[Customer ID]], customers!$A$2:$A$1001, customers!$I$2:$I$1001, 0)</f>
        <v>Yes</v>
      </c>
    </row>
    <row r="843" spans="1:16" x14ac:dyDescent="0.35">
      <c r="A843" s="2" t="s">
        <v>5246</v>
      </c>
      <c r="B843" s="3">
        <v>44755</v>
      </c>
      <c r="C843" s="2" t="s">
        <v>5247</v>
      </c>
      <c r="D843" t="s">
        <v>6159</v>
      </c>
      <c r="E843" s="2">
        <v>1</v>
      </c>
      <c r="F843" s="2" t="str" cm="1">
        <f t="array" ref="F843">_xlfn.XLOOKUP(C843, customers!$A$1:A1842, customers!$B$1:B1842, 0)</f>
        <v>Trumaine Tewelson</v>
      </c>
      <c r="G843" s="2" t="str">
        <f>IF(_xlfn.XLOOKUP(C843, customers!A842:A1842, customers!C842:C1842, 0)=0, "", _xlfn.XLOOKUP(C843, customers!A842:A1842, customers!C842:C1842, 0))</f>
        <v>ttewelsonnd@cdbaby.com</v>
      </c>
      <c r="H843" s="2" t="str" cm="1">
        <f t="array" ref="H843">_xlfn.XLOOKUP(C843, customers!$A$1:A1842, customers!$G$1:G1842,, 0)</f>
        <v>United States</v>
      </c>
      <c r="I843" t="str" cm="1">
        <f t="array" ref="I843">_xlfn.XLOOKUP(orders!D843, products!$A$1:A890, products!$B$1:B890, 0)</f>
        <v>Lib</v>
      </c>
      <c r="J843" t="str" cm="1">
        <f t="array" ref="J843">_xlfn.XLOOKUP(D843, products!$A$1:A890, products!$C$1:C890, 0)</f>
        <v>M</v>
      </c>
      <c r="K843" s="4" cm="1">
        <f t="array" ref="K843">_xlfn.XLOOKUP(D843, products!$A$1:A890, products!$D$1:D890, 0)</f>
        <v>0.2</v>
      </c>
      <c r="L843" s="4" cm="1">
        <f t="array" ref="L843">_xlfn.XLOOKUP(D843, products!$A$1:A890, products!$E$1:E890)</f>
        <v>4.3650000000000002</v>
      </c>
      <c r="M843">
        <f t="shared" si="26"/>
        <v>4.3650000000000002</v>
      </c>
      <c r="N843" t="str">
        <f t="shared" si="27"/>
        <v>Liberica</v>
      </c>
      <c r="O843" t="str" cm="1">
        <f t="array" ref="O843">_xlfn.IFS(J843="M", "Medium", J843="L", "Light", J843="D", "Dark")</f>
        <v>Medium</v>
      </c>
      <c r="P843" t="str">
        <f>_xlfn.XLOOKUP(Orders[[#This Row],[Customer ID]], customers!$A$2:$A$1001, customers!$I$2:$I$1001, 0)</f>
        <v>No</v>
      </c>
    </row>
    <row r="844" spans="1:16" x14ac:dyDescent="0.35">
      <c r="A844" s="2" t="s">
        <v>5251</v>
      </c>
      <c r="B844" s="3">
        <v>44502</v>
      </c>
      <c r="C844" s="2" t="s">
        <v>5188</v>
      </c>
      <c r="D844" t="s">
        <v>6156</v>
      </c>
      <c r="E844" s="2">
        <v>2</v>
      </c>
      <c r="F844" s="2" t="str" cm="1">
        <f t="array" ref="F844">_xlfn.XLOOKUP(C844, customers!$A$1:A1843, customers!$B$1:B1843, 0)</f>
        <v>Odelia Skerme</v>
      </c>
      <c r="G844" s="2" t="str">
        <f>IF(_xlfn.XLOOKUP(C844, customers!A843:A1843, customers!C843:C1843, 0)=0, "", _xlfn.XLOOKUP(C844, customers!A843:A1843, customers!C843:C1843, 0))</f>
        <v/>
      </c>
      <c r="H844" s="2" t="str" cm="1">
        <f t="array" ref="H844">_xlfn.XLOOKUP(C844, customers!$A$1:A1843, customers!$G$1:G1843,, 0)</f>
        <v>United States</v>
      </c>
      <c r="I844" t="str" cm="1">
        <f t="array" ref="I844">_xlfn.XLOOKUP(orders!D844, products!$A$1:A891, products!$B$1:B891, 0)</f>
        <v>Exc</v>
      </c>
      <c r="J844" t="str" cm="1">
        <f t="array" ref="J844">_xlfn.XLOOKUP(D844, products!$A$1:A891, products!$C$1:C891, 0)</f>
        <v>M</v>
      </c>
      <c r="K844" s="4" cm="1">
        <f t="array" ref="K844">_xlfn.XLOOKUP(D844, products!$A$1:A891, products!$D$1:D891, 0)</f>
        <v>0.2</v>
      </c>
      <c r="L844" s="4" cm="1">
        <f t="array" ref="L844">_xlfn.XLOOKUP(D844, products!$A$1:A891, products!$E$1:E891)</f>
        <v>4.125</v>
      </c>
      <c r="M844">
        <f t="shared" si="26"/>
        <v>8.25</v>
      </c>
      <c r="N844" t="str">
        <f t="shared" si="27"/>
        <v>Excelsa</v>
      </c>
      <c r="O844" t="str" cm="1">
        <f t="array" ref="O844">_xlfn.IFS(J844="M", "Medium", J844="L", "Light", J844="D", "Dark")</f>
        <v>Medium</v>
      </c>
      <c r="P844" t="str">
        <f>_xlfn.XLOOKUP(Orders[[#This Row],[Customer ID]], customers!$A$2:$A$1001, customers!$I$2:$I$1001, 0)</f>
        <v>Yes</v>
      </c>
    </row>
    <row r="845" spans="1:16" x14ac:dyDescent="0.35">
      <c r="A845" s="2" t="s">
        <v>5256</v>
      </c>
      <c r="B845" s="3">
        <v>44387</v>
      </c>
      <c r="C845" s="2" t="s">
        <v>5257</v>
      </c>
      <c r="D845" t="s">
        <v>6156</v>
      </c>
      <c r="E845" s="2">
        <v>2</v>
      </c>
      <c r="F845" s="2" t="str" cm="1">
        <f t="array" ref="F845">_xlfn.XLOOKUP(C845, customers!$A$1:A1844, customers!$B$1:B1844, 0)</f>
        <v>De Drewitt</v>
      </c>
      <c r="G845" s="2" t="str">
        <f>IF(_xlfn.XLOOKUP(C845, customers!A844:A1844, customers!C844:C1844, 0)=0, "", _xlfn.XLOOKUP(C845, customers!A844:A1844, customers!C844:C1844, 0))</f>
        <v>ddrewittnf@mapquest.com</v>
      </c>
      <c r="H845" s="2" t="str" cm="1">
        <f t="array" ref="H845">_xlfn.XLOOKUP(C845, customers!$A$1:A1844, customers!$G$1:G1844,, 0)</f>
        <v>United States</v>
      </c>
      <c r="I845" t="str" cm="1">
        <f t="array" ref="I845">_xlfn.XLOOKUP(orders!D845, products!$A$1:A892, products!$B$1:B892, 0)</f>
        <v>Exc</v>
      </c>
      <c r="J845" t="str" cm="1">
        <f t="array" ref="J845">_xlfn.XLOOKUP(D845, products!$A$1:A892, products!$C$1:C892, 0)</f>
        <v>M</v>
      </c>
      <c r="K845" s="4" cm="1">
        <f t="array" ref="K845">_xlfn.XLOOKUP(D845, products!$A$1:A892, products!$D$1:D892, 0)</f>
        <v>0.2</v>
      </c>
      <c r="L845" s="4" cm="1">
        <f t="array" ref="L845">_xlfn.XLOOKUP(D845, products!$A$1:A892, products!$E$1:E892)</f>
        <v>4.125</v>
      </c>
      <c r="M845">
        <f t="shared" si="26"/>
        <v>8.25</v>
      </c>
      <c r="N845" t="str">
        <f t="shared" si="27"/>
        <v>Excelsa</v>
      </c>
      <c r="O845" t="str" cm="1">
        <f t="array" ref="O845">_xlfn.IFS(J845="M", "Medium", J845="L", "Light", J845="D", "Dark")</f>
        <v>Medium</v>
      </c>
      <c r="P845" t="str">
        <f>_xlfn.XLOOKUP(Orders[[#This Row],[Customer ID]], customers!$A$2:$A$1001, customers!$I$2:$I$1001, 0)</f>
        <v>Yes</v>
      </c>
    </row>
    <row r="846" spans="1:16" x14ac:dyDescent="0.35">
      <c r="A846" s="2" t="s">
        <v>5262</v>
      </c>
      <c r="B846" s="3">
        <v>44476</v>
      </c>
      <c r="C846" s="2" t="s">
        <v>5263</v>
      </c>
      <c r="D846" t="s">
        <v>6158</v>
      </c>
      <c r="E846" s="2">
        <v>6</v>
      </c>
      <c r="F846" s="2" t="str" cm="1">
        <f t="array" ref="F846">_xlfn.XLOOKUP(C846, customers!$A$1:A1845, customers!$B$1:B1845, 0)</f>
        <v>Adelheid Gladhill</v>
      </c>
      <c r="G846" s="2" t="str">
        <f>IF(_xlfn.XLOOKUP(C846, customers!A845:A1845, customers!C845:C1845, 0)=0, "", _xlfn.XLOOKUP(C846, customers!A845:A1845, customers!C845:C1845, 0))</f>
        <v>agladhillng@stanford.edu</v>
      </c>
      <c r="H846" s="2" t="str" cm="1">
        <f t="array" ref="H846">_xlfn.XLOOKUP(C846, customers!$A$1:A1845, customers!$G$1:G1845,, 0)</f>
        <v>United States</v>
      </c>
      <c r="I846" t="str" cm="1">
        <f t="array" ref="I846">_xlfn.XLOOKUP(orders!D846, products!$A$1:A893, products!$B$1:B893, 0)</f>
        <v>Ara</v>
      </c>
      <c r="J846" t="str" cm="1">
        <f t="array" ref="J846">_xlfn.XLOOKUP(D846, products!$A$1:A893, products!$C$1:C893, 0)</f>
        <v>D</v>
      </c>
      <c r="K846" s="4" cm="1">
        <f t="array" ref="K846">_xlfn.XLOOKUP(D846, products!$A$1:A893, products!$D$1:D893, 0)</f>
        <v>0.5</v>
      </c>
      <c r="L846" s="4" cm="1">
        <f t="array" ref="L846">_xlfn.XLOOKUP(D846, products!$A$1:A893, products!$E$1:E893)</f>
        <v>5.97</v>
      </c>
      <c r="M846">
        <f t="shared" si="26"/>
        <v>35.82</v>
      </c>
      <c r="N846" t="str">
        <f t="shared" si="27"/>
        <v>Arabica</v>
      </c>
      <c r="O846" t="str" cm="1">
        <f t="array" ref="O846">_xlfn.IFS(J846="M", "Medium", J846="L", "Light", J846="D", "Dark")</f>
        <v>Dark</v>
      </c>
      <c r="P846" t="str">
        <f>_xlfn.XLOOKUP(Orders[[#This Row],[Customer ID]], customers!$A$2:$A$1001, customers!$I$2:$I$1001, 0)</f>
        <v>Yes</v>
      </c>
    </row>
    <row r="847" spans="1:16" x14ac:dyDescent="0.35">
      <c r="A847" s="2" t="s">
        <v>5268</v>
      </c>
      <c r="B847" s="3">
        <v>43889</v>
      </c>
      <c r="C847" s="2" t="s">
        <v>5269</v>
      </c>
      <c r="D847" t="s">
        <v>6185</v>
      </c>
      <c r="E847" s="2">
        <v>6</v>
      </c>
      <c r="F847" s="2" t="str" cm="1">
        <f t="array" ref="F847">_xlfn.XLOOKUP(C847, customers!$A$1:A1846, customers!$B$1:B1846, 0)</f>
        <v>Murielle Lorinez</v>
      </c>
      <c r="G847" s="2" t="str">
        <f>IF(_xlfn.XLOOKUP(C847, customers!A846:A1846, customers!C846:C1846, 0)=0, "", _xlfn.XLOOKUP(C847, customers!A846:A1846, customers!C846:C1846, 0))</f>
        <v>mlorineznh@whitehouse.gov</v>
      </c>
      <c r="H847" s="2" t="str" cm="1">
        <f t="array" ref="H847">_xlfn.XLOOKUP(C847, customers!$A$1:A1846, customers!$G$1:G1846,, 0)</f>
        <v>United States</v>
      </c>
      <c r="I847" t="str" cm="1">
        <f t="array" ref="I847">_xlfn.XLOOKUP(orders!D847, products!$A$1:A894, products!$B$1:B894, 0)</f>
        <v>Exc</v>
      </c>
      <c r="J847" t="str" cm="1">
        <f t="array" ref="J847">_xlfn.XLOOKUP(D847, products!$A$1:A894, products!$C$1:C894, 0)</f>
        <v>D</v>
      </c>
      <c r="K847" s="4" cm="1">
        <f t="array" ref="K847">_xlfn.XLOOKUP(D847, products!$A$1:A894, products!$D$1:D894, 0)</f>
        <v>2.5</v>
      </c>
      <c r="L847" s="4" cm="1">
        <f t="array" ref="L847">_xlfn.XLOOKUP(D847, products!$A$1:A894, products!$E$1:E894)</f>
        <v>27.945</v>
      </c>
      <c r="M847">
        <f t="shared" si="26"/>
        <v>167.67000000000002</v>
      </c>
      <c r="N847" t="str">
        <f t="shared" si="27"/>
        <v>Excelsa</v>
      </c>
      <c r="O847" t="str" cm="1">
        <f t="array" ref="O847">_xlfn.IFS(J847="M", "Medium", J847="L", "Light", J847="D", "Dark")</f>
        <v>Dark</v>
      </c>
      <c r="P847" t="str">
        <f>_xlfn.XLOOKUP(Orders[[#This Row],[Customer ID]], customers!$A$2:$A$1001, customers!$I$2:$I$1001, 0)</f>
        <v>No</v>
      </c>
    </row>
    <row r="848" spans="1:16" x14ac:dyDescent="0.35">
      <c r="A848" s="2" t="s">
        <v>5273</v>
      </c>
      <c r="B848" s="3">
        <v>44747</v>
      </c>
      <c r="C848" s="2" t="s">
        <v>5274</v>
      </c>
      <c r="D848" t="s">
        <v>6175</v>
      </c>
      <c r="E848" s="2">
        <v>2</v>
      </c>
      <c r="F848" s="2" t="str" cm="1">
        <f t="array" ref="F848">_xlfn.XLOOKUP(C848, customers!$A$1:A1847, customers!$B$1:B1847, 0)</f>
        <v>Edin Mathe</v>
      </c>
      <c r="G848" s="2" t="str">
        <f>IF(_xlfn.XLOOKUP(C848, customers!A847:A1847, customers!C847:C1847, 0)=0, "", _xlfn.XLOOKUP(C848, customers!A847:A1847, customers!C847:C1847, 0))</f>
        <v/>
      </c>
      <c r="H848" s="2" t="str" cm="1">
        <f t="array" ref="H848">_xlfn.XLOOKUP(C848, customers!$A$1:A1847, customers!$G$1:G1847,, 0)</f>
        <v>United States</v>
      </c>
      <c r="I848" t="str" cm="1">
        <f t="array" ref="I848">_xlfn.XLOOKUP(orders!D848, products!$A$1:A895, products!$B$1:B895, 0)</f>
        <v>Ara</v>
      </c>
      <c r="J848" t="str" cm="1">
        <f t="array" ref="J848">_xlfn.XLOOKUP(D848, products!$A$1:A895, products!$C$1:C895, 0)</f>
        <v>M</v>
      </c>
      <c r="K848" s="4" cm="1">
        <f t="array" ref="K848">_xlfn.XLOOKUP(D848, products!$A$1:A895, products!$D$1:D895, 0)</f>
        <v>2.5</v>
      </c>
      <c r="L848" s="4" cm="1">
        <f t="array" ref="L848">_xlfn.XLOOKUP(D848, products!$A$1:A895, products!$E$1:E895)</f>
        <v>25.874999999999996</v>
      </c>
      <c r="M848">
        <f t="shared" si="26"/>
        <v>51.749999999999993</v>
      </c>
      <c r="N848" t="str">
        <f t="shared" si="27"/>
        <v>Arabica</v>
      </c>
      <c r="O848" t="str" cm="1">
        <f t="array" ref="O848">_xlfn.IFS(J848="M", "Medium", J848="L", "Light", J848="D", "Dark")</f>
        <v>Medium</v>
      </c>
      <c r="P848" t="str">
        <f>_xlfn.XLOOKUP(Orders[[#This Row],[Customer ID]], customers!$A$2:$A$1001, customers!$I$2:$I$1001, 0)</f>
        <v>Yes</v>
      </c>
    </row>
    <row r="849" spans="1:16" x14ac:dyDescent="0.35">
      <c r="A849" s="2" t="s">
        <v>5278</v>
      </c>
      <c r="B849" s="3">
        <v>44460</v>
      </c>
      <c r="C849" s="2" t="s">
        <v>5279</v>
      </c>
      <c r="D849" t="s">
        <v>6154</v>
      </c>
      <c r="E849" s="2">
        <v>3</v>
      </c>
      <c r="F849" s="2" t="str" cm="1">
        <f t="array" ref="F849">_xlfn.XLOOKUP(C849, customers!$A$1:A1848, customers!$B$1:B1848, 0)</f>
        <v>Mordy Van Der Vlies</v>
      </c>
      <c r="G849" s="2" t="str">
        <f>IF(_xlfn.XLOOKUP(C849, customers!A848:A1848, customers!C848:C1848, 0)=0, "", _xlfn.XLOOKUP(C849, customers!A848:A1848, customers!C848:C1848, 0))</f>
        <v>mvannj@wikipedia.org</v>
      </c>
      <c r="H849" s="2" t="str" cm="1">
        <f t="array" ref="H849">_xlfn.XLOOKUP(C849, customers!$A$1:A1848, customers!$G$1:G1848,, 0)</f>
        <v>United States</v>
      </c>
      <c r="I849" t="str" cm="1">
        <f t="array" ref="I849">_xlfn.XLOOKUP(orders!D849, products!$A$1:A896, products!$B$1:B896, 0)</f>
        <v>Ara</v>
      </c>
      <c r="J849" t="str" cm="1">
        <f t="array" ref="J849">_xlfn.XLOOKUP(D849, products!$A$1:A896, products!$C$1:C896, 0)</f>
        <v>D</v>
      </c>
      <c r="K849" s="4" cm="1">
        <f t="array" ref="K849">_xlfn.XLOOKUP(D849, products!$A$1:A896, products!$D$1:D896, 0)</f>
        <v>0.2</v>
      </c>
      <c r="L849" s="4" cm="1">
        <f t="array" ref="L849">_xlfn.XLOOKUP(D849, products!$A$1:A896, products!$E$1:E896)</f>
        <v>2.9849999999999999</v>
      </c>
      <c r="M849">
        <f t="shared" si="26"/>
        <v>8.9550000000000001</v>
      </c>
      <c r="N849" t="str">
        <f t="shared" si="27"/>
        <v>Arabica</v>
      </c>
      <c r="O849" t="str" cm="1">
        <f t="array" ref="O849">_xlfn.IFS(J849="M", "Medium", J849="L", "Light", J849="D", "Dark")</f>
        <v>Dark</v>
      </c>
      <c r="P849" t="str">
        <f>_xlfn.XLOOKUP(Orders[[#This Row],[Customer ID]], customers!$A$2:$A$1001, customers!$I$2:$I$1001, 0)</f>
        <v>Yes</v>
      </c>
    </row>
    <row r="850" spans="1:16" x14ac:dyDescent="0.35">
      <c r="A850" s="2" t="s">
        <v>5283</v>
      </c>
      <c r="B850" s="3">
        <v>43468</v>
      </c>
      <c r="C850" s="2" t="s">
        <v>5284</v>
      </c>
      <c r="D850" t="s">
        <v>6176</v>
      </c>
      <c r="E850" s="2">
        <v>6</v>
      </c>
      <c r="F850" s="2" t="str" cm="1">
        <f t="array" ref="F850">_xlfn.XLOOKUP(C850, customers!$A$1:A1849, customers!$B$1:B1849, 0)</f>
        <v>Spencer Wastell</v>
      </c>
      <c r="G850" s="2" t="str">
        <f>IF(_xlfn.XLOOKUP(C850, customers!A849:A1849, customers!C849:C1849, 0)=0, "", _xlfn.XLOOKUP(C850, customers!A849:A1849, customers!C849:C1849, 0))</f>
        <v/>
      </c>
      <c r="H850" s="2" t="str" cm="1">
        <f t="array" ref="H850">_xlfn.XLOOKUP(C850, customers!$A$1:A1849, customers!$G$1:G1849,, 0)</f>
        <v>United States</v>
      </c>
      <c r="I850" t="str" cm="1">
        <f t="array" ref="I850">_xlfn.XLOOKUP(orders!D850, products!$A$1:A897, products!$B$1:B897, 0)</f>
        <v>Exc</v>
      </c>
      <c r="J850" t="str" cm="1">
        <f t="array" ref="J850">_xlfn.XLOOKUP(D850, products!$A$1:A897, products!$C$1:C897, 0)</f>
        <v>L</v>
      </c>
      <c r="K850" s="4" cm="1">
        <f t="array" ref="K850">_xlfn.XLOOKUP(D850, products!$A$1:A897, products!$D$1:D897, 0)</f>
        <v>0.5</v>
      </c>
      <c r="L850" s="4" cm="1">
        <f t="array" ref="L850">_xlfn.XLOOKUP(D850, products!$A$1:A897, products!$E$1:E897)</f>
        <v>8.91</v>
      </c>
      <c r="M850">
        <f t="shared" si="26"/>
        <v>53.46</v>
      </c>
      <c r="N850" t="str">
        <f t="shared" si="27"/>
        <v>Excelsa</v>
      </c>
      <c r="O850" t="str" cm="1">
        <f t="array" ref="O850">_xlfn.IFS(J850="M", "Medium", J850="L", "Light", J850="D", "Dark")</f>
        <v>Light</v>
      </c>
      <c r="P850" t="str">
        <f>_xlfn.XLOOKUP(Orders[[#This Row],[Customer ID]], customers!$A$2:$A$1001, customers!$I$2:$I$1001, 0)</f>
        <v>No</v>
      </c>
    </row>
    <row r="851" spans="1:16" x14ac:dyDescent="0.35">
      <c r="A851" s="2" t="s">
        <v>5288</v>
      </c>
      <c r="B851" s="3">
        <v>44628</v>
      </c>
      <c r="C851" s="2" t="s">
        <v>5289</v>
      </c>
      <c r="D851" t="s">
        <v>6167</v>
      </c>
      <c r="E851" s="2">
        <v>6</v>
      </c>
      <c r="F851" s="2" t="str" cm="1">
        <f t="array" ref="F851">_xlfn.XLOOKUP(C851, customers!$A$1:A1850, customers!$B$1:B1850, 0)</f>
        <v>Jemimah Ethelston</v>
      </c>
      <c r="G851" s="2" t="str">
        <f>IF(_xlfn.XLOOKUP(C851, customers!A850:A1850, customers!C850:C1850, 0)=0, "", _xlfn.XLOOKUP(C851, customers!A850:A1850, customers!C850:C1850, 0))</f>
        <v>jethelstonnl@creativecommons.org</v>
      </c>
      <c r="H851" s="2" t="str" cm="1">
        <f t="array" ref="H851">_xlfn.XLOOKUP(C851, customers!$A$1:A1850, customers!$G$1:G1850,, 0)</f>
        <v>United States</v>
      </c>
      <c r="I851" t="str" cm="1">
        <f t="array" ref="I851">_xlfn.XLOOKUP(orders!D851, products!$A$1:A898, products!$B$1:B898, 0)</f>
        <v>Ara</v>
      </c>
      <c r="J851" t="str" cm="1">
        <f t="array" ref="J851">_xlfn.XLOOKUP(D851, products!$A$1:A898, products!$C$1:C898, 0)</f>
        <v>L</v>
      </c>
      <c r="K851" s="4" cm="1">
        <f t="array" ref="K851">_xlfn.XLOOKUP(D851, products!$A$1:A898, products!$D$1:D898, 0)</f>
        <v>0.2</v>
      </c>
      <c r="L851" s="4" cm="1">
        <f t="array" ref="L851">_xlfn.XLOOKUP(D851, products!$A$1:A898, products!$E$1:E898)</f>
        <v>3.8849999999999998</v>
      </c>
      <c r="M851">
        <f t="shared" si="26"/>
        <v>23.31</v>
      </c>
      <c r="N851" t="str">
        <f t="shared" si="27"/>
        <v>Arabica</v>
      </c>
      <c r="O851" t="str" cm="1">
        <f t="array" ref="O851">_xlfn.IFS(J851="M", "Medium", J851="L", "Light", J851="D", "Dark")</f>
        <v>Light</v>
      </c>
      <c r="P851" t="str">
        <f>_xlfn.XLOOKUP(Orders[[#This Row],[Customer ID]], customers!$A$2:$A$1001, customers!$I$2:$I$1001, 0)</f>
        <v>Yes</v>
      </c>
    </row>
    <row r="852" spans="1:16" x14ac:dyDescent="0.35">
      <c r="A852" s="2" t="s">
        <v>5288</v>
      </c>
      <c r="B852" s="3">
        <v>44628</v>
      </c>
      <c r="C852" s="2" t="s">
        <v>5289</v>
      </c>
      <c r="D852" t="s">
        <v>6152</v>
      </c>
      <c r="E852" s="2">
        <v>2</v>
      </c>
      <c r="F852" s="2" t="str" cm="1">
        <f t="array" ref="F852">_xlfn.XLOOKUP(C852, customers!$A$1:A1851, customers!$B$1:B1851, 0)</f>
        <v>Jemimah Ethelston</v>
      </c>
      <c r="G852" s="2" t="str">
        <f>IF(_xlfn.XLOOKUP(C852, customers!A851:A1851, customers!C851:C1851, 0)=0, "", _xlfn.XLOOKUP(C852, customers!A851:A1851, customers!C851:C1851, 0))</f>
        <v>jethelstonnl@creativecommons.org</v>
      </c>
      <c r="H852" s="2" t="str" cm="1">
        <f t="array" ref="H852">_xlfn.XLOOKUP(C852, customers!$A$1:A1851, customers!$G$1:G1851,, 0)</f>
        <v>United States</v>
      </c>
      <c r="I852" t="str" cm="1">
        <f t="array" ref="I852">_xlfn.XLOOKUP(orders!D852, products!$A$1:A899, products!$B$1:B899, 0)</f>
        <v>Ara</v>
      </c>
      <c r="J852" t="str" cm="1">
        <f t="array" ref="J852">_xlfn.XLOOKUP(D852, products!$A$1:A899, products!$C$1:C899, 0)</f>
        <v>M</v>
      </c>
      <c r="K852" s="4" cm="1">
        <f t="array" ref="K852">_xlfn.XLOOKUP(D852, products!$A$1:A899, products!$D$1:D899, 0)</f>
        <v>0.2</v>
      </c>
      <c r="L852" s="4" cm="1">
        <f t="array" ref="L852">_xlfn.XLOOKUP(D852, products!$A$1:A899, products!$E$1:E899)</f>
        <v>3.375</v>
      </c>
      <c r="M852">
        <f t="shared" si="26"/>
        <v>6.75</v>
      </c>
      <c r="N852" t="str">
        <f t="shared" si="27"/>
        <v>Arabica</v>
      </c>
      <c r="O852" t="str" cm="1">
        <f t="array" ref="O852">_xlfn.IFS(J852="M", "Medium", J852="L", "Light", J852="D", "Dark")</f>
        <v>Medium</v>
      </c>
      <c r="P852" t="str">
        <f>_xlfn.XLOOKUP(Orders[[#This Row],[Customer ID]], customers!$A$2:$A$1001, customers!$I$2:$I$1001, 0)</f>
        <v>Yes</v>
      </c>
    </row>
    <row r="853" spans="1:16" x14ac:dyDescent="0.35">
      <c r="A853" s="2" t="s">
        <v>5299</v>
      </c>
      <c r="B853" s="3">
        <v>43900</v>
      </c>
      <c r="C853" s="2" t="s">
        <v>5300</v>
      </c>
      <c r="D853" t="s">
        <v>6169</v>
      </c>
      <c r="E853" s="2">
        <v>1</v>
      </c>
      <c r="F853" s="2" t="str" cm="1">
        <f t="array" ref="F853">_xlfn.XLOOKUP(C853, customers!$A$1:A1852, customers!$B$1:B1852, 0)</f>
        <v>Perice Eberz</v>
      </c>
      <c r="G853" s="2" t="str">
        <f>IF(_xlfn.XLOOKUP(C853, customers!A852:A1852, customers!C852:C1852, 0)=0, "", _xlfn.XLOOKUP(C853, customers!A852:A1852, customers!C852:C1852, 0))</f>
        <v>peberznn@woothemes.com</v>
      </c>
      <c r="H853" s="2" t="str" cm="1">
        <f t="array" ref="H853">_xlfn.XLOOKUP(C853, customers!$A$1:A1852, customers!$G$1:G1852,, 0)</f>
        <v>United States</v>
      </c>
      <c r="I853" t="str" cm="1">
        <f t="array" ref="I853">_xlfn.XLOOKUP(orders!D853, products!$A$1:A900, products!$B$1:B900, 0)</f>
        <v>Lib</v>
      </c>
      <c r="J853" t="str" cm="1">
        <f t="array" ref="J853">_xlfn.XLOOKUP(D853, products!$A$1:A900, products!$C$1:C900, 0)</f>
        <v>D</v>
      </c>
      <c r="K853" s="4" cm="1">
        <f t="array" ref="K853">_xlfn.XLOOKUP(D853, products!$A$1:A900, products!$D$1:D900, 0)</f>
        <v>0.5</v>
      </c>
      <c r="L853" s="4" cm="1">
        <f t="array" ref="L853">_xlfn.XLOOKUP(D853, products!$A$1:A900, products!$E$1:E900)</f>
        <v>7.77</v>
      </c>
      <c r="M853">
        <f t="shared" si="26"/>
        <v>7.77</v>
      </c>
      <c r="N853" t="str">
        <f t="shared" si="27"/>
        <v>Liberica</v>
      </c>
      <c r="O853" t="str" cm="1">
        <f t="array" ref="O853">_xlfn.IFS(J853="M", "Medium", J853="L", "Light", J853="D", "Dark")</f>
        <v>Dark</v>
      </c>
      <c r="P853" t="str">
        <f>_xlfn.XLOOKUP(Orders[[#This Row],[Customer ID]], customers!$A$2:$A$1001, customers!$I$2:$I$1001, 0)</f>
        <v>Yes</v>
      </c>
    </row>
    <row r="854" spans="1:16" x14ac:dyDescent="0.35">
      <c r="A854" s="2" t="s">
        <v>5305</v>
      </c>
      <c r="B854" s="3">
        <v>44527</v>
      </c>
      <c r="C854" s="2" t="s">
        <v>5306</v>
      </c>
      <c r="D854" t="s">
        <v>6165</v>
      </c>
      <c r="E854" s="2">
        <v>4</v>
      </c>
      <c r="F854" s="2" t="str" cm="1">
        <f t="array" ref="F854">_xlfn.XLOOKUP(C854, customers!$A$1:A1853, customers!$B$1:B1853, 0)</f>
        <v>Bear Gaish</v>
      </c>
      <c r="G854" s="2" t="str">
        <f>IF(_xlfn.XLOOKUP(C854, customers!A853:A1853, customers!C853:C1853, 0)=0, "", _xlfn.XLOOKUP(C854, customers!A853:A1853, customers!C853:C1853, 0))</f>
        <v>bgaishno@altervista.org</v>
      </c>
      <c r="H854" s="2" t="str" cm="1">
        <f t="array" ref="H854">_xlfn.XLOOKUP(C854, customers!$A$1:A1853, customers!$G$1:G1853,, 0)</f>
        <v>United States</v>
      </c>
      <c r="I854" t="str" cm="1">
        <f t="array" ref="I854">_xlfn.XLOOKUP(orders!D854, products!$A$1:A901, products!$B$1:B901, 0)</f>
        <v>Lib</v>
      </c>
      <c r="J854" t="str" cm="1">
        <f t="array" ref="J854">_xlfn.XLOOKUP(D854, products!$A$1:A901, products!$C$1:C901, 0)</f>
        <v>D</v>
      </c>
      <c r="K854" s="4" cm="1">
        <f t="array" ref="K854">_xlfn.XLOOKUP(D854, products!$A$1:A901, products!$D$1:D901, 0)</f>
        <v>2.5</v>
      </c>
      <c r="L854" s="4" cm="1">
        <f t="array" ref="L854">_xlfn.XLOOKUP(D854, products!$A$1:A901, products!$E$1:E901)</f>
        <v>29.784999999999997</v>
      </c>
      <c r="M854">
        <f t="shared" si="26"/>
        <v>119.13999999999999</v>
      </c>
      <c r="N854" t="str">
        <f t="shared" si="27"/>
        <v>Liberica</v>
      </c>
      <c r="O854" t="str" cm="1">
        <f t="array" ref="O854">_xlfn.IFS(J854="M", "Medium", J854="L", "Light", J854="D", "Dark")</f>
        <v>Dark</v>
      </c>
      <c r="P854" t="str">
        <f>_xlfn.XLOOKUP(Orders[[#This Row],[Customer ID]], customers!$A$2:$A$1001, customers!$I$2:$I$1001, 0)</f>
        <v>Yes</v>
      </c>
    </row>
    <row r="855" spans="1:16" x14ac:dyDescent="0.35">
      <c r="A855" s="2" t="s">
        <v>5310</v>
      </c>
      <c r="B855" s="3">
        <v>44259</v>
      </c>
      <c r="C855" s="2" t="s">
        <v>5311</v>
      </c>
      <c r="D855" t="s">
        <v>6147</v>
      </c>
      <c r="E855" s="2">
        <v>2</v>
      </c>
      <c r="F855" s="2" t="str" cm="1">
        <f t="array" ref="F855">_xlfn.XLOOKUP(C855, customers!$A$1:A1854, customers!$B$1:B1854, 0)</f>
        <v>Lynnea Danton</v>
      </c>
      <c r="G855" s="2" t="str">
        <f>IF(_xlfn.XLOOKUP(C855, customers!A854:A1854, customers!C854:C1854, 0)=0, "", _xlfn.XLOOKUP(C855, customers!A854:A1854, customers!C854:C1854, 0))</f>
        <v>ldantonnp@miitbeian.gov.cn</v>
      </c>
      <c r="H855" s="2" t="str" cm="1">
        <f t="array" ref="H855">_xlfn.XLOOKUP(C855, customers!$A$1:A1854, customers!$G$1:G1854,, 0)</f>
        <v>United States</v>
      </c>
      <c r="I855" t="str" cm="1">
        <f t="array" ref="I855">_xlfn.XLOOKUP(orders!D855, products!$A$1:A902, products!$B$1:B902, 0)</f>
        <v>Ara</v>
      </c>
      <c r="J855" t="str" cm="1">
        <f t="array" ref="J855">_xlfn.XLOOKUP(D855, products!$A$1:A902, products!$C$1:C902, 0)</f>
        <v>D</v>
      </c>
      <c r="K855" s="4" cm="1">
        <f t="array" ref="K855">_xlfn.XLOOKUP(D855, products!$A$1:A902, products!$D$1:D902, 0)</f>
        <v>1</v>
      </c>
      <c r="L855" s="4" cm="1">
        <f t="array" ref="L855">_xlfn.XLOOKUP(D855, products!$A$1:A902, products!$E$1:E902)</f>
        <v>9.9499999999999993</v>
      </c>
      <c r="M855">
        <f t="shared" si="26"/>
        <v>19.899999999999999</v>
      </c>
      <c r="N855" t="str">
        <f t="shared" si="27"/>
        <v>Arabica</v>
      </c>
      <c r="O855" t="str" cm="1">
        <f t="array" ref="O855">_xlfn.IFS(J855="M", "Medium", J855="L", "Light", J855="D", "Dark")</f>
        <v>Dark</v>
      </c>
      <c r="P855" t="str">
        <f>_xlfn.XLOOKUP(Orders[[#This Row],[Customer ID]], customers!$A$2:$A$1001, customers!$I$2:$I$1001, 0)</f>
        <v>No</v>
      </c>
    </row>
    <row r="856" spans="1:16" x14ac:dyDescent="0.35">
      <c r="A856" s="2" t="s">
        <v>5315</v>
      </c>
      <c r="B856" s="3">
        <v>44516</v>
      </c>
      <c r="C856" s="2" t="s">
        <v>5316</v>
      </c>
      <c r="D856" t="s">
        <v>6173</v>
      </c>
      <c r="E856" s="2">
        <v>5</v>
      </c>
      <c r="F856" s="2" t="str" cm="1">
        <f t="array" ref="F856">_xlfn.XLOOKUP(C856, customers!$A$1:A1855, customers!$B$1:B1855, 0)</f>
        <v>Skipton Morrall</v>
      </c>
      <c r="G856" s="2" t="str">
        <f>IF(_xlfn.XLOOKUP(C856, customers!A855:A1855, customers!C855:C1855, 0)=0, "", _xlfn.XLOOKUP(C856, customers!A855:A1855, customers!C855:C1855, 0))</f>
        <v>smorrallnq@answers.com</v>
      </c>
      <c r="H856" s="2" t="str" cm="1">
        <f t="array" ref="H856">_xlfn.XLOOKUP(C856, customers!$A$1:A1855, customers!$G$1:G1855,, 0)</f>
        <v>United States</v>
      </c>
      <c r="I856" t="str" cm="1">
        <f t="array" ref="I856">_xlfn.XLOOKUP(orders!D856, products!$A$1:A903, products!$B$1:B903, 0)</f>
        <v>Rob</v>
      </c>
      <c r="J856" t="str" cm="1">
        <f t="array" ref="J856">_xlfn.XLOOKUP(D856, products!$A$1:A903, products!$C$1:C903, 0)</f>
        <v>L</v>
      </c>
      <c r="K856" s="4" cm="1">
        <f t="array" ref="K856">_xlfn.XLOOKUP(D856, products!$A$1:A903, products!$D$1:D903, 0)</f>
        <v>0.5</v>
      </c>
      <c r="L856" s="4" cm="1">
        <f t="array" ref="L856">_xlfn.XLOOKUP(D856, products!$A$1:A903, products!$E$1:E903)</f>
        <v>7.169999999999999</v>
      </c>
      <c r="M856">
        <f t="shared" si="26"/>
        <v>35.849999999999994</v>
      </c>
      <c r="N856" t="str">
        <f t="shared" si="27"/>
        <v>Robusta</v>
      </c>
      <c r="O856" t="str" cm="1">
        <f t="array" ref="O856">_xlfn.IFS(J856="M", "Medium", J856="L", "Light", J856="D", "Dark")</f>
        <v>Light</v>
      </c>
      <c r="P856" t="str">
        <f>_xlfn.XLOOKUP(Orders[[#This Row],[Customer ID]], customers!$A$2:$A$1001, customers!$I$2:$I$1001, 0)</f>
        <v>Yes</v>
      </c>
    </row>
    <row r="857" spans="1:16" x14ac:dyDescent="0.35">
      <c r="A857" s="2" t="s">
        <v>5321</v>
      </c>
      <c r="B857" s="3">
        <v>43632</v>
      </c>
      <c r="C857" s="2" t="s">
        <v>5322</v>
      </c>
      <c r="D857" t="s">
        <v>6165</v>
      </c>
      <c r="E857" s="2">
        <v>3</v>
      </c>
      <c r="F857" s="2" t="str" cm="1">
        <f t="array" ref="F857">_xlfn.XLOOKUP(C857, customers!$A$1:A1856, customers!$B$1:B1856, 0)</f>
        <v>Devan Crownshaw</v>
      </c>
      <c r="G857" s="2" t="str">
        <f>IF(_xlfn.XLOOKUP(C857, customers!A856:A1856, customers!C856:C1856, 0)=0, "", _xlfn.XLOOKUP(C857, customers!A856:A1856, customers!C856:C1856, 0))</f>
        <v>dcrownshawnr@photobucket.com</v>
      </c>
      <c r="H857" s="2" t="str" cm="1">
        <f t="array" ref="H857">_xlfn.XLOOKUP(C857, customers!$A$1:A1856, customers!$G$1:G1856,, 0)</f>
        <v>United States</v>
      </c>
      <c r="I857" t="str" cm="1">
        <f t="array" ref="I857">_xlfn.XLOOKUP(orders!D857, products!$A$1:A904, products!$B$1:B904, 0)</f>
        <v>Lib</v>
      </c>
      <c r="J857" t="str" cm="1">
        <f t="array" ref="J857">_xlfn.XLOOKUP(D857, products!$A$1:A904, products!$C$1:C904, 0)</f>
        <v>D</v>
      </c>
      <c r="K857" s="4" cm="1">
        <f t="array" ref="K857">_xlfn.XLOOKUP(D857, products!$A$1:A904, products!$D$1:D904, 0)</f>
        <v>2.5</v>
      </c>
      <c r="L857" s="4" cm="1">
        <f t="array" ref="L857">_xlfn.XLOOKUP(D857, products!$A$1:A904, products!$E$1:E904)</f>
        <v>29.784999999999997</v>
      </c>
      <c r="M857">
        <f t="shared" si="26"/>
        <v>89.35499999999999</v>
      </c>
      <c r="N857" t="str">
        <f t="shared" si="27"/>
        <v>Liberica</v>
      </c>
      <c r="O857" t="str" cm="1">
        <f t="array" ref="O857">_xlfn.IFS(J857="M", "Medium", J857="L", "Light", J857="D", "Dark")</f>
        <v>Dark</v>
      </c>
      <c r="P857" t="str">
        <f>_xlfn.XLOOKUP(Orders[[#This Row],[Customer ID]], customers!$A$2:$A$1001, customers!$I$2:$I$1001, 0)</f>
        <v>No</v>
      </c>
    </row>
    <row r="858" spans="1:16" x14ac:dyDescent="0.35">
      <c r="A858" s="2" t="s">
        <v>5327</v>
      </c>
      <c r="B858" s="3">
        <v>44031</v>
      </c>
      <c r="C858" s="2" t="s">
        <v>5188</v>
      </c>
      <c r="D858" t="s">
        <v>6159</v>
      </c>
      <c r="E858" s="2">
        <v>2</v>
      </c>
      <c r="F858" s="2" t="str" cm="1">
        <f t="array" ref="F858">_xlfn.XLOOKUP(C858, customers!$A$1:A1857, customers!$B$1:B1857, 0)</f>
        <v>Odelia Skerme</v>
      </c>
      <c r="G858" s="2" t="str">
        <f>IF(_xlfn.XLOOKUP(C858, customers!A857:A1857, customers!C857:C1857, 0)=0, "", _xlfn.XLOOKUP(C858, customers!A857:A1857, customers!C857:C1857, 0))</f>
        <v/>
      </c>
      <c r="H858" s="2" t="str" cm="1">
        <f t="array" ref="H858">_xlfn.XLOOKUP(C858, customers!$A$1:A1857, customers!$G$1:G1857,, 0)</f>
        <v>United States</v>
      </c>
      <c r="I858" t="str" cm="1">
        <f t="array" ref="I858">_xlfn.XLOOKUP(orders!D858, products!$A$1:A905, products!$B$1:B905, 0)</f>
        <v>Lib</v>
      </c>
      <c r="J858" t="str" cm="1">
        <f t="array" ref="J858">_xlfn.XLOOKUP(D858, products!$A$1:A905, products!$C$1:C905, 0)</f>
        <v>M</v>
      </c>
      <c r="K858" s="4" cm="1">
        <f t="array" ref="K858">_xlfn.XLOOKUP(D858, products!$A$1:A905, products!$D$1:D905, 0)</f>
        <v>0.2</v>
      </c>
      <c r="L858" s="4" cm="1">
        <f t="array" ref="L858">_xlfn.XLOOKUP(D858, products!$A$1:A905, products!$E$1:E905)</f>
        <v>4.3650000000000002</v>
      </c>
      <c r="M858">
        <f t="shared" si="26"/>
        <v>8.73</v>
      </c>
      <c r="N858" t="str">
        <f t="shared" si="27"/>
        <v>Liberica</v>
      </c>
      <c r="O858" t="str" cm="1">
        <f t="array" ref="O858">_xlfn.IFS(J858="M", "Medium", J858="L", "Light", J858="D", "Dark")</f>
        <v>Medium</v>
      </c>
      <c r="P858" t="str">
        <f>_xlfn.XLOOKUP(Orders[[#This Row],[Customer ID]], customers!$A$2:$A$1001, customers!$I$2:$I$1001, 0)</f>
        <v>Yes</v>
      </c>
    </row>
    <row r="859" spans="1:16" x14ac:dyDescent="0.35">
      <c r="A859" s="2" t="s">
        <v>5333</v>
      </c>
      <c r="B859" s="3">
        <v>43889</v>
      </c>
      <c r="C859" s="2" t="s">
        <v>5334</v>
      </c>
      <c r="D859" t="s">
        <v>6142</v>
      </c>
      <c r="E859" s="2">
        <v>5</v>
      </c>
      <c r="F859" s="2" t="str" cm="1">
        <f t="array" ref="F859">_xlfn.XLOOKUP(C859, customers!$A$1:A1858, customers!$B$1:B1858, 0)</f>
        <v>Joceline Reddoch</v>
      </c>
      <c r="G859" s="2" t="str">
        <f>IF(_xlfn.XLOOKUP(C859, customers!A858:A1858, customers!C858:C1858, 0)=0, "", _xlfn.XLOOKUP(C859, customers!A858:A1858, customers!C858:C1858, 0))</f>
        <v>jreddochnt@sun.com</v>
      </c>
      <c r="H859" s="2" t="str" cm="1">
        <f t="array" ref="H859">_xlfn.XLOOKUP(C859, customers!$A$1:A1858, customers!$G$1:G1858,, 0)</f>
        <v>United States</v>
      </c>
      <c r="I859" t="str" cm="1">
        <f t="array" ref="I859">_xlfn.XLOOKUP(orders!D859, products!$A$1:A906, products!$B$1:B906, 0)</f>
        <v>Rob</v>
      </c>
      <c r="J859" t="str" cm="1">
        <f t="array" ref="J859">_xlfn.XLOOKUP(D859, products!$A$1:A906, products!$C$1:C906, 0)</f>
        <v>L</v>
      </c>
      <c r="K859" s="4" cm="1">
        <f t="array" ref="K859">_xlfn.XLOOKUP(D859, products!$A$1:A906, products!$D$1:D906, 0)</f>
        <v>2.5</v>
      </c>
      <c r="L859" s="4" cm="1">
        <f t="array" ref="L859">_xlfn.XLOOKUP(D859, products!$A$1:A906, products!$E$1:E906)</f>
        <v>27.484999999999996</v>
      </c>
      <c r="M859">
        <f t="shared" si="26"/>
        <v>137.42499999999998</v>
      </c>
      <c r="N859" t="str">
        <f t="shared" si="27"/>
        <v>Robusta</v>
      </c>
      <c r="O859" t="str" cm="1">
        <f t="array" ref="O859">_xlfn.IFS(J859="M", "Medium", J859="L", "Light", J859="D", "Dark")</f>
        <v>Light</v>
      </c>
      <c r="P859" t="str">
        <f>_xlfn.XLOOKUP(Orders[[#This Row],[Customer ID]], customers!$A$2:$A$1001, customers!$I$2:$I$1001, 0)</f>
        <v>No</v>
      </c>
    </row>
    <row r="860" spans="1:16" x14ac:dyDescent="0.35">
      <c r="A860" s="2" t="s">
        <v>5339</v>
      </c>
      <c r="B860" s="3">
        <v>43638</v>
      </c>
      <c r="C860" s="2" t="s">
        <v>5340</v>
      </c>
      <c r="D860" t="s">
        <v>6160</v>
      </c>
      <c r="E860" s="2">
        <v>4</v>
      </c>
      <c r="F860" s="2" t="str" cm="1">
        <f t="array" ref="F860">_xlfn.XLOOKUP(C860, customers!$A$1:A1859, customers!$B$1:B1859, 0)</f>
        <v>Shelley Titley</v>
      </c>
      <c r="G860" s="2" t="str">
        <f>IF(_xlfn.XLOOKUP(C860, customers!A859:A1859, customers!C859:C1859, 0)=0, "", _xlfn.XLOOKUP(C860, customers!A859:A1859, customers!C859:C1859, 0))</f>
        <v>stitleynu@whitehouse.gov</v>
      </c>
      <c r="H860" s="2" t="str" cm="1">
        <f t="array" ref="H860">_xlfn.XLOOKUP(C860, customers!$A$1:A1859, customers!$G$1:G1859,, 0)</f>
        <v>United States</v>
      </c>
      <c r="I860" t="str" cm="1">
        <f t="array" ref="I860">_xlfn.XLOOKUP(orders!D860, products!$A$1:A907, products!$B$1:B907, 0)</f>
        <v>Lib</v>
      </c>
      <c r="J860" t="str" cm="1">
        <f t="array" ref="J860">_xlfn.XLOOKUP(D860, products!$A$1:A907, products!$C$1:C907, 0)</f>
        <v>M</v>
      </c>
      <c r="K860" s="4" cm="1">
        <f t="array" ref="K860">_xlfn.XLOOKUP(D860, products!$A$1:A907, products!$D$1:D907, 0)</f>
        <v>0.5</v>
      </c>
      <c r="L860" s="4" cm="1">
        <f t="array" ref="L860">_xlfn.XLOOKUP(D860, products!$A$1:A907, products!$E$1:E907)</f>
        <v>8.73</v>
      </c>
      <c r="M860">
        <f t="shared" si="26"/>
        <v>34.92</v>
      </c>
      <c r="N860" t="str">
        <f t="shared" si="27"/>
        <v>Liberica</v>
      </c>
      <c r="O860" t="str" cm="1">
        <f t="array" ref="O860">_xlfn.IFS(J860="M", "Medium", J860="L", "Light", J860="D", "Dark")</f>
        <v>Medium</v>
      </c>
      <c r="P860" t="str">
        <f>_xlfn.XLOOKUP(Orders[[#This Row],[Customer ID]], customers!$A$2:$A$1001, customers!$I$2:$I$1001, 0)</f>
        <v>No</v>
      </c>
    </row>
    <row r="861" spans="1:16" x14ac:dyDescent="0.35">
      <c r="A861" s="2" t="s">
        <v>5345</v>
      </c>
      <c r="B861" s="3">
        <v>43716</v>
      </c>
      <c r="C861" s="2" t="s">
        <v>5346</v>
      </c>
      <c r="D861" t="s">
        <v>6182</v>
      </c>
      <c r="E861" s="2">
        <v>6</v>
      </c>
      <c r="F861" s="2" t="str" cm="1">
        <f t="array" ref="F861">_xlfn.XLOOKUP(C861, customers!$A$1:A1860, customers!$B$1:B1860, 0)</f>
        <v>Redd Simao</v>
      </c>
      <c r="G861" s="2" t="str">
        <f>IF(_xlfn.XLOOKUP(C861, customers!A860:A1860, customers!C860:C1860, 0)=0, "", _xlfn.XLOOKUP(C861, customers!A860:A1860, customers!C860:C1860, 0))</f>
        <v>rsimaonv@simplemachines.org</v>
      </c>
      <c r="H861" s="2" t="str" cm="1">
        <f t="array" ref="H861">_xlfn.XLOOKUP(C861, customers!$A$1:A1860, customers!$G$1:G1860,, 0)</f>
        <v>United States</v>
      </c>
      <c r="I861" t="str" cm="1">
        <f t="array" ref="I861">_xlfn.XLOOKUP(orders!D861, products!$A$1:A908, products!$B$1:B908, 0)</f>
        <v>Ara</v>
      </c>
      <c r="J861" t="str" cm="1">
        <f t="array" ref="J861">_xlfn.XLOOKUP(D861, products!$A$1:A908, products!$C$1:C908, 0)</f>
        <v>L</v>
      </c>
      <c r="K861" s="4" cm="1">
        <f t="array" ref="K861">_xlfn.XLOOKUP(D861, products!$A$1:A908, products!$D$1:D908, 0)</f>
        <v>2.5</v>
      </c>
      <c r="L861" s="4" cm="1">
        <f t="array" ref="L861">_xlfn.XLOOKUP(D861, products!$A$1:A908, products!$E$1:E908)</f>
        <v>29.784999999999997</v>
      </c>
      <c r="M861">
        <f t="shared" si="26"/>
        <v>178.70999999999998</v>
      </c>
      <c r="N861" t="str">
        <f t="shared" si="27"/>
        <v>Arabica</v>
      </c>
      <c r="O861" t="str" cm="1">
        <f t="array" ref="O861">_xlfn.IFS(J861="M", "Medium", J861="L", "Light", J861="D", "Dark")</f>
        <v>Light</v>
      </c>
      <c r="P861" t="str">
        <f>_xlfn.XLOOKUP(Orders[[#This Row],[Customer ID]], customers!$A$2:$A$1001, customers!$I$2:$I$1001, 0)</f>
        <v>No</v>
      </c>
    </row>
    <row r="862" spans="1:16" x14ac:dyDescent="0.35">
      <c r="A862" s="2" t="s">
        <v>5351</v>
      </c>
      <c r="B862" s="3">
        <v>44707</v>
      </c>
      <c r="C862" s="2" t="s">
        <v>5352</v>
      </c>
      <c r="D862" t="s">
        <v>6175</v>
      </c>
      <c r="E862" s="2">
        <v>1</v>
      </c>
      <c r="F862" s="2" t="str" cm="1">
        <f t="array" ref="F862">_xlfn.XLOOKUP(C862, customers!$A$1:A1861, customers!$B$1:B1861, 0)</f>
        <v>Cece Inker</v>
      </c>
      <c r="G862" s="2" t="str">
        <f>IF(_xlfn.XLOOKUP(C862, customers!A861:A1861, customers!C861:C1861, 0)=0, "", _xlfn.XLOOKUP(C862, customers!A861:A1861, customers!C861:C1861, 0))</f>
        <v/>
      </c>
      <c r="H862" s="2" t="str" cm="1">
        <f t="array" ref="H862">_xlfn.XLOOKUP(C862, customers!$A$1:A1861, customers!$G$1:G1861,, 0)</f>
        <v>United States</v>
      </c>
      <c r="I862" t="str" cm="1">
        <f t="array" ref="I862">_xlfn.XLOOKUP(orders!D862, products!$A$1:A909, products!$B$1:B909, 0)</f>
        <v>Ara</v>
      </c>
      <c r="J862" t="str" cm="1">
        <f t="array" ref="J862">_xlfn.XLOOKUP(D862, products!$A$1:A909, products!$C$1:C909, 0)</f>
        <v>M</v>
      </c>
      <c r="K862" s="4" cm="1">
        <f t="array" ref="K862">_xlfn.XLOOKUP(D862, products!$A$1:A909, products!$D$1:D909, 0)</f>
        <v>2.5</v>
      </c>
      <c r="L862" s="4" cm="1">
        <f t="array" ref="L862">_xlfn.XLOOKUP(D862, products!$A$1:A909, products!$E$1:E909)</f>
        <v>25.874999999999996</v>
      </c>
      <c r="M862">
        <f t="shared" si="26"/>
        <v>25.874999999999996</v>
      </c>
      <c r="N862" t="str">
        <f t="shared" si="27"/>
        <v>Arabica</v>
      </c>
      <c r="O862" t="str" cm="1">
        <f t="array" ref="O862">_xlfn.IFS(J862="M", "Medium", J862="L", "Light", J862="D", "Dark")</f>
        <v>Medium</v>
      </c>
      <c r="P862" t="str">
        <f>_xlfn.XLOOKUP(Orders[[#This Row],[Customer ID]], customers!$A$2:$A$1001, customers!$I$2:$I$1001, 0)</f>
        <v>No</v>
      </c>
    </row>
    <row r="863" spans="1:16" x14ac:dyDescent="0.35">
      <c r="A863" s="2" t="s">
        <v>5356</v>
      </c>
      <c r="B863" s="3">
        <v>43802</v>
      </c>
      <c r="C863" s="2" t="s">
        <v>5357</v>
      </c>
      <c r="D863" t="s">
        <v>6143</v>
      </c>
      <c r="E863" s="2">
        <v>6</v>
      </c>
      <c r="F863" s="2" t="str" cm="1">
        <f t="array" ref="F863">_xlfn.XLOOKUP(C863, customers!$A$1:A1862, customers!$B$1:B1862, 0)</f>
        <v>Noel Chisholm</v>
      </c>
      <c r="G863" s="2" t="str">
        <f>IF(_xlfn.XLOOKUP(C863, customers!A862:A1862, customers!C862:C1862, 0)=0, "", _xlfn.XLOOKUP(C863, customers!A862:A1862, customers!C862:C1862, 0))</f>
        <v>nchisholmnx@example.com</v>
      </c>
      <c r="H863" s="2" t="str" cm="1">
        <f t="array" ref="H863">_xlfn.XLOOKUP(C863, customers!$A$1:A1862, customers!$G$1:G1862,, 0)</f>
        <v>United States</v>
      </c>
      <c r="I863" t="str" cm="1">
        <f t="array" ref="I863">_xlfn.XLOOKUP(orders!D863, products!$A$1:A910, products!$B$1:B910, 0)</f>
        <v>Lib</v>
      </c>
      <c r="J863" t="str" cm="1">
        <f t="array" ref="J863">_xlfn.XLOOKUP(D863, products!$A$1:A910, products!$C$1:C910, 0)</f>
        <v>D</v>
      </c>
      <c r="K863" s="4" cm="1">
        <f t="array" ref="K863">_xlfn.XLOOKUP(D863, products!$A$1:A910, products!$D$1:D910, 0)</f>
        <v>1</v>
      </c>
      <c r="L863" s="4" cm="1">
        <f t="array" ref="L863">_xlfn.XLOOKUP(D863, products!$A$1:A910, products!$E$1:E910)</f>
        <v>12.95</v>
      </c>
      <c r="M863">
        <f t="shared" si="26"/>
        <v>77.699999999999989</v>
      </c>
      <c r="N863" t="str">
        <f t="shared" si="27"/>
        <v>Liberica</v>
      </c>
      <c r="O863" t="str" cm="1">
        <f t="array" ref="O863">_xlfn.IFS(J863="M", "Medium", J863="L", "Light", J863="D", "Dark")</f>
        <v>Dark</v>
      </c>
      <c r="P863" t="str">
        <f>_xlfn.XLOOKUP(Orders[[#This Row],[Customer ID]], customers!$A$2:$A$1001, customers!$I$2:$I$1001, 0)</f>
        <v>Yes</v>
      </c>
    </row>
    <row r="864" spans="1:16" x14ac:dyDescent="0.35">
      <c r="A864" s="2" t="s">
        <v>5362</v>
      </c>
      <c r="B864" s="3">
        <v>43725</v>
      </c>
      <c r="C864" s="2" t="s">
        <v>5363</v>
      </c>
      <c r="D864" t="s">
        <v>6138</v>
      </c>
      <c r="E864" s="2">
        <v>1</v>
      </c>
      <c r="F864" s="2" t="str" cm="1">
        <f t="array" ref="F864">_xlfn.XLOOKUP(C864, customers!$A$1:A1863, customers!$B$1:B1863, 0)</f>
        <v>Grazia Oats</v>
      </c>
      <c r="G864" s="2" t="str">
        <f>IF(_xlfn.XLOOKUP(C864, customers!A863:A1863, customers!C863:C1863, 0)=0, "", _xlfn.XLOOKUP(C864, customers!A863:A1863, customers!C863:C1863, 0))</f>
        <v>goatsny@live.com</v>
      </c>
      <c r="H864" s="2" t="str" cm="1">
        <f t="array" ref="H864">_xlfn.XLOOKUP(C864, customers!$A$1:A1863, customers!$G$1:G1863,, 0)</f>
        <v>United States</v>
      </c>
      <c r="I864" t="str" cm="1">
        <f t="array" ref="I864">_xlfn.XLOOKUP(orders!D864, products!$A$1:A911, products!$B$1:B911, 0)</f>
        <v>Rob</v>
      </c>
      <c r="J864" t="str" cm="1">
        <f t="array" ref="J864">_xlfn.XLOOKUP(D864, products!$A$1:A911, products!$C$1:C911, 0)</f>
        <v>M</v>
      </c>
      <c r="K864" s="4" cm="1">
        <f t="array" ref="K864">_xlfn.XLOOKUP(D864, products!$A$1:A911, products!$D$1:D911, 0)</f>
        <v>1</v>
      </c>
      <c r="L864" s="4" cm="1">
        <f t="array" ref="L864">_xlfn.XLOOKUP(D864, products!$A$1:A911, products!$E$1:E911)</f>
        <v>9.9499999999999993</v>
      </c>
      <c r="M864">
        <f t="shared" si="26"/>
        <v>9.9499999999999993</v>
      </c>
      <c r="N864" t="str">
        <f t="shared" si="27"/>
        <v>Robusta</v>
      </c>
      <c r="O864" t="str" cm="1">
        <f t="array" ref="O864">_xlfn.IFS(J864="M", "Medium", J864="L", "Light", J864="D", "Dark")</f>
        <v>Medium</v>
      </c>
      <c r="P864" t="str">
        <f>_xlfn.XLOOKUP(Orders[[#This Row],[Customer ID]], customers!$A$2:$A$1001, customers!$I$2:$I$1001, 0)</f>
        <v>Yes</v>
      </c>
    </row>
    <row r="865" spans="1:16" x14ac:dyDescent="0.35">
      <c r="A865" s="2" t="s">
        <v>5368</v>
      </c>
      <c r="B865" s="3">
        <v>44712</v>
      </c>
      <c r="C865" s="2" t="s">
        <v>5369</v>
      </c>
      <c r="D865" t="s">
        <v>6162</v>
      </c>
      <c r="E865" s="2">
        <v>2</v>
      </c>
      <c r="F865" s="2" t="str" cm="1">
        <f t="array" ref="F865">_xlfn.XLOOKUP(C865, customers!$A$1:A1864, customers!$B$1:B1864, 0)</f>
        <v>Meade Birkin</v>
      </c>
      <c r="G865" s="2" t="str">
        <f>IF(_xlfn.XLOOKUP(C865, customers!A864:A1864, customers!C864:C1864, 0)=0, "", _xlfn.XLOOKUP(C865, customers!A864:A1864, customers!C864:C1864, 0))</f>
        <v>mbirkinnz@java.com</v>
      </c>
      <c r="H865" s="2" t="str" cm="1">
        <f t="array" ref="H865">_xlfn.XLOOKUP(C865, customers!$A$1:A1864, customers!$G$1:G1864,, 0)</f>
        <v>United States</v>
      </c>
      <c r="I865" t="str" cm="1">
        <f t="array" ref="I865">_xlfn.XLOOKUP(orders!D865, products!$A$1:A912, products!$B$1:B912, 0)</f>
        <v>Lib</v>
      </c>
      <c r="J865" t="str" cm="1">
        <f t="array" ref="J865">_xlfn.XLOOKUP(D865, products!$A$1:A912, products!$C$1:C912, 0)</f>
        <v>M</v>
      </c>
      <c r="K865" s="4" cm="1">
        <f t="array" ref="K865">_xlfn.XLOOKUP(D865, products!$A$1:A912, products!$D$1:D912, 0)</f>
        <v>1</v>
      </c>
      <c r="L865" s="4" cm="1">
        <f t="array" ref="L865">_xlfn.XLOOKUP(D865, products!$A$1:A912, products!$E$1:E912)</f>
        <v>14.55</v>
      </c>
      <c r="M865">
        <f t="shared" si="26"/>
        <v>29.1</v>
      </c>
      <c r="N865" t="str">
        <f t="shared" si="27"/>
        <v>Liberica</v>
      </c>
      <c r="O865" t="str" cm="1">
        <f t="array" ref="O865">_xlfn.IFS(J865="M", "Medium", J865="L", "Light", J865="D", "Dark")</f>
        <v>Medium</v>
      </c>
      <c r="P865" t="str">
        <f>_xlfn.XLOOKUP(Orders[[#This Row],[Customer ID]], customers!$A$2:$A$1001, customers!$I$2:$I$1001, 0)</f>
        <v>Yes</v>
      </c>
    </row>
    <row r="866" spans="1:16" x14ac:dyDescent="0.35">
      <c r="A866" s="2" t="s">
        <v>5374</v>
      </c>
      <c r="B866" s="3">
        <v>43759</v>
      </c>
      <c r="C866" s="2" t="s">
        <v>5375</v>
      </c>
      <c r="D866" t="s">
        <v>6178</v>
      </c>
      <c r="E866" s="2">
        <v>6</v>
      </c>
      <c r="F866" s="2" t="str" cm="1">
        <f t="array" ref="F866">_xlfn.XLOOKUP(C866, customers!$A$1:A1865, customers!$B$1:B1865, 0)</f>
        <v>Ronda Pyson</v>
      </c>
      <c r="G866" s="2" t="str">
        <f>IF(_xlfn.XLOOKUP(C866, customers!A865:A1865, customers!C865:C1865, 0)=0, "", _xlfn.XLOOKUP(C866, customers!A865:A1865, customers!C865:C1865, 0))</f>
        <v>rpysono0@constantcontact.com</v>
      </c>
      <c r="H866" s="2" t="str" cm="1">
        <f t="array" ref="H866">_xlfn.XLOOKUP(C866, customers!$A$1:A1865, customers!$G$1:G1865,, 0)</f>
        <v>Ireland</v>
      </c>
      <c r="I866" t="str" cm="1">
        <f t="array" ref="I866">_xlfn.XLOOKUP(orders!D866, products!$A$1:A913, products!$B$1:B913, 0)</f>
        <v>Rob</v>
      </c>
      <c r="J866" t="str" cm="1">
        <f t="array" ref="J866">_xlfn.XLOOKUP(D866, products!$A$1:A913, products!$C$1:C913, 0)</f>
        <v>L</v>
      </c>
      <c r="K866" s="4" cm="1">
        <f t="array" ref="K866">_xlfn.XLOOKUP(D866, products!$A$1:A913, products!$D$1:D913, 0)</f>
        <v>0.2</v>
      </c>
      <c r="L866" s="4" cm="1">
        <f t="array" ref="L866">_xlfn.XLOOKUP(D866, products!$A$1:A913, products!$E$1:E913)</f>
        <v>3.5849999999999995</v>
      </c>
      <c r="M866">
        <f t="shared" si="26"/>
        <v>21.509999999999998</v>
      </c>
      <c r="N866" t="str">
        <f t="shared" si="27"/>
        <v>Robusta</v>
      </c>
      <c r="O866" t="str" cm="1">
        <f t="array" ref="O866">_xlfn.IFS(J866="M", "Medium", J866="L", "Light", J866="D", "Dark")</f>
        <v>Light</v>
      </c>
      <c r="P866" t="str">
        <f>_xlfn.XLOOKUP(Orders[[#This Row],[Customer ID]], customers!$A$2:$A$1001, customers!$I$2:$I$1001, 0)</f>
        <v>No</v>
      </c>
    </row>
    <row r="867" spans="1:16" x14ac:dyDescent="0.35">
      <c r="A867" s="2" t="s">
        <v>5380</v>
      </c>
      <c r="B867" s="3">
        <v>44675</v>
      </c>
      <c r="C867" s="2" t="s">
        <v>5428</v>
      </c>
      <c r="D867" t="s">
        <v>6157</v>
      </c>
      <c r="E867" s="2">
        <v>1</v>
      </c>
      <c r="F867" s="2" t="str" cm="1">
        <f t="array" ref="F867">_xlfn.XLOOKUP(C867, customers!$A$1:A1866, customers!$B$1:B1866, 0)</f>
        <v>Modesty MacConnechie</v>
      </c>
      <c r="G867" s="2" t="str">
        <f>IF(_xlfn.XLOOKUP(C867, customers!A866:A1866, customers!C866:C1866, 0)=0, "", _xlfn.XLOOKUP(C867, customers!A866:A1866, customers!C866:C1866, 0))</f>
        <v>mmacconnechieo9@reuters.com</v>
      </c>
      <c r="H867" s="2" t="str" cm="1">
        <f t="array" ref="H867">_xlfn.XLOOKUP(C867, customers!$A$1:A1866, customers!$G$1:G1866,, 0)</f>
        <v>United States</v>
      </c>
      <c r="I867" t="str" cm="1">
        <f t="array" ref="I867">_xlfn.XLOOKUP(orders!D867, products!$A$1:A914, products!$B$1:B914, 0)</f>
        <v>Ara</v>
      </c>
      <c r="J867" t="str" cm="1">
        <f t="array" ref="J867">_xlfn.XLOOKUP(D867, products!$A$1:A914, products!$C$1:C914, 0)</f>
        <v>M</v>
      </c>
      <c r="K867" s="4" cm="1">
        <f t="array" ref="K867">_xlfn.XLOOKUP(D867, products!$A$1:A914, products!$D$1:D914, 0)</f>
        <v>0.5</v>
      </c>
      <c r="L867" s="4" cm="1">
        <f t="array" ref="L867">_xlfn.XLOOKUP(D867, products!$A$1:A914, products!$E$1:E914)</f>
        <v>6.75</v>
      </c>
      <c r="M867">
        <f t="shared" si="26"/>
        <v>6.75</v>
      </c>
      <c r="N867" t="str">
        <f t="shared" si="27"/>
        <v>Arabica</v>
      </c>
      <c r="O867" t="str" cm="1">
        <f t="array" ref="O867">_xlfn.IFS(J867="M", "Medium", J867="L", "Light", J867="D", "Dark")</f>
        <v>Medium</v>
      </c>
      <c r="P867" t="str">
        <f>_xlfn.XLOOKUP(Orders[[#This Row],[Customer ID]], customers!$A$2:$A$1001, customers!$I$2:$I$1001, 0)</f>
        <v>Yes</v>
      </c>
    </row>
    <row r="868" spans="1:16" x14ac:dyDescent="0.35">
      <c r="A868" s="2" t="s">
        <v>5385</v>
      </c>
      <c r="B868" s="3">
        <v>44209</v>
      </c>
      <c r="C868" s="2" t="s">
        <v>5386</v>
      </c>
      <c r="D868" t="s">
        <v>6158</v>
      </c>
      <c r="E868" s="2">
        <v>3</v>
      </c>
      <c r="F868" s="2" t="str" cm="1">
        <f t="array" ref="F868">_xlfn.XLOOKUP(C868, customers!$A$1:A1867, customers!$B$1:B1867, 0)</f>
        <v>Rafaela Treacher</v>
      </c>
      <c r="G868" s="2" t="str">
        <f>IF(_xlfn.XLOOKUP(C868, customers!A867:A1867, customers!C867:C1867, 0)=0, "", _xlfn.XLOOKUP(C868, customers!A867:A1867, customers!C867:C1867, 0))</f>
        <v>rtreachero2@usa.gov</v>
      </c>
      <c r="H868" s="2" t="str" cm="1">
        <f t="array" ref="H868">_xlfn.XLOOKUP(C868, customers!$A$1:A1867, customers!$G$1:G1867,, 0)</f>
        <v>Ireland</v>
      </c>
      <c r="I868" t="str" cm="1">
        <f t="array" ref="I868">_xlfn.XLOOKUP(orders!D868, products!$A$1:A915, products!$B$1:B915, 0)</f>
        <v>Ara</v>
      </c>
      <c r="J868" t="str" cm="1">
        <f t="array" ref="J868">_xlfn.XLOOKUP(D868, products!$A$1:A915, products!$C$1:C915, 0)</f>
        <v>D</v>
      </c>
      <c r="K868" s="4" cm="1">
        <f t="array" ref="K868">_xlfn.XLOOKUP(D868, products!$A$1:A915, products!$D$1:D915, 0)</f>
        <v>0.5</v>
      </c>
      <c r="L868" s="4" cm="1">
        <f t="array" ref="L868">_xlfn.XLOOKUP(D868, products!$A$1:A915, products!$E$1:E915)</f>
        <v>5.97</v>
      </c>
      <c r="M868">
        <f t="shared" si="26"/>
        <v>17.91</v>
      </c>
      <c r="N868" t="str">
        <f t="shared" si="27"/>
        <v>Arabica</v>
      </c>
      <c r="O868" t="str" cm="1">
        <f t="array" ref="O868">_xlfn.IFS(J868="M", "Medium", J868="L", "Light", J868="D", "Dark")</f>
        <v>Dark</v>
      </c>
      <c r="P868" t="str">
        <f>_xlfn.XLOOKUP(Orders[[#This Row],[Customer ID]], customers!$A$2:$A$1001, customers!$I$2:$I$1001, 0)</f>
        <v>No</v>
      </c>
    </row>
    <row r="869" spans="1:16" x14ac:dyDescent="0.35">
      <c r="A869" s="2" t="s">
        <v>5391</v>
      </c>
      <c r="B869" s="3">
        <v>44792</v>
      </c>
      <c r="C869" s="2" t="s">
        <v>5392</v>
      </c>
      <c r="D869" t="s">
        <v>6182</v>
      </c>
      <c r="E869" s="2">
        <v>1</v>
      </c>
      <c r="F869" s="2" t="str" cm="1">
        <f t="array" ref="F869">_xlfn.XLOOKUP(C869, customers!$A$1:A1868, customers!$B$1:B1868, 0)</f>
        <v>Bee Fattorini</v>
      </c>
      <c r="G869" s="2" t="str">
        <f>IF(_xlfn.XLOOKUP(C869, customers!A868:A1868, customers!C868:C1868, 0)=0, "", _xlfn.XLOOKUP(C869, customers!A868:A1868, customers!C868:C1868, 0))</f>
        <v>bfattorinio3@quantcast.com</v>
      </c>
      <c r="H869" s="2" t="str" cm="1">
        <f t="array" ref="H869">_xlfn.XLOOKUP(C869, customers!$A$1:A1868, customers!$G$1:G1868,, 0)</f>
        <v>Ireland</v>
      </c>
      <c r="I869" t="str" cm="1">
        <f t="array" ref="I869">_xlfn.XLOOKUP(orders!D869, products!$A$1:A916, products!$B$1:B916, 0)</f>
        <v>Ara</v>
      </c>
      <c r="J869" t="str" cm="1">
        <f t="array" ref="J869">_xlfn.XLOOKUP(D869, products!$A$1:A916, products!$C$1:C916, 0)</f>
        <v>L</v>
      </c>
      <c r="K869" s="4" cm="1">
        <f t="array" ref="K869">_xlfn.XLOOKUP(D869, products!$A$1:A916, products!$D$1:D916, 0)</f>
        <v>2.5</v>
      </c>
      <c r="L869" s="4" cm="1">
        <f t="array" ref="L869">_xlfn.XLOOKUP(D869, products!$A$1:A916, products!$E$1:E916)</f>
        <v>29.784999999999997</v>
      </c>
      <c r="M869">
        <f t="shared" si="26"/>
        <v>29.784999999999997</v>
      </c>
      <c r="N869" t="str">
        <f t="shared" si="27"/>
        <v>Arabica</v>
      </c>
      <c r="O869" t="str" cm="1">
        <f t="array" ref="O869">_xlfn.IFS(J869="M", "Medium", J869="L", "Light", J869="D", "Dark")</f>
        <v>Light</v>
      </c>
      <c r="P869" t="str">
        <f>_xlfn.XLOOKUP(Orders[[#This Row],[Customer ID]], customers!$A$2:$A$1001, customers!$I$2:$I$1001, 0)</f>
        <v>Yes</v>
      </c>
    </row>
    <row r="870" spans="1:16" x14ac:dyDescent="0.35">
      <c r="A870" s="2" t="s">
        <v>5396</v>
      </c>
      <c r="B870" s="3">
        <v>43526</v>
      </c>
      <c r="C870" s="2" t="s">
        <v>5397</v>
      </c>
      <c r="D870" t="s">
        <v>6139</v>
      </c>
      <c r="E870" s="2">
        <v>5</v>
      </c>
      <c r="F870" s="2" t="str" cm="1">
        <f t="array" ref="F870">_xlfn.XLOOKUP(C870, customers!$A$1:A1869, customers!$B$1:B1869, 0)</f>
        <v>Margie Palleske</v>
      </c>
      <c r="G870" s="2" t="str">
        <f>IF(_xlfn.XLOOKUP(C870, customers!A869:A1869, customers!C869:C1869, 0)=0, "", _xlfn.XLOOKUP(C870, customers!A869:A1869, customers!C869:C1869, 0))</f>
        <v>mpalleskeo4@nyu.edu</v>
      </c>
      <c r="H870" s="2" t="str" cm="1">
        <f t="array" ref="H870">_xlfn.XLOOKUP(C870, customers!$A$1:A1869, customers!$G$1:G1869,, 0)</f>
        <v>United States</v>
      </c>
      <c r="I870" t="str" cm="1">
        <f t="array" ref="I870">_xlfn.XLOOKUP(orders!D870, products!$A$1:A917, products!$B$1:B917, 0)</f>
        <v>Exc</v>
      </c>
      <c r="J870" t="str" cm="1">
        <f t="array" ref="J870">_xlfn.XLOOKUP(D870, products!$A$1:A917, products!$C$1:C917, 0)</f>
        <v>M</v>
      </c>
      <c r="K870" s="4" cm="1">
        <f t="array" ref="K870">_xlfn.XLOOKUP(D870, products!$A$1:A917, products!$D$1:D917, 0)</f>
        <v>0.5</v>
      </c>
      <c r="L870" s="4" cm="1">
        <f t="array" ref="L870">_xlfn.XLOOKUP(D870, products!$A$1:A917, products!$E$1:E917)</f>
        <v>8.25</v>
      </c>
      <c r="M870">
        <f t="shared" si="26"/>
        <v>41.25</v>
      </c>
      <c r="N870" t="str">
        <f t="shared" si="27"/>
        <v>Excelsa</v>
      </c>
      <c r="O870" t="str" cm="1">
        <f t="array" ref="O870">_xlfn.IFS(J870="M", "Medium", J870="L", "Light", J870="D", "Dark")</f>
        <v>Medium</v>
      </c>
      <c r="P870" t="str">
        <f>_xlfn.XLOOKUP(Orders[[#This Row],[Customer ID]], customers!$A$2:$A$1001, customers!$I$2:$I$1001, 0)</f>
        <v>Yes</v>
      </c>
    </row>
    <row r="871" spans="1:16" x14ac:dyDescent="0.35">
      <c r="A871" s="2" t="s">
        <v>5402</v>
      </c>
      <c r="B871" s="3">
        <v>43851</v>
      </c>
      <c r="C871" s="2" t="s">
        <v>5403</v>
      </c>
      <c r="D871" t="s">
        <v>6146</v>
      </c>
      <c r="E871" s="2">
        <v>3</v>
      </c>
      <c r="F871" s="2" t="str" cm="1">
        <f t="array" ref="F871">_xlfn.XLOOKUP(C871, customers!$A$1:A1870, customers!$B$1:B1870, 0)</f>
        <v>Alexina Randals</v>
      </c>
      <c r="G871" s="2" t="str">
        <f>IF(_xlfn.XLOOKUP(C871, customers!A870:A1870, customers!C870:C1870, 0)=0, "", _xlfn.XLOOKUP(C871, customers!A870:A1870, customers!C870:C1870, 0))</f>
        <v/>
      </c>
      <c r="H871" s="2" t="str" cm="1">
        <f t="array" ref="H871">_xlfn.XLOOKUP(C871, customers!$A$1:A1870, customers!$G$1:G1870,, 0)</f>
        <v>United States</v>
      </c>
      <c r="I871" t="str" cm="1">
        <f t="array" ref="I871">_xlfn.XLOOKUP(orders!D871, products!$A$1:A918, products!$B$1:B918, 0)</f>
        <v>Rob</v>
      </c>
      <c r="J871" t="str" cm="1">
        <f t="array" ref="J871">_xlfn.XLOOKUP(D871, products!$A$1:A918, products!$C$1:C918, 0)</f>
        <v>M</v>
      </c>
      <c r="K871" s="4" cm="1">
        <f t="array" ref="K871">_xlfn.XLOOKUP(D871, products!$A$1:A918, products!$D$1:D918, 0)</f>
        <v>0.5</v>
      </c>
      <c r="L871" s="4" cm="1">
        <f t="array" ref="L871">_xlfn.XLOOKUP(D871, products!$A$1:A918, products!$E$1:E918)</f>
        <v>5.97</v>
      </c>
      <c r="M871">
        <f t="shared" si="26"/>
        <v>17.91</v>
      </c>
      <c r="N871" t="str">
        <f t="shared" si="27"/>
        <v>Robusta</v>
      </c>
      <c r="O871" t="str" cm="1">
        <f t="array" ref="O871">_xlfn.IFS(J871="M", "Medium", J871="L", "Light", J871="D", "Dark")</f>
        <v>Medium</v>
      </c>
      <c r="P871" t="str">
        <f>_xlfn.XLOOKUP(Orders[[#This Row],[Customer ID]], customers!$A$2:$A$1001, customers!$I$2:$I$1001, 0)</f>
        <v>Yes</v>
      </c>
    </row>
    <row r="872" spans="1:16" x14ac:dyDescent="0.35">
      <c r="A872" s="2" t="s">
        <v>5407</v>
      </c>
      <c r="B872" s="3">
        <v>44460</v>
      </c>
      <c r="C872" s="2" t="s">
        <v>5408</v>
      </c>
      <c r="D872" t="s">
        <v>6144</v>
      </c>
      <c r="E872" s="2">
        <v>1</v>
      </c>
      <c r="F872" s="2" t="str" cm="1">
        <f t="array" ref="F872">_xlfn.XLOOKUP(C872, customers!$A$1:A1871, customers!$B$1:B1871, 0)</f>
        <v>Filip Antcliffe</v>
      </c>
      <c r="G872" s="2" t="str">
        <f>IF(_xlfn.XLOOKUP(C872, customers!A871:A1871, customers!C871:C1871, 0)=0, "", _xlfn.XLOOKUP(C872, customers!A871:A1871, customers!C871:C1871, 0))</f>
        <v>fantcliffeo6@amazon.co.jp</v>
      </c>
      <c r="H872" s="2" t="str" cm="1">
        <f t="array" ref="H872">_xlfn.XLOOKUP(C872, customers!$A$1:A1871, customers!$G$1:G1871,, 0)</f>
        <v>Ireland</v>
      </c>
      <c r="I872" t="str" cm="1">
        <f t="array" ref="I872">_xlfn.XLOOKUP(orders!D872, products!$A$1:A919, products!$B$1:B919, 0)</f>
        <v>Exc</v>
      </c>
      <c r="J872" t="str" cm="1">
        <f t="array" ref="J872">_xlfn.XLOOKUP(D872, products!$A$1:A919, products!$C$1:C919, 0)</f>
        <v>D</v>
      </c>
      <c r="K872" s="4" cm="1">
        <f t="array" ref="K872">_xlfn.XLOOKUP(D872, products!$A$1:A919, products!$D$1:D919, 0)</f>
        <v>0.5</v>
      </c>
      <c r="L872" s="4" cm="1">
        <f t="array" ref="L872">_xlfn.XLOOKUP(D872, products!$A$1:A919, products!$E$1:E919)</f>
        <v>7.29</v>
      </c>
      <c r="M872">
        <f t="shared" si="26"/>
        <v>7.29</v>
      </c>
      <c r="N872" t="str">
        <f t="shared" si="27"/>
        <v>Excelsa</v>
      </c>
      <c r="O872" t="str" cm="1">
        <f t="array" ref="O872">_xlfn.IFS(J872="M", "Medium", J872="L", "Light", J872="D", "Dark")</f>
        <v>Dark</v>
      </c>
      <c r="P872" t="str">
        <f>_xlfn.XLOOKUP(Orders[[#This Row],[Customer ID]], customers!$A$2:$A$1001, customers!$I$2:$I$1001, 0)</f>
        <v>Yes</v>
      </c>
    </row>
    <row r="873" spans="1:16" x14ac:dyDescent="0.35">
      <c r="A873" s="2" t="s">
        <v>5413</v>
      </c>
      <c r="B873" s="3">
        <v>43707</v>
      </c>
      <c r="C873" s="2" t="s">
        <v>5414</v>
      </c>
      <c r="D873" t="s">
        <v>6171</v>
      </c>
      <c r="E873" s="2">
        <v>2</v>
      </c>
      <c r="F873" s="2" t="str" cm="1">
        <f t="array" ref="F873">_xlfn.XLOOKUP(C873, customers!$A$1:A1872, customers!$B$1:B1872, 0)</f>
        <v>Peyter Matignon</v>
      </c>
      <c r="G873" s="2" t="str">
        <f>IF(_xlfn.XLOOKUP(C873, customers!A872:A1872, customers!C872:C1872, 0)=0, "", _xlfn.XLOOKUP(C873, customers!A872:A1872, customers!C872:C1872, 0))</f>
        <v>pmatignono7@harvard.edu</v>
      </c>
      <c r="H873" s="2" t="str" cm="1">
        <f t="array" ref="H873">_xlfn.XLOOKUP(C873, customers!$A$1:A1872, customers!$G$1:G1872,, 0)</f>
        <v>United Kingdom</v>
      </c>
      <c r="I873" t="str" cm="1">
        <f t="array" ref="I873">_xlfn.XLOOKUP(orders!D873, products!$A$1:A920, products!$B$1:B920, 0)</f>
        <v>Exc</v>
      </c>
      <c r="J873" t="str" cm="1">
        <f t="array" ref="J873">_xlfn.XLOOKUP(D873, products!$A$1:A920, products!$C$1:C920, 0)</f>
        <v>L</v>
      </c>
      <c r="K873" s="4" cm="1">
        <f t="array" ref="K873">_xlfn.XLOOKUP(D873, products!$A$1:A920, products!$D$1:D920, 0)</f>
        <v>1</v>
      </c>
      <c r="L873" s="4" cm="1">
        <f t="array" ref="L873">_xlfn.XLOOKUP(D873, products!$A$1:A920, products!$E$1:E920)</f>
        <v>14.85</v>
      </c>
      <c r="M873">
        <f t="shared" si="26"/>
        <v>29.7</v>
      </c>
      <c r="N873" t="str">
        <f t="shared" si="27"/>
        <v>Excelsa</v>
      </c>
      <c r="O873" t="str" cm="1">
        <f t="array" ref="O873">_xlfn.IFS(J873="M", "Medium", J873="L", "Light", J873="D", "Dark")</f>
        <v>Light</v>
      </c>
      <c r="P873" t="str">
        <f>_xlfn.XLOOKUP(Orders[[#This Row],[Customer ID]], customers!$A$2:$A$1001, customers!$I$2:$I$1001, 0)</f>
        <v>Yes</v>
      </c>
    </row>
    <row r="874" spans="1:16" x14ac:dyDescent="0.35">
      <c r="A874" s="2" t="s">
        <v>5421</v>
      </c>
      <c r="B874" s="3">
        <v>43521</v>
      </c>
      <c r="C874" s="2" t="s">
        <v>5422</v>
      </c>
      <c r="D874" t="s">
        <v>6155</v>
      </c>
      <c r="E874" s="2">
        <v>2</v>
      </c>
      <c r="F874" s="2" t="str" cm="1">
        <f t="array" ref="F874">_xlfn.XLOOKUP(C874, customers!$A$1:A1873, customers!$B$1:B1873, 0)</f>
        <v>Claudie Weond</v>
      </c>
      <c r="G874" s="2" t="str">
        <f>IF(_xlfn.XLOOKUP(C874, customers!A873:A1873, customers!C873:C1873, 0)=0, "", _xlfn.XLOOKUP(C874, customers!A873:A1873, customers!C873:C1873, 0))</f>
        <v>cweondo8@theglobeandmail.com</v>
      </c>
      <c r="H874" s="2" t="str" cm="1">
        <f t="array" ref="H874">_xlfn.XLOOKUP(C874, customers!$A$1:A1873, customers!$G$1:G1873,, 0)</f>
        <v>United States</v>
      </c>
      <c r="I874" t="str" cm="1">
        <f t="array" ref="I874">_xlfn.XLOOKUP(orders!D874, products!$A$1:A921, products!$B$1:B921, 0)</f>
        <v>Ara</v>
      </c>
      <c r="J874" t="str" cm="1">
        <f t="array" ref="J874">_xlfn.XLOOKUP(D874, products!$A$1:A921, products!$C$1:C921, 0)</f>
        <v>M</v>
      </c>
      <c r="K874" s="4" cm="1">
        <f t="array" ref="K874">_xlfn.XLOOKUP(D874, products!$A$1:A921, products!$D$1:D921, 0)</f>
        <v>1</v>
      </c>
      <c r="L874" s="4" cm="1">
        <f t="array" ref="L874">_xlfn.XLOOKUP(D874, products!$A$1:A921, products!$E$1:E921)</f>
        <v>11.25</v>
      </c>
      <c r="M874">
        <f t="shared" si="26"/>
        <v>22.5</v>
      </c>
      <c r="N874" t="str">
        <f t="shared" si="27"/>
        <v>Arabica</v>
      </c>
      <c r="O874" t="str" cm="1">
        <f t="array" ref="O874">_xlfn.IFS(J874="M", "Medium", J874="L", "Light", J874="D", "Dark")</f>
        <v>Medium</v>
      </c>
      <c r="P874" t="str">
        <f>_xlfn.XLOOKUP(Orders[[#This Row],[Customer ID]], customers!$A$2:$A$1001, customers!$I$2:$I$1001, 0)</f>
        <v>No</v>
      </c>
    </row>
    <row r="875" spans="1:16" x14ac:dyDescent="0.35">
      <c r="A875" s="2" t="s">
        <v>5427</v>
      </c>
      <c r="B875" s="3">
        <v>43725</v>
      </c>
      <c r="C875" s="2" t="s">
        <v>5428</v>
      </c>
      <c r="D875" t="s">
        <v>6174</v>
      </c>
      <c r="E875" s="2">
        <v>4</v>
      </c>
      <c r="F875" s="2" t="str" cm="1">
        <f t="array" ref="F875">_xlfn.XLOOKUP(C875, customers!$A$1:A1874, customers!$B$1:B1874, 0)</f>
        <v>Modesty MacConnechie</v>
      </c>
      <c r="G875" s="2" t="str">
        <f>IF(_xlfn.XLOOKUP(C875, customers!A874:A1874, customers!C874:C1874, 0)=0, "", _xlfn.XLOOKUP(C875, customers!A874:A1874, customers!C874:C1874, 0))</f>
        <v>mmacconnechieo9@reuters.com</v>
      </c>
      <c r="H875" s="2" t="str" cm="1">
        <f t="array" ref="H875">_xlfn.XLOOKUP(C875, customers!$A$1:A1874, customers!$G$1:G1874,, 0)</f>
        <v>United States</v>
      </c>
      <c r="I875" t="str" cm="1">
        <f t="array" ref="I875">_xlfn.XLOOKUP(orders!D875, products!$A$1:A922, products!$B$1:B922, 0)</f>
        <v>Rob</v>
      </c>
      <c r="J875" t="str" cm="1">
        <f t="array" ref="J875">_xlfn.XLOOKUP(D875, products!$A$1:A922, products!$C$1:C922, 0)</f>
        <v>M</v>
      </c>
      <c r="K875" s="4" cm="1">
        <f t="array" ref="K875">_xlfn.XLOOKUP(D875, products!$A$1:A922, products!$D$1:D922, 0)</f>
        <v>0.2</v>
      </c>
      <c r="L875" s="4" cm="1">
        <f t="array" ref="L875">_xlfn.XLOOKUP(D875, products!$A$1:A922, products!$E$1:E922)</f>
        <v>2.9849999999999999</v>
      </c>
      <c r="M875">
        <f t="shared" si="26"/>
        <v>11.94</v>
      </c>
      <c r="N875" t="str">
        <f t="shared" si="27"/>
        <v>Robusta</v>
      </c>
      <c r="O875" t="str" cm="1">
        <f t="array" ref="O875">_xlfn.IFS(J875="M", "Medium", J875="L", "Light", J875="D", "Dark")</f>
        <v>Medium</v>
      </c>
      <c r="P875" t="str">
        <f>_xlfn.XLOOKUP(Orders[[#This Row],[Customer ID]], customers!$A$2:$A$1001, customers!$I$2:$I$1001, 0)</f>
        <v>Yes</v>
      </c>
    </row>
    <row r="876" spans="1:16" x14ac:dyDescent="0.35">
      <c r="A876" s="2" t="s">
        <v>5433</v>
      </c>
      <c r="B876" s="3">
        <v>43680</v>
      </c>
      <c r="C876" s="2" t="s">
        <v>5434</v>
      </c>
      <c r="D876" t="s">
        <v>6140</v>
      </c>
      <c r="E876" s="2">
        <v>2</v>
      </c>
      <c r="F876" s="2" t="str" cm="1">
        <f t="array" ref="F876">_xlfn.XLOOKUP(C876, customers!$A$1:A1875, customers!$B$1:B1875, 0)</f>
        <v>Jaquenette Skentelbery</v>
      </c>
      <c r="G876" s="2" t="str">
        <f>IF(_xlfn.XLOOKUP(C876, customers!A875:A1875, customers!C875:C1875, 0)=0, "", _xlfn.XLOOKUP(C876, customers!A875:A1875, customers!C875:C1875, 0))</f>
        <v>jskentelberyoa@paypal.com</v>
      </c>
      <c r="H876" s="2" t="str" cm="1">
        <f t="array" ref="H876">_xlfn.XLOOKUP(C876, customers!$A$1:A1875, customers!$G$1:G1875,, 0)</f>
        <v>United States</v>
      </c>
      <c r="I876" t="str" cm="1">
        <f t="array" ref="I876">_xlfn.XLOOKUP(orders!D876, products!$A$1:A923, products!$B$1:B923, 0)</f>
        <v>Ara</v>
      </c>
      <c r="J876" t="str" cm="1">
        <f t="array" ref="J876">_xlfn.XLOOKUP(D876, products!$A$1:A923, products!$C$1:C923, 0)</f>
        <v>L</v>
      </c>
      <c r="K876" s="4" cm="1">
        <f t="array" ref="K876">_xlfn.XLOOKUP(D876, products!$A$1:A923, products!$D$1:D923, 0)</f>
        <v>1</v>
      </c>
      <c r="L876" s="4" cm="1">
        <f t="array" ref="L876">_xlfn.XLOOKUP(D876, products!$A$1:A923, products!$E$1:E923)</f>
        <v>12.95</v>
      </c>
      <c r="M876">
        <f t="shared" si="26"/>
        <v>25.9</v>
      </c>
      <c r="N876" t="str">
        <f t="shared" si="27"/>
        <v>Arabica</v>
      </c>
      <c r="O876" t="str" cm="1">
        <f t="array" ref="O876">_xlfn.IFS(J876="M", "Medium", J876="L", "Light", J876="D", "Dark")</f>
        <v>Light</v>
      </c>
      <c r="P876" t="str">
        <f>_xlfn.XLOOKUP(Orders[[#This Row],[Customer ID]], customers!$A$2:$A$1001, customers!$I$2:$I$1001, 0)</f>
        <v>No</v>
      </c>
    </row>
    <row r="877" spans="1:16" x14ac:dyDescent="0.35">
      <c r="A877" s="2" t="s">
        <v>5439</v>
      </c>
      <c r="B877" s="3">
        <v>44253</v>
      </c>
      <c r="C877" s="2" t="s">
        <v>5440</v>
      </c>
      <c r="D877" t="s">
        <v>6160</v>
      </c>
      <c r="E877" s="2">
        <v>5</v>
      </c>
      <c r="F877" s="2" t="str" cm="1">
        <f t="array" ref="F877">_xlfn.XLOOKUP(C877, customers!$A$1:A1876, customers!$B$1:B1876, 0)</f>
        <v>Orazio Comber</v>
      </c>
      <c r="G877" s="2" t="str">
        <f>IF(_xlfn.XLOOKUP(C877, customers!A876:A1876, customers!C876:C1876, 0)=0, "", _xlfn.XLOOKUP(C877, customers!A876:A1876, customers!C876:C1876, 0))</f>
        <v>ocomberob@goo.gl</v>
      </c>
      <c r="H877" s="2" t="str" cm="1">
        <f t="array" ref="H877">_xlfn.XLOOKUP(C877, customers!$A$1:A1876, customers!$G$1:G1876,, 0)</f>
        <v>Ireland</v>
      </c>
      <c r="I877" t="str" cm="1">
        <f t="array" ref="I877">_xlfn.XLOOKUP(orders!D877, products!$A$1:A924, products!$B$1:B924, 0)</f>
        <v>Lib</v>
      </c>
      <c r="J877" t="str" cm="1">
        <f t="array" ref="J877">_xlfn.XLOOKUP(D877, products!$A$1:A924, products!$C$1:C924, 0)</f>
        <v>M</v>
      </c>
      <c r="K877" s="4" cm="1">
        <f t="array" ref="K877">_xlfn.XLOOKUP(D877, products!$A$1:A924, products!$D$1:D924, 0)</f>
        <v>0.5</v>
      </c>
      <c r="L877" s="4" cm="1">
        <f t="array" ref="L877">_xlfn.XLOOKUP(D877, products!$A$1:A924, products!$E$1:E924)</f>
        <v>8.73</v>
      </c>
      <c r="M877">
        <f t="shared" si="26"/>
        <v>43.650000000000006</v>
      </c>
      <c r="N877" t="str">
        <f t="shared" si="27"/>
        <v>Liberica</v>
      </c>
      <c r="O877" t="str" cm="1">
        <f t="array" ref="O877">_xlfn.IFS(J877="M", "Medium", J877="L", "Light", J877="D", "Dark")</f>
        <v>Medium</v>
      </c>
      <c r="P877" t="str">
        <f>_xlfn.XLOOKUP(Orders[[#This Row],[Customer ID]], customers!$A$2:$A$1001, customers!$I$2:$I$1001, 0)</f>
        <v>No</v>
      </c>
    </row>
    <row r="878" spans="1:16" x14ac:dyDescent="0.35">
      <c r="A878" s="2" t="s">
        <v>5439</v>
      </c>
      <c r="B878" s="3">
        <v>44253</v>
      </c>
      <c r="C878" s="2" t="s">
        <v>5440</v>
      </c>
      <c r="D878" t="s">
        <v>6180</v>
      </c>
      <c r="E878" s="2">
        <v>6</v>
      </c>
      <c r="F878" s="2" t="str" cm="1">
        <f t="array" ref="F878">_xlfn.XLOOKUP(C878, customers!$A$1:A1877, customers!$B$1:B1877, 0)</f>
        <v>Orazio Comber</v>
      </c>
      <c r="G878" s="2" t="str">
        <f>IF(_xlfn.XLOOKUP(C878, customers!A877:A1877, customers!C877:C1877, 0)=0, "", _xlfn.XLOOKUP(C878, customers!A877:A1877, customers!C877:C1877, 0))</f>
        <v>ocomberob@goo.gl</v>
      </c>
      <c r="H878" s="2" t="str" cm="1">
        <f t="array" ref="H878">_xlfn.XLOOKUP(C878, customers!$A$1:A1877, customers!$G$1:G1877,, 0)</f>
        <v>Ireland</v>
      </c>
      <c r="I878" t="str" cm="1">
        <f t="array" ref="I878">_xlfn.XLOOKUP(orders!D878, products!$A$1:A925, products!$B$1:B925, 0)</f>
        <v>Ara</v>
      </c>
      <c r="J878" t="str" cm="1">
        <f t="array" ref="J878">_xlfn.XLOOKUP(D878, products!$A$1:A925, products!$C$1:C925, 0)</f>
        <v>L</v>
      </c>
      <c r="K878" s="4" cm="1">
        <f t="array" ref="K878">_xlfn.XLOOKUP(D878, products!$A$1:A925, products!$D$1:D925, 0)</f>
        <v>0.5</v>
      </c>
      <c r="L878" s="4" cm="1">
        <f t="array" ref="L878">_xlfn.XLOOKUP(D878, products!$A$1:A925, products!$E$1:E925)</f>
        <v>7.77</v>
      </c>
      <c r="M878">
        <f t="shared" si="26"/>
        <v>46.62</v>
      </c>
      <c r="N878" t="str">
        <f t="shared" si="27"/>
        <v>Arabica</v>
      </c>
      <c r="O878" t="str" cm="1">
        <f t="array" ref="O878">_xlfn.IFS(J878="M", "Medium", J878="L", "Light", J878="D", "Dark")</f>
        <v>Light</v>
      </c>
      <c r="P878" t="str">
        <f>_xlfn.XLOOKUP(Orders[[#This Row],[Customer ID]], customers!$A$2:$A$1001, customers!$I$2:$I$1001, 0)</f>
        <v>No</v>
      </c>
    </row>
    <row r="879" spans="1:16" x14ac:dyDescent="0.35">
      <c r="A879" s="2" t="s">
        <v>5450</v>
      </c>
      <c r="B879" s="3">
        <v>44411</v>
      </c>
      <c r="C879" s="2" t="s">
        <v>5451</v>
      </c>
      <c r="D879" t="s">
        <v>6161</v>
      </c>
      <c r="E879" s="2">
        <v>3</v>
      </c>
      <c r="F879" s="2" t="str" cm="1">
        <f t="array" ref="F879">_xlfn.XLOOKUP(C879, customers!$A$1:A1878, customers!$B$1:B1878, 0)</f>
        <v>Zachary Tramel</v>
      </c>
      <c r="G879" s="2" t="str">
        <f>IF(_xlfn.XLOOKUP(C879, customers!A878:A1878, customers!C878:C1878, 0)=0, "", _xlfn.XLOOKUP(C879, customers!A878:A1878, customers!C878:C1878, 0))</f>
        <v>ztramelod@netlog.com</v>
      </c>
      <c r="H879" s="2" t="str" cm="1">
        <f t="array" ref="H879">_xlfn.XLOOKUP(C879, customers!$A$1:A1878, customers!$G$1:G1878,, 0)</f>
        <v>United States</v>
      </c>
      <c r="I879" t="str" cm="1">
        <f t="array" ref="I879">_xlfn.XLOOKUP(orders!D879, products!$A$1:A926, products!$B$1:B926, 0)</f>
        <v>Lib</v>
      </c>
      <c r="J879" t="str" cm="1">
        <f t="array" ref="J879">_xlfn.XLOOKUP(D879, products!$A$1:A926, products!$C$1:C926, 0)</f>
        <v>L</v>
      </c>
      <c r="K879" s="4" cm="1">
        <f t="array" ref="K879">_xlfn.XLOOKUP(D879, products!$A$1:A926, products!$D$1:D926, 0)</f>
        <v>0.5</v>
      </c>
      <c r="L879" s="4" cm="1">
        <f t="array" ref="L879">_xlfn.XLOOKUP(D879, products!$A$1:A926, products!$E$1:E926)</f>
        <v>9.51</v>
      </c>
      <c r="M879">
        <f t="shared" si="26"/>
        <v>28.53</v>
      </c>
      <c r="N879" t="str">
        <f t="shared" si="27"/>
        <v>Liberica</v>
      </c>
      <c r="O879" t="str" cm="1">
        <f t="array" ref="O879">_xlfn.IFS(J879="M", "Medium", J879="L", "Light", J879="D", "Dark")</f>
        <v>Light</v>
      </c>
      <c r="P879" t="str">
        <f>_xlfn.XLOOKUP(Orders[[#This Row],[Customer ID]], customers!$A$2:$A$1001, customers!$I$2:$I$1001, 0)</f>
        <v>No</v>
      </c>
    </row>
    <row r="880" spans="1:16" x14ac:dyDescent="0.35">
      <c r="A880" s="2" t="s">
        <v>5456</v>
      </c>
      <c r="B880" s="3">
        <v>44323</v>
      </c>
      <c r="C880" s="2" t="s">
        <v>5457</v>
      </c>
      <c r="D880" t="s">
        <v>6142</v>
      </c>
      <c r="E880" s="2">
        <v>1</v>
      </c>
      <c r="F880" s="2" t="str" cm="1">
        <f t="array" ref="F880">_xlfn.XLOOKUP(C880, customers!$A$1:A1879, customers!$B$1:B1879, 0)</f>
        <v>Izaak Primak</v>
      </c>
      <c r="G880" s="2" t="str">
        <f>IF(_xlfn.XLOOKUP(C880, customers!A879:A1879, customers!C879:C1879, 0)=0, "", _xlfn.XLOOKUP(C880, customers!A879:A1879, customers!C879:C1879, 0))</f>
        <v/>
      </c>
      <c r="H880" s="2" t="str" cm="1">
        <f t="array" ref="H880">_xlfn.XLOOKUP(C880, customers!$A$1:A1879, customers!$G$1:G1879,, 0)</f>
        <v>United States</v>
      </c>
      <c r="I880" t="str" cm="1">
        <f t="array" ref="I880">_xlfn.XLOOKUP(orders!D880, products!$A$1:A927, products!$B$1:B927, 0)</f>
        <v>Rob</v>
      </c>
      <c r="J880" t="str" cm="1">
        <f t="array" ref="J880">_xlfn.XLOOKUP(D880, products!$A$1:A927, products!$C$1:C927, 0)</f>
        <v>L</v>
      </c>
      <c r="K880" s="4" cm="1">
        <f t="array" ref="K880">_xlfn.XLOOKUP(D880, products!$A$1:A927, products!$D$1:D927, 0)</f>
        <v>2.5</v>
      </c>
      <c r="L880" s="4" cm="1">
        <f t="array" ref="L880">_xlfn.XLOOKUP(D880, products!$A$1:A927, products!$E$1:E927)</f>
        <v>27.484999999999996</v>
      </c>
      <c r="M880">
        <f t="shared" si="26"/>
        <v>27.484999999999996</v>
      </c>
      <c r="N880" t="str">
        <f t="shared" si="27"/>
        <v>Robusta</v>
      </c>
      <c r="O880" t="str" cm="1">
        <f t="array" ref="O880">_xlfn.IFS(J880="M", "Medium", J880="L", "Light", J880="D", "Dark")</f>
        <v>Light</v>
      </c>
      <c r="P880" t="str">
        <f>_xlfn.XLOOKUP(Orders[[#This Row],[Customer ID]], customers!$A$2:$A$1001, customers!$I$2:$I$1001, 0)</f>
        <v>Yes</v>
      </c>
    </row>
    <row r="881" spans="1:16" x14ac:dyDescent="0.35">
      <c r="A881" s="2" t="s">
        <v>5461</v>
      </c>
      <c r="B881" s="3">
        <v>43630</v>
      </c>
      <c r="C881" s="2" t="s">
        <v>5462</v>
      </c>
      <c r="D881" t="s">
        <v>6153</v>
      </c>
      <c r="E881" s="2">
        <v>3</v>
      </c>
      <c r="F881" s="2" t="str" cm="1">
        <f t="array" ref="F881">_xlfn.XLOOKUP(C881, customers!$A$1:A1880, customers!$B$1:B1880, 0)</f>
        <v>Brittani Thoresbie</v>
      </c>
      <c r="G881" s="2" t="str">
        <f>IF(_xlfn.XLOOKUP(C881, customers!A880:A1880, customers!C880:C1880, 0)=0, "", _xlfn.XLOOKUP(C881, customers!A880:A1880, customers!C880:C1880, 0))</f>
        <v/>
      </c>
      <c r="H881" s="2" t="str" cm="1">
        <f t="array" ref="H881">_xlfn.XLOOKUP(C881, customers!$A$1:A1880, customers!$G$1:G1880,, 0)</f>
        <v>United States</v>
      </c>
      <c r="I881" t="str" cm="1">
        <f t="array" ref="I881">_xlfn.XLOOKUP(orders!D881, products!$A$1:A928, products!$B$1:B928, 0)</f>
        <v>Exc</v>
      </c>
      <c r="J881" t="str" cm="1">
        <f t="array" ref="J881">_xlfn.XLOOKUP(D881, products!$A$1:A928, products!$C$1:C928, 0)</f>
        <v>D</v>
      </c>
      <c r="K881" s="4" cm="1">
        <f t="array" ref="K881">_xlfn.XLOOKUP(D881, products!$A$1:A928, products!$D$1:D928, 0)</f>
        <v>0.2</v>
      </c>
      <c r="L881" s="4" cm="1">
        <f t="array" ref="L881">_xlfn.XLOOKUP(D881, products!$A$1:A928, products!$E$1:E928)</f>
        <v>3.645</v>
      </c>
      <c r="M881">
        <f t="shared" si="26"/>
        <v>10.935</v>
      </c>
      <c r="N881" t="str">
        <f t="shared" si="27"/>
        <v>Excelsa</v>
      </c>
      <c r="O881" t="str" cm="1">
        <f t="array" ref="O881">_xlfn.IFS(J881="M", "Medium", J881="L", "Light", J881="D", "Dark")</f>
        <v>Dark</v>
      </c>
      <c r="P881" t="str">
        <f>_xlfn.XLOOKUP(Orders[[#This Row],[Customer ID]], customers!$A$2:$A$1001, customers!$I$2:$I$1001, 0)</f>
        <v>No</v>
      </c>
    </row>
    <row r="882" spans="1:16" x14ac:dyDescent="0.35">
      <c r="A882" s="2" t="s">
        <v>5466</v>
      </c>
      <c r="B882" s="3">
        <v>43790</v>
      </c>
      <c r="C882" s="2" t="s">
        <v>5467</v>
      </c>
      <c r="D882" t="s">
        <v>6178</v>
      </c>
      <c r="E882" s="2">
        <v>2</v>
      </c>
      <c r="F882" s="2" t="str" cm="1">
        <f t="array" ref="F882">_xlfn.XLOOKUP(C882, customers!$A$1:A1881, customers!$B$1:B1881, 0)</f>
        <v>Constanta Hatfull</v>
      </c>
      <c r="G882" s="2" t="str">
        <f>IF(_xlfn.XLOOKUP(C882, customers!A881:A1881, customers!C881:C1881, 0)=0, "", _xlfn.XLOOKUP(C882, customers!A881:A1881, customers!C881:C1881, 0))</f>
        <v>chatfullog@ebay.com</v>
      </c>
      <c r="H882" s="2" t="str" cm="1">
        <f t="array" ref="H882">_xlfn.XLOOKUP(C882, customers!$A$1:A1881, customers!$G$1:G1881,, 0)</f>
        <v>United States</v>
      </c>
      <c r="I882" t="str" cm="1">
        <f t="array" ref="I882">_xlfn.XLOOKUP(orders!D882, products!$A$1:A929, products!$B$1:B929, 0)</f>
        <v>Rob</v>
      </c>
      <c r="J882" t="str" cm="1">
        <f t="array" ref="J882">_xlfn.XLOOKUP(D882, products!$A$1:A929, products!$C$1:C929, 0)</f>
        <v>L</v>
      </c>
      <c r="K882" s="4" cm="1">
        <f t="array" ref="K882">_xlfn.XLOOKUP(D882, products!$A$1:A929, products!$D$1:D929, 0)</f>
        <v>0.2</v>
      </c>
      <c r="L882" s="4" cm="1">
        <f t="array" ref="L882">_xlfn.XLOOKUP(D882, products!$A$1:A929, products!$E$1:E929)</f>
        <v>3.5849999999999995</v>
      </c>
      <c r="M882">
        <f t="shared" si="26"/>
        <v>7.169999999999999</v>
      </c>
      <c r="N882" t="str">
        <f t="shared" si="27"/>
        <v>Robusta</v>
      </c>
      <c r="O882" t="str" cm="1">
        <f t="array" ref="O882">_xlfn.IFS(J882="M", "Medium", J882="L", "Light", J882="D", "Dark")</f>
        <v>Light</v>
      </c>
      <c r="P882" t="str">
        <f>_xlfn.XLOOKUP(Orders[[#This Row],[Customer ID]], customers!$A$2:$A$1001, customers!$I$2:$I$1001, 0)</f>
        <v>No</v>
      </c>
    </row>
    <row r="883" spans="1:16" x14ac:dyDescent="0.35">
      <c r="A883" s="2" t="s">
        <v>5472</v>
      </c>
      <c r="B883" s="3">
        <v>44286</v>
      </c>
      <c r="C883" s="2" t="s">
        <v>5473</v>
      </c>
      <c r="D883" t="s">
        <v>6167</v>
      </c>
      <c r="E883" s="2">
        <v>6</v>
      </c>
      <c r="F883" s="2" t="str" cm="1">
        <f t="array" ref="F883">_xlfn.XLOOKUP(C883, customers!$A$1:A1882, customers!$B$1:B1882, 0)</f>
        <v>Bobbe Castagneto</v>
      </c>
      <c r="G883" s="2" t="str">
        <f>IF(_xlfn.XLOOKUP(C883, customers!A882:A1882, customers!C882:C1882, 0)=0, "", _xlfn.XLOOKUP(C883, customers!A882:A1882, customers!C882:C1882, 0))</f>
        <v/>
      </c>
      <c r="H883" s="2" t="str" cm="1">
        <f t="array" ref="H883">_xlfn.XLOOKUP(C883, customers!$A$1:A1882, customers!$G$1:G1882,, 0)</f>
        <v>United States</v>
      </c>
      <c r="I883" t="str" cm="1">
        <f t="array" ref="I883">_xlfn.XLOOKUP(orders!D883, products!$A$1:A930, products!$B$1:B930, 0)</f>
        <v>Ara</v>
      </c>
      <c r="J883" t="str" cm="1">
        <f t="array" ref="J883">_xlfn.XLOOKUP(D883, products!$A$1:A930, products!$C$1:C930, 0)</f>
        <v>L</v>
      </c>
      <c r="K883" s="4" cm="1">
        <f t="array" ref="K883">_xlfn.XLOOKUP(D883, products!$A$1:A930, products!$D$1:D930, 0)</f>
        <v>0.2</v>
      </c>
      <c r="L883" s="4" cm="1">
        <f t="array" ref="L883">_xlfn.XLOOKUP(D883, products!$A$1:A930, products!$E$1:E930)</f>
        <v>3.8849999999999998</v>
      </c>
      <c r="M883">
        <f t="shared" si="26"/>
        <v>23.31</v>
      </c>
      <c r="N883" t="str">
        <f t="shared" si="27"/>
        <v>Arabica</v>
      </c>
      <c r="O883" t="str" cm="1">
        <f t="array" ref="O883">_xlfn.IFS(J883="M", "Medium", J883="L", "Light", J883="D", "Dark")</f>
        <v>Light</v>
      </c>
      <c r="P883" t="str">
        <f>_xlfn.XLOOKUP(Orders[[#This Row],[Customer ID]], customers!$A$2:$A$1001, customers!$I$2:$I$1001, 0)</f>
        <v>Yes</v>
      </c>
    </row>
    <row r="884" spans="1:16" x14ac:dyDescent="0.35">
      <c r="A884" s="2" t="s">
        <v>5477</v>
      </c>
      <c r="B884" s="3">
        <v>43647</v>
      </c>
      <c r="C884" s="2" t="s">
        <v>5526</v>
      </c>
      <c r="D884" t="s">
        <v>6168</v>
      </c>
      <c r="E884" s="2">
        <v>5</v>
      </c>
      <c r="F884" s="2" t="str" cm="1">
        <f t="array" ref="F884">_xlfn.XLOOKUP(C884, customers!$A$1:A1883, customers!$B$1:B1883, 0)</f>
        <v>Kippie Marrison</v>
      </c>
      <c r="G884" s="2" t="str">
        <f>IF(_xlfn.XLOOKUP(C884, customers!A883:A1883, customers!C883:C1883, 0)=0, "", _xlfn.XLOOKUP(C884, customers!A883:A1883, customers!C883:C1883, 0))</f>
        <v>kmarrisonoq@dropbox.com</v>
      </c>
      <c r="H884" s="2" t="str" cm="1">
        <f t="array" ref="H884">_xlfn.XLOOKUP(C884, customers!$A$1:A1883, customers!$G$1:G1883,, 0)</f>
        <v>United States</v>
      </c>
      <c r="I884" t="str" cm="1">
        <f t="array" ref="I884">_xlfn.XLOOKUP(orders!D884, products!$A$1:A931, products!$B$1:B931, 0)</f>
        <v>Ara</v>
      </c>
      <c r="J884" t="str" cm="1">
        <f t="array" ref="J884">_xlfn.XLOOKUP(D884, products!$A$1:A931, products!$C$1:C931, 0)</f>
        <v>D</v>
      </c>
      <c r="K884" s="4" cm="1">
        <f t="array" ref="K884">_xlfn.XLOOKUP(D884, products!$A$1:A931, products!$D$1:D931, 0)</f>
        <v>2.5</v>
      </c>
      <c r="L884" s="4" cm="1">
        <f t="array" ref="L884">_xlfn.XLOOKUP(D884, products!$A$1:A931, products!$E$1:E931)</f>
        <v>22.884999999999998</v>
      </c>
      <c r="M884">
        <f t="shared" si="26"/>
        <v>114.42499999999998</v>
      </c>
      <c r="N884" t="str">
        <f t="shared" si="27"/>
        <v>Arabica</v>
      </c>
      <c r="O884" t="str" cm="1">
        <f t="array" ref="O884">_xlfn.IFS(J884="M", "Medium", J884="L", "Light", J884="D", "Dark")</f>
        <v>Dark</v>
      </c>
      <c r="P884" t="str">
        <f>_xlfn.XLOOKUP(Orders[[#This Row],[Customer ID]], customers!$A$2:$A$1001, customers!$I$2:$I$1001, 0)</f>
        <v>Yes</v>
      </c>
    </row>
    <row r="885" spans="1:16" x14ac:dyDescent="0.35">
      <c r="A885" s="2" t="s">
        <v>5483</v>
      </c>
      <c r="B885" s="3">
        <v>43956</v>
      </c>
      <c r="C885" s="2" t="s">
        <v>5484</v>
      </c>
      <c r="D885" t="s">
        <v>6175</v>
      </c>
      <c r="E885" s="2">
        <v>3</v>
      </c>
      <c r="F885" s="2" t="str" cm="1">
        <f t="array" ref="F885">_xlfn.XLOOKUP(C885, customers!$A$1:A1884, customers!$B$1:B1884, 0)</f>
        <v>Lindon Agnolo</v>
      </c>
      <c r="G885" s="2" t="str">
        <f>IF(_xlfn.XLOOKUP(C885, customers!A884:A1884, customers!C884:C1884, 0)=0, "", _xlfn.XLOOKUP(C885, customers!A884:A1884, customers!C884:C1884, 0))</f>
        <v>lagnolooj@pinterest.com</v>
      </c>
      <c r="H885" s="2" t="str" cm="1">
        <f t="array" ref="H885">_xlfn.XLOOKUP(C885, customers!$A$1:A1884, customers!$G$1:G1884,, 0)</f>
        <v>United States</v>
      </c>
      <c r="I885" t="str" cm="1">
        <f t="array" ref="I885">_xlfn.XLOOKUP(orders!D885, products!$A$1:A932, products!$B$1:B932, 0)</f>
        <v>Ara</v>
      </c>
      <c r="J885" t="str" cm="1">
        <f t="array" ref="J885">_xlfn.XLOOKUP(D885, products!$A$1:A932, products!$C$1:C932, 0)</f>
        <v>M</v>
      </c>
      <c r="K885" s="4" cm="1">
        <f t="array" ref="K885">_xlfn.XLOOKUP(D885, products!$A$1:A932, products!$D$1:D932, 0)</f>
        <v>2.5</v>
      </c>
      <c r="L885" s="4" cm="1">
        <f t="array" ref="L885">_xlfn.XLOOKUP(D885, products!$A$1:A932, products!$E$1:E932)</f>
        <v>25.874999999999996</v>
      </c>
      <c r="M885">
        <f t="shared" si="26"/>
        <v>77.624999999999986</v>
      </c>
      <c r="N885" t="str">
        <f t="shared" si="27"/>
        <v>Arabica</v>
      </c>
      <c r="O885" t="str" cm="1">
        <f t="array" ref="O885">_xlfn.IFS(J885="M", "Medium", J885="L", "Light", J885="D", "Dark")</f>
        <v>Medium</v>
      </c>
      <c r="P885" t="str">
        <f>_xlfn.XLOOKUP(Orders[[#This Row],[Customer ID]], customers!$A$2:$A$1001, customers!$I$2:$I$1001, 0)</f>
        <v>Yes</v>
      </c>
    </row>
    <row r="886" spans="1:16" x14ac:dyDescent="0.35">
      <c r="A886" s="2" t="s">
        <v>5489</v>
      </c>
      <c r="B886" s="3">
        <v>43941</v>
      </c>
      <c r="C886" s="2" t="s">
        <v>5490</v>
      </c>
      <c r="D886" t="s">
        <v>6172</v>
      </c>
      <c r="E886" s="2">
        <v>1</v>
      </c>
      <c r="F886" s="2" t="str" cm="1">
        <f t="array" ref="F886">_xlfn.XLOOKUP(C886, customers!$A$1:A1885, customers!$B$1:B1885, 0)</f>
        <v>Delainey Kiddy</v>
      </c>
      <c r="G886" s="2" t="str">
        <f>IF(_xlfn.XLOOKUP(C886, customers!A885:A1885, customers!C885:C1885, 0)=0, "", _xlfn.XLOOKUP(C886, customers!A885:A1885, customers!C885:C1885, 0))</f>
        <v>dkiddyok@fda.gov</v>
      </c>
      <c r="H886" s="2" t="str" cm="1">
        <f t="array" ref="H886">_xlfn.XLOOKUP(C886, customers!$A$1:A1885, customers!$G$1:G1885,, 0)</f>
        <v>United States</v>
      </c>
      <c r="I886" t="str" cm="1">
        <f t="array" ref="I886">_xlfn.XLOOKUP(orders!D886, products!$A$1:A933, products!$B$1:B933, 0)</f>
        <v>Rob</v>
      </c>
      <c r="J886" t="str" cm="1">
        <f t="array" ref="J886">_xlfn.XLOOKUP(D886, products!$A$1:A933, products!$C$1:C933, 0)</f>
        <v>D</v>
      </c>
      <c r="K886" s="4" cm="1">
        <f t="array" ref="K886">_xlfn.XLOOKUP(D886, products!$A$1:A933, products!$D$1:D933, 0)</f>
        <v>0.5</v>
      </c>
      <c r="L886" s="4" cm="1">
        <f t="array" ref="L886">_xlfn.XLOOKUP(D886, products!$A$1:A933, products!$E$1:E933)</f>
        <v>5.3699999999999992</v>
      </c>
      <c r="M886">
        <f t="shared" si="26"/>
        <v>5.3699999999999992</v>
      </c>
      <c r="N886" t="str">
        <f t="shared" si="27"/>
        <v>Robusta</v>
      </c>
      <c r="O886" t="str" cm="1">
        <f t="array" ref="O886">_xlfn.IFS(J886="M", "Medium", J886="L", "Light", J886="D", "Dark")</f>
        <v>Dark</v>
      </c>
      <c r="P886" t="str">
        <f>_xlfn.XLOOKUP(Orders[[#This Row],[Customer ID]], customers!$A$2:$A$1001, customers!$I$2:$I$1001, 0)</f>
        <v>Yes</v>
      </c>
    </row>
    <row r="887" spans="1:16" x14ac:dyDescent="0.35">
      <c r="A887" s="2" t="s">
        <v>5495</v>
      </c>
      <c r="B887" s="3">
        <v>43664</v>
      </c>
      <c r="C887" s="2" t="s">
        <v>5496</v>
      </c>
      <c r="D887" t="s">
        <v>6149</v>
      </c>
      <c r="E887" s="2">
        <v>6</v>
      </c>
      <c r="F887" s="2" t="str" cm="1">
        <f t="array" ref="F887">_xlfn.XLOOKUP(C887, customers!$A$1:A1886, customers!$B$1:B1886, 0)</f>
        <v>Helli Petroulis</v>
      </c>
      <c r="G887" s="2" t="str">
        <f>IF(_xlfn.XLOOKUP(C887, customers!A886:A1886, customers!C886:C1886, 0)=0, "", _xlfn.XLOOKUP(C887, customers!A886:A1886, customers!C886:C1886, 0))</f>
        <v>hpetroulisol@state.tx.us</v>
      </c>
      <c r="H887" s="2" t="str" cm="1">
        <f t="array" ref="H887">_xlfn.XLOOKUP(C887, customers!$A$1:A1886, customers!$G$1:G1886,, 0)</f>
        <v>Ireland</v>
      </c>
      <c r="I887" t="str" cm="1">
        <f t="array" ref="I887">_xlfn.XLOOKUP(orders!D887, products!$A$1:A934, products!$B$1:B934, 0)</f>
        <v>Rob</v>
      </c>
      <c r="J887" t="str" cm="1">
        <f t="array" ref="J887">_xlfn.XLOOKUP(D887, products!$A$1:A934, products!$C$1:C934, 0)</f>
        <v>D</v>
      </c>
      <c r="K887" s="4" cm="1">
        <f t="array" ref="K887">_xlfn.XLOOKUP(D887, products!$A$1:A934, products!$D$1:D934, 0)</f>
        <v>2.5</v>
      </c>
      <c r="L887" s="4" cm="1">
        <f t="array" ref="L887">_xlfn.XLOOKUP(D887, products!$A$1:A934, products!$E$1:E934)</f>
        <v>20.584999999999997</v>
      </c>
      <c r="M887">
        <f t="shared" si="26"/>
        <v>123.50999999999999</v>
      </c>
      <c r="N887" t="str">
        <f t="shared" si="27"/>
        <v>Robusta</v>
      </c>
      <c r="O887" t="str" cm="1">
        <f t="array" ref="O887">_xlfn.IFS(J887="M", "Medium", J887="L", "Light", J887="D", "Dark")</f>
        <v>Dark</v>
      </c>
      <c r="P887" t="str">
        <f>_xlfn.XLOOKUP(Orders[[#This Row],[Customer ID]], customers!$A$2:$A$1001, customers!$I$2:$I$1001, 0)</f>
        <v>No</v>
      </c>
    </row>
    <row r="888" spans="1:16" x14ac:dyDescent="0.35">
      <c r="A888" s="2" t="s">
        <v>5501</v>
      </c>
      <c r="B888" s="3">
        <v>44518</v>
      </c>
      <c r="C888" s="2" t="s">
        <v>5502</v>
      </c>
      <c r="D888" t="s">
        <v>6160</v>
      </c>
      <c r="E888" s="2">
        <v>2</v>
      </c>
      <c r="F888" s="2" t="str" cm="1">
        <f t="array" ref="F888">_xlfn.XLOOKUP(C888, customers!$A$1:A1887, customers!$B$1:B1887, 0)</f>
        <v>Marty Scholl</v>
      </c>
      <c r="G888" s="2" t="str">
        <f>IF(_xlfn.XLOOKUP(C888, customers!A887:A1887, customers!C887:C1887, 0)=0, "", _xlfn.XLOOKUP(C888, customers!A887:A1887, customers!C887:C1887, 0))</f>
        <v>mschollom@taobao.com</v>
      </c>
      <c r="H888" s="2" t="str" cm="1">
        <f t="array" ref="H888">_xlfn.XLOOKUP(C888, customers!$A$1:A1887, customers!$G$1:G1887,, 0)</f>
        <v>United States</v>
      </c>
      <c r="I888" t="str" cm="1">
        <f t="array" ref="I888">_xlfn.XLOOKUP(orders!D888, products!$A$1:A935, products!$B$1:B935, 0)</f>
        <v>Lib</v>
      </c>
      <c r="J888" t="str" cm="1">
        <f t="array" ref="J888">_xlfn.XLOOKUP(D888, products!$A$1:A935, products!$C$1:C935, 0)</f>
        <v>M</v>
      </c>
      <c r="K888" s="4" cm="1">
        <f t="array" ref="K888">_xlfn.XLOOKUP(D888, products!$A$1:A935, products!$D$1:D935, 0)</f>
        <v>0.5</v>
      </c>
      <c r="L888" s="4" cm="1">
        <f t="array" ref="L888">_xlfn.XLOOKUP(D888, products!$A$1:A935, products!$E$1:E935)</f>
        <v>8.73</v>
      </c>
      <c r="M888">
        <f t="shared" si="26"/>
        <v>17.46</v>
      </c>
      <c r="N888" t="str">
        <f t="shared" si="27"/>
        <v>Liberica</v>
      </c>
      <c r="O888" t="str" cm="1">
        <f t="array" ref="O888">_xlfn.IFS(J888="M", "Medium", J888="L", "Light", J888="D", "Dark")</f>
        <v>Medium</v>
      </c>
      <c r="P888" t="str">
        <f>_xlfn.XLOOKUP(Orders[[#This Row],[Customer ID]], customers!$A$2:$A$1001, customers!$I$2:$I$1001, 0)</f>
        <v>No</v>
      </c>
    </row>
    <row r="889" spans="1:16" x14ac:dyDescent="0.35">
      <c r="A889" s="2" t="s">
        <v>5507</v>
      </c>
      <c r="B889" s="3">
        <v>44002</v>
      </c>
      <c r="C889" s="2" t="s">
        <v>5508</v>
      </c>
      <c r="D889" t="s">
        <v>6184</v>
      </c>
      <c r="E889" s="2">
        <v>3</v>
      </c>
      <c r="F889" s="2" t="str" cm="1">
        <f t="array" ref="F889">_xlfn.XLOOKUP(C889, customers!$A$1:A1888, customers!$B$1:B1888, 0)</f>
        <v>Kienan Ferson</v>
      </c>
      <c r="G889" s="2" t="str">
        <f>IF(_xlfn.XLOOKUP(C889, customers!A888:A1888, customers!C888:C1888, 0)=0, "", _xlfn.XLOOKUP(C889, customers!A888:A1888, customers!C888:C1888, 0))</f>
        <v>kfersonon@g.co</v>
      </c>
      <c r="H889" s="2" t="str" cm="1">
        <f t="array" ref="H889">_xlfn.XLOOKUP(C889, customers!$A$1:A1888, customers!$G$1:G1888,, 0)</f>
        <v>United States</v>
      </c>
      <c r="I889" t="str" cm="1">
        <f t="array" ref="I889">_xlfn.XLOOKUP(orders!D889, products!$A$1:A936, products!$B$1:B936, 0)</f>
        <v>Exc</v>
      </c>
      <c r="J889" t="str" cm="1">
        <f t="array" ref="J889">_xlfn.XLOOKUP(D889, products!$A$1:A936, products!$C$1:C936, 0)</f>
        <v>L</v>
      </c>
      <c r="K889" s="4" cm="1">
        <f t="array" ref="K889">_xlfn.XLOOKUP(D889, products!$A$1:A936, products!$D$1:D936, 0)</f>
        <v>0.2</v>
      </c>
      <c r="L889" s="4" cm="1">
        <f t="array" ref="L889">_xlfn.XLOOKUP(D889, products!$A$1:A936, products!$E$1:E936)</f>
        <v>4.4550000000000001</v>
      </c>
      <c r="M889">
        <f t="shared" si="26"/>
        <v>13.365</v>
      </c>
      <c r="N889" t="str">
        <f t="shared" si="27"/>
        <v>Excelsa</v>
      </c>
      <c r="O889" t="str" cm="1">
        <f t="array" ref="O889">_xlfn.IFS(J889="M", "Medium", J889="L", "Light", J889="D", "Dark")</f>
        <v>Light</v>
      </c>
      <c r="P889" t="str">
        <f>_xlfn.XLOOKUP(Orders[[#This Row],[Customer ID]], customers!$A$2:$A$1001, customers!$I$2:$I$1001, 0)</f>
        <v>No</v>
      </c>
    </row>
    <row r="890" spans="1:16" x14ac:dyDescent="0.35">
      <c r="A890" s="2" t="s">
        <v>5513</v>
      </c>
      <c r="B890" s="3">
        <v>44292</v>
      </c>
      <c r="C890" s="2" t="s">
        <v>5514</v>
      </c>
      <c r="D890" t="s">
        <v>6167</v>
      </c>
      <c r="E890" s="2">
        <v>2</v>
      </c>
      <c r="F890" s="2" t="str" cm="1">
        <f t="array" ref="F890">_xlfn.XLOOKUP(C890, customers!$A$1:A1889, customers!$B$1:B1889, 0)</f>
        <v>Blake Kelloway</v>
      </c>
      <c r="G890" s="2" t="str">
        <f>IF(_xlfn.XLOOKUP(C890, customers!A889:A1889, customers!C889:C1889, 0)=0, "", _xlfn.XLOOKUP(C890, customers!A889:A1889, customers!C889:C1889, 0))</f>
        <v>bkellowayoo@omniture.com</v>
      </c>
      <c r="H890" s="2" t="str" cm="1">
        <f t="array" ref="H890">_xlfn.XLOOKUP(C890, customers!$A$1:A1889, customers!$G$1:G1889,, 0)</f>
        <v>United States</v>
      </c>
      <c r="I890" t="str" cm="1">
        <f t="array" ref="I890">_xlfn.XLOOKUP(orders!D890, products!$A$1:A937, products!$B$1:B937, 0)</f>
        <v>Ara</v>
      </c>
      <c r="J890" t="str" cm="1">
        <f t="array" ref="J890">_xlfn.XLOOKUP(D890, products!$A$1:A937, products!$C$1:C937, 0)</f>
        <v>L</v>
      </c>
      <c r="K890" s="4" cm="1">
        <f t="array" ref="K890">_xlfn.XLOOKUP(D890, products!$A$1:A937, products!$D$1:D937, 0)</f>
        <v>0.2</v>
      </c>
      <c r="L890" s="4" cm="1">
        <f t="array" ref="L890">_xlfn.XLOOKUP(D890, products!$A$1:A937, products!$E$1:E937)</f>
        <v>3.8849999999999998</v>
      </c>
      <c r="M890">
        <f t="shared" si="26"/>
        <v>7.77</v>
      </c>
      <c r="N890" t="str">
        <f t="shared" si="27"/>
        <v>Arabica</v>
      </c>
      <c r="O890" t="str" cm="1">
        <f t="array" ref="O890">_xlfn.IFS(J890="M", "Medium", J890="L", "Light", J890="D", "Dark")</f>
        <v>Light</v>
      </c>
      <c r="P890" t="str">
        <f>_xlfn.XLOOKUP(Orders[[#This Row],[Customer ID]], customers!$A$2:$A$1001, customers!$I$2:$I$1001, 0)</f>
        <v>Yes</v>
      </c>
    </row>
    <row r="891" spans="1:16" x14ac:dyDescent="0.35">
      <c r="A891" s="2" t="s">
        <v>5519</v>
      </c>
      <c r="B891" s="3">
        <v>43633</v>
      </c>
      <c r="C891" s="2" t="s">
        <v>5520</v>
      </c>
      <c r="D891" t="s">
        <v>6163</v>
      </c>
      <c r="E891" s="2">
        <v>1</v>
      </c>
      <c r="F891" s="2" t="str" cm="1">
        <f t="array" ref="F891">_xlfn.XLOOKUP(C891, customers!$A$1:A1890, customers!$B$1:B1890, 0)</f>
        <v>Scarlett Oliffe</v>
      </c>
      <c r="G891" s="2" t="str">
        <f>IF(_xlfn.XLOOKUP(C891, customers!A890:A1890, customers!C890:C1890, 0)=0, "", _xlfn.XLOOKUP(C891, customers!A890:A1890, customers!C890:C1890, 0))</f>
        <v>soliffeop@yellowbook.com</v>
      </c>
      <c r="H891" s="2" t="str" cm="1">
        <f t="array" ref="H891">_xlfn.XLOOKUP(C891, customers!$A$1:A1890, customers!$G$1:G1890,, 0)</f>
        <v>United States</v>
      </c>
      <c r="I891" t="str" cm="1">
        <f t="array" ref="I891">_xlfn.XLOOKUP(orders!D891, products!$A$1:A938, products!$B$1:B938, 0)</f>
        <v>Rob</v>
      </c>
      <c r="J891" t="str" cm="1">
        <f t="array" ref="J891">_xlfn.XLOOKUP(D891, products!$A$1:A938, products!$C$1:C938, 0)</f>
        <v>D</v>
      </c>
      <c r="K891" s="4" cm="1">
        <f t="array" ref="K891">_xlfn.XLOOKUP(D891, products!$A$1:A938, products!$D$1:D938, 0)</f>
        <v>0.2</v>
      </c>
      <c r="L891" s="4" cm="1">
        <f t="array" ref="L891">_xlfn.XLOOKUP(D891, products!$A$1:A938, products!$E$1:E938)</f>
        <v>2.6849999999999996</v>
      </c>
      <c r="M891">
        <f t="shared" si="26"/>
        <v>2.6849999999999996</v>
      </c>
      <c r="N891" t="str">
        <f t="shared" si="27"/>
        <v>Robusta</v>
      </c>
      <c r="O891" t="str" cm="1">
        <f t="array" ref="O891">_xlfn.IFS(J891="M", "Medium", J891="L", "Light", J891="D", "Dark")</f>
        <v>Dark</v>
      </c>
      <c r="P891" t="str">
        <f>_xlfn.XLOOKUP(Orders[[#This Row],[Customer ID]], customers!$A$2:$A$1001, customers!$I$2:$I$1001, 0)</f>
        <v>Yes</v>
      </c>
    </row>
    <row r="892" spans="1:16" x14ac:dyDescent="0.35">
      <c r="A892" s="2" t="s">
        <v>5525</v>
      </c>
      <c r="B892" s="3">
        <v>44646</v>
      </c>
      <c r="C892" s="2" t="s">
        <v>5526</v>
      </c>
      <c r="D892" t="s">
        <v>6149</v>
      </c>
      <c r="E892" s="2">
        <v>1</v>
      </c>
      <c r="F892" s="2" t="str" cm="1">
        <f t="array" ref="F892">_xlfn.XLOOKUP(C892, customers!$A$1:A1891, customers!$B$1:B1891, 0)</f>
        <v>Kippie Marrison</v>
      </c>
      <c r="G892" s="2" t="str">
        <f>IF(_xlfn.XLOOKUP(C892, customers!A891:A1891, customers!C891:C1891, 0)=0, "", _xlfn.XLOOKUP(C892, customers!A891:A1891, customers!C891:C1891, 0))</f>
        <v>kmarrisonoq@dropbox.com</v>
      </c>
      <c r="H892" s="2" t="str" cm="1">
        <f t="array" ref="H892">_xlfn.XLOOKUP(C892, customers!$A$1:A1891, customers!$G$1:G1891,, 0)</f>
        <v>United States</v>
      </c>
      <c r="I892" t="str" cm="1">
        <f t="array" ref="I892">_xlfn.XLOOKUP(orders!D892, products!$A$1:A939, products!$B$1:B939, 0)</f>
        <v>Rob</v>
      </c>
      <c r="J892" t="str" cm="1">
        <f t="array" ref="J892">_xlfn.XLOOKUP(D892, products!$A$1:A939, products!$C$1:C939, 0)</f>
        <v>D</v>
      </c>
      <c r="K892" s="4" cm="1">
        <f t="array" ref="K892">_xlfn.XLOOKUP(D892, products!$A$1:A939, products!$D$1:D939, 0)</f>
        <v>2.5</v>
      </c>
      <c r="L892" s="4" cm="1">
        <f t="array" ref="L892">_xlfn.XLOOKUP(D892, products!$A$1:A939, products!$E$1:E939)</f>
        <v>20.584999999999997</v>
      </c>
      <c r="M892">
        <f t="shared" si="26"/>
        <v>20.584999999999997</v>
      </c>
      <c r="N892" t="str">
        <f t="shared" si="27"/>
        <v>Robusta</v>
      </c>
      <c r="O892" t="str" cm="1">
        <f t="array" ref="O892">_xlfn.IFS(J892="M", "Medium", J892="L", "Light", J892="D", "Dark")</f>
        <v>Dark</v>
      </c>
      <c r="P892" t="str">
        <f>_xlfn.XLOOKUP(Orders[[#This Row],[Customer ID]], customers!$A$2:$A$1001, customers!$I$2:$I$1001, 0)</f>
        <v>Yes</v>
      </c>
    </row>
    <row r="893" spans="1:16" x14ac:dyDescent="0.35">
      <c r="A893" s="2" t="s">
        <v>5531</v>
      </c>
      <c r="B893" s="3">
        <v>44469</v>
      </c>
      <c r="C893" s="2" t="s">
        <v>5532</v>
      </c>
      <c r="D893" t="s">
        <v>6168</v>
      </c>
      <c r="E893" s="2">
        <v>5</v>
      </c>
      <c r="F893" s="2" t="str" cm="1">
        <f t="array" ref="F893">_xlfn.XLOOKUP(C893, customers!$A$1:A1892, customers!$B$1:B1892, 0)</f>
        <v>Celestia Dolohunty</v>
      </c>
      <c r="G893" s="2" t="str">
        <f>IF(_xlfn.XLOOKUP(C893, customers!A892:A1892, customers!C892:C1892, 0)=0, "", _xlfn.XLOOKUP(C893, customers!A892:A1892, customers!C892:C1892, 0))</f>
        <v>cdolohuntyor@dailymail.co.uk</v>
      </c>
      <c r="H893" s="2" t="str" cm="1">
        <f t="array" ref="H893">_xlfn.XLOOKUP(C893, customers!$A$1:A1892, customers!$G$1:G1892,, 0)</f>
        <v>United States</v>
      </c>
      <c r="I893" t="str" cm="1">
        <f t="array" ref="I893">_xlfn.XLOOKUP(orders!D893, products!$A$1:A940, products!$B$1:B940, 0)</f>
        <v>Ara</v>
      </c>
      <c r="J893" t="str" cm="1">
        <f t="array" ref="J893">_xlfn.XLOOKUP(D893, products!$A$1:A940, products!$C$1:C940, 0)</f>
        <v>D</v>
      </c>
      <c r="K893" s="4" cm="1">
        <f t="array" ref="K893">_xlfn.XLOOKUP(D893, products!$A$1:A940, products!$D$1:D940, 0)</f>
        <v>2.5</v>
      </c>
      <c r="L893" s="4" cm="1">
        <f t="array" ref="L893">_xlfn.XLOOKUP(D893, products!$A$1:A940, products!$E$1:E940)</f>
        <v>22.884999999999998</v>
      </c>
      <c r="M893">
        <f t="shared" si="26"/>
        <v>114.42499999999998</v>
      </c>
      <c r="N893" t="str">
        <f t="shared" si="27"/>
        <v>Arabica</v>
      </c>
      <c r="O893" t="str" cm="1">
        <f t="array" ref="O893">_xlfn.IFS(J893="M", "Medium", J893="L", "Light", J893="D", "Dark")</f>
        <v>Dark</v>
      </c>
      <c r="P893" t="str">
        <f>_xlfn.XLOOKUP(Orders[[#This Row],[Customer ID]], customers!$A$2:$A$1001, customers!$I$2:$I$1001, 0)</f>
        <v>Yes</v>
      </c>
    </row>
    <row r="894" spans="1:16" x14ac:dyDescent="0.35">
      <c r="A894" s="2" t="s">
        <v>5537</v>
      </c>
      <c r="B894" s="3">
        <v>43635</v>
      </c>
      <c r="C894" s="2" t="s">
        <v>5538</v>
      </c>
      <c r="D894" t="s">
        <v>6156</v>
      </c>
      <c r="E894" s="2">
        <v>5</v>
      </c>
      <c r="F894" s="2" t="str" cm="1">
        <f t="array" ref="F894">_xlfn.XLOOKUP(C894, customers!$A$1:A1893, customers!$B$1:B1893, 0)</f>
        <v>Patsy Vasilenko</v>
      </c>
      <c r="G894" s="2" t="str">
        <f>IF(_xlfn.XLOOKUP(C894, customers!A893:A1893, customers!C893:C1893, 0)=0, "", _xlfn.XLOOKUP(C894, customers!A893:A1893, customers!C893:C1893, 0))</f>
        <v>pvasilenkoos@addtoany.com</v>
      </c>
      <c r="H894" s="2" t="str" cm="1">
        <f t="array" ref="H894">_xlfn.XLOOKUP(C894, customers!$A$1:A1893, customers!$G$1:G1893,, 0)</f>
        <v>United Kingdom</v>
      </c>
      <c r="I894" t="str" cm="1">
        <f t="array" ref="I894">_xlfn.XLOOKUP(orders!D894, products!$A$1:A941, products!$B$1:B941, 0)</f>
        <v>Exc</v>
      </c>
      <c r="J894" t="str" cm="1">
        <f t="array" ref="J894">_xlfn.XLOOKUP(D894, products!$A$1:A941, products!$C$1:C941, 0)</f>
        <v>M</v>
      </c>
      <c r="K894" s="4" cm="1">
        <f t="array" ref="K894">_xlfn.XLOOKUP(D894, products!$A$1:A941, products!$D$1:D941, 0)</f>
        <v>0.2</v>
      </c>
      <c r="L894" s="4" cm="1">
        <f t="array" ref="L894">_xlfn.XLOOKUP(D894, products!$A$1:A941, products!$E$1:E941)</f>
        <v>4.125</v>
      </c>
      <c r="M894">
        <f t="shared" si="26"/>
        <v>20.625</v>
      </c>
      <c r="N894" t="str">
        <f t="shared" si="27"/>
        <v>Excelsa</v>
      </c>
      <c r="O894" t="str" cm="1">
        <f t="array" ref="O894">_xlfn.IFS(J894="M", "Medium", J894="L", "Light", J894="D", "Dark")</f>
        <v>Medium</v>
      </c>
      <c r="P894" t="str">
        <f>_xlfn.XLOOKUP(Orders[[#This Row],[Customer ID]], customers!$A$2:$A$1001, customers!$I$2:$I$1001, 0)</f>
        <v>No</v>
      </c>
    </row>
    <row r="895" spans="1:16" x14ac:dyDescent="0.35">
      <c r="A895" s="2" t="s">
        <v>5543</v>
      </c>
      <c r="B895" s="3">
        <v>44651</v>
      </c>
      <c r="C895" s="2" t="s">
        <v>5544</v>
      </c>
      <c r="D895" t="s">
        <v>6161</v>
      </c>
      <c r="E895" s="2">
        <v>6</v>
      </c>
      <c r="F895" s="2" t="str" cm="1">
        <f t="array" ref="F895">_xlfn.XLOOKUP(C895, customers!$A$1:A1894, customers!$B$1:B1894, 0)</f>
        <v>Raphaela Schankelborg</v>
      </c>
      <c r="G895" s="2" t="str">
        <f>IF(_xlfn.XLOOKUP(C895, customers!A894:A1894, customers!C894:C1894, 0)=0, "", _xlfn.XLOOKUP(C895, customers!A894:A1894, customers!C894:C1894, 0))</f>
        <v>rschankelborgot@ameblo.jp</v>
      </c>
      <c r="H895" s="2" t="str" cm="1">
        <f t="array" ref="H895">_xlfn.XLOOKUP(C895, customers!$A$1:A1894, customers!$G$1:G1894,, 0)</f>
        <v>United States</v>
      </c>
      <c r="I895" t="str" cm="1">
        <f t="array" ref="I895">_xlfn.XLOOKUP(orders!D895, products!$A$1:A942, products!$B$1:B942, 0)</f>
        <v>Lib</v>
      </c>
      <c r="J895" t="str" cm="1">
        <f t="array" ref="J895">_xlfn.XLOOKUP(D895, products!$A$1:A942, products!$C$1:C942, 0)</f>
        <v>L</v>
      </c>
      <c r="K895" s="4" cm="1">
        <f t="array" ref="K895">_xlfn.XLOOKUP(D895, products!$A$1:A942, products!$D$1:D942, 0)</f>
        <v>0.5</v>
      </c>
      <c r="L895" s="4" cm="1">
        <f t="array" ref="L895">_xlfn.XLOOKUP(D895, products!$A$1:A942, products!$E$1:E942)</f>
        <v>9.51</v>
      </c>
      <c r="M895">
        <f t="shared" si="26"/>
        <v>57.06</v>
      </c>
      <c r="N895" t="str">
        <f t="shared" si="27"/>
        <v>Liberica</v>
      </c>
      <c r="O895" t="str" cm="1">
        <f t="array" ref="O895">_xlfn.IFS(J895="M", "Medium", J895="L", "Light", J895="D", "Dark")</f>
        <v>Light</v>
      </c>
      <c r="P895" t="str">
        <f>_xlfn.XLOOKUP(Orders[[#This Row],[Customer ID]], customers!$A$2:$A$1001, customers!$I$2:$I$1001, 0)</f>
        <v>Yes</v>
      </c>
    </row>
    <row r="896" spans="1:16" x14ac:dyDescent="0.35">
      <c r="A896" s="2" t="s">
        <v>5548</v>
      </c>
      <c r="B896" s="3">
        <v>44016</v>
      </c>
      <c r="C896" s="2" t="s">
        <v>5549</v>
      </c>
      <c r="D896" t="s">
        <v>6149</v>
      </c>
      <c r="E896" s="2">
        <v>4</v>
      </c>
      <c r="F896" s="2" t="str" cm="1">
        <f t="array" ref="F896">_xlfn.XLOOKUP(C896, customers!$A$1:A1895, customers!$B$1:B1895, 0)</f>
        <v>Sharity Wickens</v>
      </c>
      <c r="G896" s="2" t="str">
        <f>IF(_xlfn.XLOOKUP(C896, customers!A895:A1895, customers!C895:C1895, 0)=0, "", _xlfn.XLOOKUP(C896, customers!A895:A1895, customers!C895:C1895, 0))</f>
        <v/>
      </c>
      <c r="H896" s="2" t="str" cm="1">
        <f t="array" ref="H896">_xlfn.XLOOKUP(C896, customers!$A$1:A1895, customers!$G$1:G1895,, 0)</f>
        <v>Ireland</v>
      </c>
      <c r="I896" t="str" cm="1">
        <f t="array" ref="I896">_xlfn.XLOOKUP(orders!D896, products!$A$1:A943, products!$B$1:B943, 0)</f>
        <v>Rob</v>
      </c>
      <c r="J896" t="str" cm="1">
        <f t="array" ref="J896">_xlfn.XLOOKUP(D896, products!$A$1:A943, products!$C$1:C943, 0)</f>
        <v>D</v>
      </c>
      <c r="K896" s="4" cm="1">
        <f t="array" ref="K896">_xlfn.XLOOKUP(D896, products!$A$1:A943, products!$D$1:D943, 0)</f>
        <v>2.5</v>
      </c>
      <c r="L896" s="4" cm="1">
        <f t="array" ref="L896">_xlfn.XLOOKUP(D896, products!$A$1:A943, products!$E$1:E943)</f>
        <v>20.584999999999997</v>
      </c>
      <c r="M896">
        <f t="shared" si="26"/>
        <v>82.339999999999989</v>
      </c>
      <c r="N896" t="str">
        <f t="shared" si="27"/>
        <v>Robusta</v>
      </c>
      <c r="O896" t="str" cm="1">
        <f t="array" ref="O896">_xlfn.IFS(J896="M", "Medium", J896="L", "Light", J896="D", "Dark")</f>
        <v>Dark</v>
      </c>
      <c r="P896" t="str">
        <f>_xlfn.XLOOKUP(Orders[[#This Row],[Customer ID]], customers!$A$2:$A$1001, customers!$I$2:$I$1001, 0)</f>
        <v>Yes</v>
      </c>
    </row>
    <row r="897" spans="1:16" x14ac:dyDescent="0.35">
      <c r="A897" s="2" t="s">
        <v>5553</v>
      </c>
      <c r="B897" s="3">
        <v>44521</v>
      </c>
      <c r="C897" s="2" t="s">
        <v>5554</v>
      </c>
      <c r="D897" t="s">
        <v>6166</v>
      </c>
      <c r="E897" s="2">
        <v>5</v>
      </c>
      <c r="F897" s="2" t="str" cm="1">
        <f t="array" ref="F897">_xlfn.XLOOKUP(C897, customers!$A$1:A1896, customers!$B$1:B1896, 0)</f>
        <v>Derick Snow</v>
      </c>
      <c r="G897" s="2" t="str">
        <f>IF(_xlfn.XLOOKUP(C897, customers!A896:A1896, customers!C896:C1896, 0)=0, "", _xlfn.XLOOKUP(C897, customers!A896:A1896, customers!C896:C1896, 0))</f>
        <v/>
      </c>
      <c r="H897" s="2" t="str" cm="1">
        <f t="array" ref="H897">_xlfn.XLOOKUP(C897, customers!$A$1:A1896, customers!$G$1:G1896,, 0)</f>
        <v>United States</v>
      </c>
      <c r="I897" t="str" cm="1">
        <f t="array" ref="I897">_xlfn.XLOOKUP(orders!D897, products!$A$1:A944, products!$B$1:B944, 0)</f>
        <v>Exc</v>
      </c>
      <c r="J897" t="str" cm="1">
        <f t="array" ref="J897">_xlfn.XLOOKUP(D897, products!$A$1:A944, products!$C$1:C944, 0)</f>
        <v>M</v>
      </c>
      <c r="K897" s="4" cm="1">
        <f t="array" ref="K897">_xlfn.XLOOKUP(D897, products!$A$1:A944, products!$D$1:D944, 0)</f>
        <v>2.5</v>
      </c>
      <c r="L897" s="4" cm="1">
        <f t="array" ref="L897">_xlfn.XLOOKUP(D897, products!$A$1:A944, products!$E$1:E944)</f>
        <v>31.624999999999996</v>
      </c>
      <c r="M897">
        <f t="shared" si="26"/>
        <v>158.12499999999997</v>
      </c>
      <c r="N897" t="str">
        <f t="shared" si="27"/>
        <v>Excelsa</v>
      </c>
      <c r="O897" t="str" cm="1">
        <f t="array" ref="O897">_xlfn.IFS(J897="M", "Medium", J897="L", "Light", J897="D", "Dark")</f>
        <v>Medium</v>
      </c>
      <c r="P897" t="str">
        <f>_xlfn.XLOOKUP(Orders[[#This Row],[Customer ID]], customers!$A$2:$A$1001, customers!$I$2:$I$1001, 0)</f>
        <v>No</v>
      </c>
    </row>
    <row r="898" spans="1:16" x14ac:dyDescent="0.35">
      <c r="A898" s="2" t="s">
        <v>5558</v>
      </c>
      <c r="B898" s="3">
        <v>44347</v>
      </c>
      <c r="C898" s="2" t="s">
        <v>5559</v>
      </c>
      <c r="D898" t="s">
        <v>6172</v>
      </c>
      <c r="E898" s="2">
        <v>6</v>
      </c>
      <c r="F898" s="2" t="str" cm="1">
        <f t="array" ref="F898">_xlfn.XLOOKUP(C898, customers!$A$1:A1897, customers!$B$1:B1897, 0)</f>
        <v>Baxy Cargen</v>
      </c>
      <c r="G898" s="2" t="str">
        <f>IF(_xlfn.XLOOKUP(C898, customers!A897:A1897, customers!C897:C1897, 0)=0, "", _xlfn.XLOOKUP(C898, customers!A897:A1897, customers!C897:C1897, 0))</f>
        <v>bcargenow@geocities.jp</v>
      </c>
      <c r="H898" s="2" t="str" cm="1">
        <f t="array" ref="H898">_xlfn.XLOOKUP(C898, customers!$A$1:A1897, customers!$G$1:G1897,, 0)</f>
        <v>United States</v>
      </c>
      <c r="I898" t="str" cm="1">
        <f t="array" ref="I898">_xlfn.XLOOKUP(orders!D898, products!$A$1:A945, products!$B$1:B945, 0)</f>
        <v>Rob</v>
      </c>
      <c r="J898" t="str" cm="1">
        <f t="array" ref="J898">_xlfn.XLOOKUP(D898, products!$A$1:A945, products!$C$1:C945, 0)</f>
        <v>D</v>
      </c>
      <c r="K898" s="4" cm="1">
        <f t="array" ref="K898">_xlfn.XLOOKUP(D898, products!$A$1:A945, products!$D$1:D945, 0)</f>
        <v>0.5</v>
      </c>
      <c r="L898" s="4" cm="1">
        <f t="array" ref="L898">_xlfn.XLOOKUP(D898, products!$A$1:A945, products!$E$1:E945)</f>
        <v>5.3699999999999992</v>
      </c>
      <c r="M898">
        <f t="shared" si="26"/>
        <v>32.22</v>
      </c>
      <c r="N898" t="str">
        <f t="shared" si="27"/>
        <v>Robusta</v>
      </c>
      <c r="O898" t="str" cm="1">
        <f t="array" ref="O898">_xlfn.IFS(J898="M", "Medium", J898="L", "Light", J898="D", "Dark")</f>
        <v>Dark</v>
      </c>
      <c r="P898" t="str">
        <f>_xlfn.XLOOKUP(Orders[[#This Row],[Customer ID]], customers!$A$2:$A$1001, customers!$I$2:$I$1001, 0)</f>
        <v>Yes</v>
      </c>
    </row>
    <row r="899" spans="1:16" x14ac:dyDescent="0.35">
      <c r="A899" s="2" t="s">
        <v>5564</v>
      </c>
      <c r="B899" s="3">
        <v>43932</v>
      </c>
      <c r="C899" s="2" t="s">
        <v>5565</v>
      </c>
      <c r="D899" t="s">
        <v>6183</v>
      </c>
      <c r="E899" s="2">
        <v>2</v>
      </c>
      <c r="F899" s="2" t="str" cm="1">
        <f t="array" ref="F899">_xlfn.XLOOKUP(C899, customers!$A$1:A1898, customers!$B$1:B1898, 0)</f>
        <v>Ryann Stickler</v>
      </c>
      <c r="G899" s="2" t="str">
        <f>IF(_xlfn.XLOOKUP(C899, customers!A898:A1898, customers!C898:C1898, 0)=0, "", _xlfn.XLOOKUP(C899, customers!A898:A1898, customers!C898:C1898, 0))</f>
        <v>rsticklerox@printfriendly.com</v>
      </c>
      <c r="H899" s="2" t="str" cm="1">
        <f t="array" ref="H899">_xlfn.XLOOKUP(C899, customers!$A$1:A1898, customers!$G$1:G1898,, 0)</f>
        <v>United Kingdom</v>
      </c>
      <c r="I899" t="str" cm="1">
        <f t="array" ref="I899">_xlfn.XLOOKUP(orders!D899, products!$A$1:A946, products!$B$1:B946, 0)</f>
        <v>Exc</v>
      </c>
      <c r="J899" t="str" cm="1">
        <f t="array" ref="J899">_xlfn.XLOOKUP(D899, products!$A$1:A946, products!$C$1:C946, 0)</f>
        <v>D</v>
      </c>
      <c r="K899" s="4" cm="1">
        <f t="array" ref="K899">_xlfn.XLOOKUP(D899, products!$A$1:A946, products!$D$1:D946, 0)</f>
        <v>1</v>
      </c>
      <c r="L899" s="4" cm="1">
        <f t="array" ref="L899">_xlfn.XLOOKUP(D899, products!$A$1:A946, products!$E$1:E946)</f>
        <v>12.15</v>
      </c>
      <c r="M899">
        <f t="shared" ref="M899:M962" si="28">L899*E899</f>
        <v>24.3</v>
      </c>
      <c r="N899" t="str">
        <f t="shared" ref="N899:N962" si="29">IF(I899="Rob", "Robusta", IF(I899="Exc", "Excelsa", IF(I899="Ara", "Arabica", IF(I899="Lib", "Liberica", ""))))</f>
        <v>Excelsa</v>
      </c>
      <c r="O899" t="str" cm="1">
        <f t="array" ref="O899">_xlfn.IFS(J899="M", "Medium", J899="L", "Light", J899="D", "Dark")</f>
        <v>Dark</v>
      </c>
      <c r="P899" t="str">
        <f>_xlfn.XLOOKUP(Orders[[#This Row],[Customer ID]], customers!$A$2:$A$1001, customers!$I$2:$I$1001, 0)</f>
        <v>No</v>
      </c>
    </row>
    <row r="900" spans="1:16" x14ac:dyDescent="0.35">
      <c r="A900" s="2" t="s">
        <v>5570</v>
      </c>
      <c r="B900" s="3">
        <v>44089</v>
      </c>
      <c r="C900" s="2" t="s">
        <v>5571</v>
      </c>
      <c r="D900" t="s">
        <v>6173</v>
      </c>
      <c r="E900" s="2">
        <v>5</v>
      </c>
      <c r="F900" s="2" t="str" cm="1">
        <f t="array" ref="F900">_xlfn.XLOOKUP(C900, customers!$A$1:A1899, customers!$B$1:B1899, 0)</f>
        <v>Daryn Cassius</v>
      </c>
      <c r="G900" s="2" t="str">
        <f>IF(_xlfn.XLOOKUP(C900, customers!A899:A1899, customers!C899:C1899, 0)=0, "", _xlfn.XLOOKUP(C900, customers!A899:A1899, customers!C899:C1899, 0))</f>
        <v/>
      </c>
      <c r="H900" s="2" t="str" cm="1">
        <f t="array" ref="H900">_xlfn.XLOOKUP(C900, customers!$A$1:A1899, customers!$G$1:G1899,, 0)</f>
        <v>United States</v>
      </c>
      <c r="I900" t="str" cm="1">
        <f t="array" ref="I900">_xlfn.XLOOKUP(orders!D900, products!$A$1:A947, products!$B$1:B947, 0)</f>
        <v>Rob</v>
      </c>
      <c r="J900" t="str" cm="1">
        <f t="array" ref="J900">_xlfn.XLOOKUP(D900, products!$A$1:A947, products!$C$1:C947, 0)</f>
        <v>L</v>
      </c>
      <c r="K900" s="4" cm="1">
        <f t="array" ref="K900">_xlfn.XLOOKUP(D900, products!$A$1:A947, products!$D$1:D947, 0)</f>
        <v>0.5</v>
      </c>
      <c r="L900" s="4" cm="1">
        <f t="array" ref="L900">_xlfn.XLOOKUP(D900, products!$A$1:A947, products!$E$1:E947)</f>
        <v>7.169999999999999</v>
      </c>
      <c r="M900">
        <f t="shared" si="28"/>
        <v>35.849999999999994</v>
      </c>
      <c r="N900" t="str">
        <f t="shared" si="29"/>
        <v>Robusta</v>
      </c>
      <c r="O900" t="str" cm="1">
        <f t="array" ref="O900">_xlfn.IFS(J900="M", "Medium", J900="L", "Light", J900="D", "Dark")</f>
        <v>Light</v>
      </c>
      <c r="P900" t="str">
        <f>_xlfn.XLOOKUP(Orders[[#This Row],[Customer ID]], customers!$A$2:$A$1001, customers!$I$2:$I$1001, 0)</f>
        <v>No</v>
      </c>
    </row>
    <row r="901" spans="1:16" x14ac:dyDescent="0.35">
      <c r="A901" s="2" t="s">
        <v>5575</v>
      </c>
      <c r="B901" s="3">
        <v>44523</v>
      </c>
      <c r="C901" s="2" t="s">
        <v>5554</v>
      </c>
      <c r="D901" t="s">
        <v>6162</v>
      </c>
      <c r="E901" s="2">
        <v>5</v>
      </c>
      <c r="F901" s="2" t="str" cm="1">
        <f t="array" ref="F901">_xlfn.XLOOKUP(C901, customers!$A$1:A1900, customers!$B$1:B1900, 0)</f>
        <v>Derick Snow</v>
      </c>
      <c r="G901" s="2" t="str">
        <f>IF(_xlfn.XLOOKUP(C901, customers!A900:A1900, customers!C900:C1900, 0)=0, "", _xlfn.XLOOKUP(C901, customers!A900:A1900, customers!C900:C1900, 0))</f>
        <v/>
      </c>
      <c r="H901" s="2" t="str" cm="1">
        <f t="array" ref="H901">_xlfn.XLOOKUP(C901, customers!$A$1:A1900, customers!$G$1:G1900,, 0)</f>
        <v>United States</v>
      </c>
      <c r="I901" t="str" cm="1">
        <f t="array" ref="I901">_xlfn.XLOOKUP(orders!D901, products!$A$1:A948, products!$B$1:B948, 0)</f>
        <v>Lib</v>
      </c>
      <c r="J901" t="str" cm="1">
        <f t="array" ref="J901">_xlfn.XLOOKUP(D901, products!$A$1:A948, products!$C$1:C948, 0)</f>
        <v>M</v>
      </c>
      <c r="K901" s="4" cm="1">
        <f t="array" ref="K901">_xlfn.XLOOKUP(D901, products!$A$1:A948, products!$D$1:D948, 0)</f>
        <v>1</v>
      </c>
      <c r="L901" s="4" cm="1">
        <f t="array" ref="L901">_xlfn.XLOOKUP(D901, products!$A$1:A948, products!$E$1:E948)</f>
        <v>14.55</v>
      </c>
      <c r="M901">
        <f t="shared" si="28"/>
        <v>72.75</v>
      </c>
      <c r="N901" t="str">
        <f t="shared" si="29"/>
        <v>Liberica</v>
      </c>
      <c r="O901" t="str" cm="1">
        <f t="array" ref="O901">_xlfn.IFS(J901="M", "Medium", J901="L", "Light", J901="D", "Dark")</f>
        <v>Medium</v>
      </c>
      <c r="P901" t="str">
        <f>_xlfn.XLOOKUP(Orders[[#This Row],[Customer ID]], customers!$A$2:$A$1001, customers!$I$2:$I$1001, 0)</f>
        <v>No</v>
      </c>
    </row>
    <row r="902" spans="1:16" x14ac:dyDescent="0.35">
      <c r="A902" s="2" t="s">
        <v>5580</v>
      </c>
      <c r="B902" s="3">
        <v>44584</v>
      </c>
      <c r="C902" s="2" t="s">
        <v>5581</v>
      </c>
      <c r="D902" t="s">
        <v>6170</v>
      </c>
      <c r="E902" s="2">
        <v>3</v>
      </c>
      <c r="F902" s="2" t="str" cm="1">
        <f t="array" ref="F902">_xlfn.XLOOKUP(C902, customers!$A$1:A1901, customers!$B$1:B1901, 0)</f>
        <v>Skelly Dolohunty</v>
      </c>
      <c r="G902" s="2" t="str">
        <f>IF(_xlfn.XLOOKUP(C902, customers!A901:A1901, customers!C901:C1901, 0)=0, "", _xlfn.XLOOKUP(C902, customers!A901:A1901, customers!C901:C1901, 0))</f>
        <v/>
      </c>
      <c r="H902" s="2" t="str" cm="1">
        <f t="array" ref="H902">_xlfn.XLOOKUP(C902, customers!$A$1:A1901, customers!$G$1:G1901,, 0)</f>
        <v>Ireland</v>
      </c>
      <c r="I902" t="str" cm="1">
        <f t="array" ref="I902">_xlfn.XLOOKUP(orders!D902, products!$A$1:A949, products!$B$1:B949, 0)</f>
        <v>Lib</v>
      </c>
      <c r="J902" t="str" cm="1">
        <f t="array" ref="J902">_xlfn.XLOOKUP(D902, products!$A$1:A949, products!$C$1:C949, 0)</f>
        <v>L</v>
      </c>
      <c r="K902" s="4" cm="1">
        <f t="array" ref="K902">_xlfn.XLOOKUP(D902, products!$A$1:A949, products!$D$1:D949, 0)</f>
        <v>1</v>
      </c>
      <c r="L902" s="4" cm="1">
        <f t="array" ref="L902">_xlfn.XLOOKUP(D902, products!$A$1:A949, products!$E$1:E949)</f>
        <v>15.85</v>
      </c>
      <c r="M902">
        <f t="shared" si="28"/>
        <v>47.55</v>
      </c>
      <c r="N902" t="str">
        <f t="shared" si="29"/>
        <v>Liberica</v>
      </c>
      <c r="O902" t="str" cm="1">
        <f t="array" ref="O902">_xlfn.IFS(J902="M", "Medium", J902="L", "Light", J902="D", "Dark")</f>
        <v>Light</v>
      </c>
      <c r="P902" t="str">
        <f>_xlfn.XLOOKUP(Orders[[#This Row],[Customer ID]], customers!$A$2:$A$1001, customers!$I$2:$I$1001, 0)</f>
        <v>No</v>
      </c>
    </row>
    <row r="903" spans="1:16" x14ac:dyDescent="0.35">
      <c r="A903" s="2" t="s">
        <v>5585</v>
      </c>
      <c r="B903" s="3">
        <v>44223</v>
      </c>
      <c r="C903" s="2" t="s">
        <v>5586</v>
      </c>
      <c r="D903" t="s">
        <v>6178</v>
      </c>
      <c r="E903" s="2">
        <v>1</v>
      </c>
      <c r="F903" s="2" t="str" cm="1">
        <f t="array" ref="F903">_xlfn.XLOOKUP(C903, customers!$A$1:A1902, customers!$B$1:B1902, 0)</f>
        <v>Drake Jevon</v>
      </c>
      <c r="G903" s="2" t="str">
        <f>IF(_xlfn.XLOOKUP(C903, customers!A902:A1902, customers!C902:C1902, 0)=0, "", _xlfn.XLOOKUP(C903, customers!A902:A1902, customers!C902:C1902, 0))</f>
        <v>djevonp1@ibm.com</v>
      </c>
      <c r="H903" s="2" t="str" cm="1">
        <f t="array" ref="H903">_xlfn.XLOOKUP(C903, customers!$A$1:A1902, customers!$G$1:G1902,, 0)</f>
        <v>United States</v>
      </c>
      <c r="I903" t="str" cm="1">
        <f t="array" ref="I903">_xlfn.XLOOKUP(orders!D903, products!$A$1:A950, products!$B$1:B950, 0)</f>
        <v>Rob</v>
      </c>
      <c r="J903" t="str" cm="1">
        <f t="array" ref="J903">_xlfn.XLOOKUP(D903, products!$A$1:A950, products!$C$1:C950, 0)</f>
        <v>L</v>
      </c>
      <c r="K903" s="4" cm="1">
        <f t="array" ref="K903">_xlfn.XLOOKUP(D903, products!$A$1:A950, products!$D$1:D950, 0)</f>
        <v>0.2</v>
      </c>
      <c r="L903" s="4" cm="1">
        <f t="array" ref="L903">_xlfn.XLOOKUP(D903, products!$A$1:A950, products!$E$1:E950)</f>
        <v>3.5849999999999995</v>
      </c>
      <c r="M903">
        <f t="shared" si="28"/>
        <v>3.5849999999999995</v>
      </c>
      <c r="N903" t="str">
        <f t="shared" si="29"/>
        <v>Robusta</v>
      </c>
      <c r="O903" t="str" cm="1">
        <f t="array" ref="O903">_xlfn.IFS(J903="M", "Medium", J903="L", "Light", J903="D", "Dark")</f>
        <v>Light</v>
      </c>
      <c r="P903" t="str">
        <f>_xlfn.XLOOKUP(Orders[[#This Row],[Customer ID]], customers!$A$2:$A$1001, customers!$I$2:$I$1001, 0)</f>
        <v>Yes</v>
      </c>
    </row>
    <row r="904" spans="1:16" x14ac:dyDescent="0.35">
      <c r="A904" s="2" t="s">
        <v>5591</v>
      </c>
      <c r="B904" s="3">
        <v>43640</v>
      </c>
      <c r="C904" s="2" t="s">
        <v>5592</v>
      </c>
      <c r="D904" t="s">
        <v>6166</v>
      </c>
      <c r="E904" s="2">
        <v>5</v>
      </c>
      <c r="F904" s="2" t="str" cm="1">
        <f t="array" ref="F904">_xlfn.XLOOKUP(C904, customers!$A$1:A1903, customers!$B$1:B1903, 0)</f>
        <v>Hall Ranner</v>
      </c>
      <c r="G904" s="2" t="str">
        <f>IF(_xlfn.XLOOKUP(C904, customers!A903:A1903, customers!C903:C1903, 0)=0, "", _xlfn.XLOOKUP(C904, customers!A903:A1903, customers!C903:C1903, 0))</f>
        <v>hrannerp2@omniture.com</v>
      </c>
      <c r="H904" s="2" t="str" cm="1">
        <f t="array" ref="H904">_xlfn.XLOOKUP(C904, customers!$A$1:A1903, customers!$G$1:G1903,, 0)</f>
        <v>United States</v>
      </c>
      <c r="I904" t="str" cm="1">
        <f t="array" ref="I904">_xlfn.XLOOKUP(orders!D904, products!$A$1:A951, products!$B$1:B951, 0)</f>
        <v>Exc</v>
      </c>
      <c r="J904" t="str" cm="1">
        <f t="array" ref="J904">_xlfn.XLOOKUP(D904, products!$A$1:A951, products!$C$1:C951, 0)</f>
        <v>M</v>
      </c>
      <c r="K904" s="4" cm="1">
        <f t="array" ref="K904">_xlfn.XLOOKUP(D904, products!$A$1:A951, products!$D$1:D951, 0)</f>
        <v>2.5</v>
      </c>
      <c r="L904" s="4" cm="1">
        <f t="array" ref="L904">_xlfn.XLOOKUP(D904, products!$A$1:A951, products!$E$1:E951)</f>
        <v>31.624999999999996</v>
      </c>
      <c r="M904">
        <f t="shared" si="28"/>
        <v>158.12499999999997</v>
      </c>
      <c r="N904" t="str">
        <f t="shared" si="29"/>
        <v>Excelsa</v>
      </c>
      <c r="O904" t="str" cm="1">
        <f t="array" ref="O904">_xlfn.IFS(J904="M", "Medium", J904="L", "Light", J904="D", "Dark")</f>
        <v>Medium</v>
      </c>
      <c r="P904" t="str">
        <f>_xlfn.XLOOKUP(Orders[[#This Row],[Customer ID]], customers!$A$2:$A$1001, customers!$I$2:$I$1001, 0)</f>
        <v>No</v>
      </c>
    </row>
    <row r="905" spans="1:16" x14ac:dyDescent="0.35">
      <c r="A905" s="2" t="s">
        <v>5597</v>
      </c>
      <c r="B905" s="3">
        <v>43905</v>
      </c>
      <c r="C905" s="2" t="s">
        <v>5598</v>
      </c>
      <c r="D905" t="s">
        <v>6160</v>
      </c>
      <c r="E905" s="2">
        <v>2</v>
      </c>
      <c r="F905" s="2" t="str" cm="1">
        <f t="array" ref="F905">_xlfn.XLOOKUP(C905, customers!$A$1:A1904, customers!$B$1:B1904, 0)</f>
        <v>Berkly Imrie</v>
      </c>
      <c r="G905" s="2" t="str">
        <f>IF(_xlfn.XLOOKUP(C905, customers!A904:A1904, customers!C904:C1904, 0)=0, "", _xlfn.XLOOKUP(C905, customers!A904:A1904, customers!C904:C1904, 0))</f>
        <v>bimriep3@addtoany.com</v>
      </c>
      <c r="H905" s="2" t="str" cm="1">
        <f t="array" ref="H905">_xlfn.XLOOKUP(C905, customers!$A$1:A1904, customers!$G$1:G1904,, 0)</f>
        <v>United States</v>
      </c>
      <c r="I905" t="str" cm="1">
        <f t="array" ref="I905">_xlfn.XLOOKUP(orders!D905, products!$A$1:A952, products!$B$1:B952, 0)</f>
        <v>Lib</v>
      </c>
      <c r="J905" t="str" cm="1">
        <f t="array" ref="J905">_xlfn.XLOOKUP(D905, products!$A$1:A952, products!$C$1:C952, 0)</f>
        <v>M</v>
      </c>
      <c r="K905" s="4" cm="1">
        <f t="array" ref="K905">_xlfn.XLOOKUP(D905, products!$A$1:A952, products!$D$1:D952, 0)</f>
        <v>0.5</v>
      </c>
      <c r="L905" s="4" cm="1">
        <f t="array" ref="L905">_xlfn.XLOOKUP(D905, products!$A$1:A952, products!$E$1:E952)</f>
        <v>8.73</v>
      </c>
      <c r="M905">
        <f t="shared" si="28"/>
        <v>17.46</v>
      </c>
      <c r="N905" t="str">
        <f t="shared" si="29"/>
        <v>Liberica</v>
      </c>
      <c r="O905" t="str" cm="1">
        <f t="array" ref="O905">_xlfn.IFS(J905="M", "Medium", J905="L", "Light", J905="D", "Dark")</f>
        <v>Medium</v>
      </c>
      <c r="P905" t="str">
        <f>_xlfn.XLOOKUP(Orders[[#This Row],[Customer ID]], customers!$A$2:$A$1001, customers!$I$2:$I$1001, 0)</f>
        <v>No</v>
      </c>
    </row>
    <row r="906" spans="1:16" x14ac:dyDescent="0.35">
      <c r="A906" s="2" t="s">
        <v>5603</v>
      </c>
      <c r="B906" s="3">
        <v>44463</v>
      </c>
      <c r="C906" s="2" t="s">
        <v>5604</v>
      </c>
      <c r="D906" t="s">
        <v>6182</v>
      </c>
      <c r="E906" s="2">
        <v>5</v>
      </c>
      <c r="F906" s="2" t="str" cm="1">
        <f t="array" ref="F906">_xlfn.XLOOKUP(C906, customers!$A$1:A1905, customers!$B$1:B1905, 0)</f>
        <v>Dorey Sopper</v>
      </c>
      <c r="G906" s="2" t="str">
        <f>IF(_xlfn.XLOOKUP(C906, customers!A905:A1905, customers!C905:C1905, 0)=0, "", _xlfn.XLOOKUP(C906, customers!A905:A1905, customers!C905:C1905, 0))</f>
        <v>dsopperp4@eventbrite.com</v>
      </c>
      <c r="H906" s="2" t="str" cm="1">
        <f t="array" ref="H906">_xlfn.XLOOKUP(C906, customers!$A$1:A1905, customers!$G$1:G1905,, 0)</f>
        <v>United States</v>
      </c>
      <c r="I906" t="str" cm="1">
        <f t="array" ref="I906">_xlfn.XLOOKUP(orders!D906, products!$A$1:A953, products!$B$1:B953, 0)</f>
        <v>Ara</v>
      </c>
      <c r="J906" t="str" cm="1">
        <f t="array" ref="J906">_xlfn.XLOOKUP(D906, products!$A$1:A953, products!$C$1:C953, 0)</f>
        <v>L</v>
      </c>
      <c r="K906" s="4" cm="1">
        <f t="array" ref="K906">_xlfn.XLOOKUP(D906, products!$A$1:A953, products!$D$1:D953, 0)</f>
        <v>2.5</v>
      </c>
      <c r="L906" s="4" cm="1">
        <f t="array" ref="L906">_xlfn.XLOOKUP(D906, products!$A$1:A953, products!$E$1:E953)</f>
        <v>29.784999999999997</v>
      </c>
      <c r="M906">
        <f t="shared" si="28"/>
        <v>148.92499999999998</v>
      </c>
      <c r="N906" t="str">
        <f t="shared" si="29"/>
        <v>Arabica</v>
      </c>
      <c r="O906" t="str" cm="1">
        <f t="array" ref="O906">_xlfn.IFS(J906="M", "Medium", J906="L", "Light", J906="D", "Dark")</f>
        <v>Light</v>
      </c>
      <c r="P906" t="str">
        <f>_xlfn.XLOOKUP(Orders[[#This Row],[Customer ID]], customers!$A$2:$A$1001, customers!$I$2:$I$1001, 0)</f>
        <v>No</v>
      </c>
    </row>
    <row r="907" spans="1:16" x14ac:dyDescent="0.35">
      <c r="A907" s="2" t="s">
        <v>5609</v>
      </c>
      <c r="B907" s="3">
        <v>43560</v>
      </c>
      <c r="C907" s="2" t="s">
        <v>5610</v>
      </c>
      <c r="D907" t="s">
        <v>6157</v>
      </c>
      <c r="E907" s="2">
        <v>6</v>
      </c>
      <c r="F907" s="2" t="str" cm="1">
        <f t="array" ref="F907">_xlfn.XLOOKUP(C907, customers!$A$1:A1906, customers!$B$1:B1906, 0)</f>
        <v>Darcy Lochran</v>
      </c>
      <c r="G907" s="2" t="str">
        <f>IF(_xlfn.XLOOKUP(C907, customers!A906:A1906, customers!C906:C1906, 0)=0, "", _xlfn.XLOOKUP(C907, customers!A906:A1906, customers!C906:C1906, 0))</f>
        <v/>
      </c>
      <c r="H907" s="2" t="str" cm="1">
        <f t="array" ref="H907">_xlfn.XLOOKUP(C907, customers!$A$1:A1906, customers!$G$1:G1906,, 0)</f>
        <v>United States</v>
      </c>
      <c r="I907" t="str" cm="1">
        <f t="array" ref="I907">_xlfn.XLOOKUP(orders!D907, products!$A$1:A954, products!$B$1:B954, 0)</f>
        <v>Ara</v>
      </c>
      <c r="J907" t="str" cm="1">
        <f t="array" ref="J907">_xlfn.XLOOKUP(D907, products!$A$1:A954, products!$C$1:C954, 0)</f>
        <v>M</v>
      </c>
      <c r="K907" s="4" cm="1">
        <f t="array" ref="K907">_xlfn.XLOOKUP(D907, products!$A$1:A954, products!$D$1:D954, 0)</f>
        <v>0.5</v>
      </c>
      <c r="L907" s="4" cm="1">
        <f t="array" ref="L907">_xlfn.XLOOKUP(D907, products!$A$1:A954, products!$E$1:E954)</f>
        <v>6.75</v>
      </c>
      <c r="M907">
        <f t="shared" si="28"/>
        <v>40.5</v>
      </c>
      <c r="N907" t="str">
        <f t="shared" si="29"/>
        <v>Arabica</v>
      </c>
      <c r="O907" t="str" cm="1">
        <f t="array" ref="O907">_xlfn.IFS(J907="M", "Medium", J907="L", "Light", J907="D", "Dark")</f>
        <v>Medium</v>
      </c>
      <c r="P907" t="str">
        <f>_xlfn.XLOOKUP(Orders[[#This Row],[Customer ID]], customers!$A$2:$A$1001, customers!$I$2:$I$1001, 0)</f>
        <v>Yes</v>
      </c>
    </row>
    <row r="908" spans="1:16" x14ac:dyDescent="0.35">
      <c r="A908" s="2" t="s">
        <v>5614</v>
      </c>
      <c r="B908" s="3">
        <v>44588</v>
      </c>
      <c r="C908" s="2" t="s">
        <v>5615</v>
      </c>
      <c r="D908" t="s">
        <v>6157</v>
      </c>
      <c r="E908" s="2">
        <v>4</v>
      </c>
      <c r="F908" s="2" t="str" cm="1">
        <f t="array" ref="F908">_xlfn.XLOOKUP(C908, customers!$A$1:A1907, customers!$B$1:B1907, 0)</f>
        <v>Lauritz Ledgley</v>
      </c>
      <c r="G908" s="2" t="str">
        <f>IF(_xlfn.XLOOKUP(C908, customers!A907:A1907, customers!C907:C1907, 0)=0, "", _xlfn.XLOOKUP(C908, customers!A907:A1907, customers!C907:C1907, 0))</f>
        <v>lledgleyp6@de.vu</v>
      </c>
      <c r="H908" s="2" t="str" cm="1">
        <f t="array" ref="H908">_xlfn.XLOOKUP(C908, customers!$A$1:A1907, customers!$G$1:G1907,, 0)</f>
        <v>United States</v>
      </c>
      <c r="I908" t="str" cm="1">
        <f t="array" ref="I908">_xlfn.XLOOKUP(orders!D908, products!$A$1:A955, products!$B$1:B955, 0)</f>
        <v>Ara</v>
      </c>
      <c r="J908" t="str" cm="1">
        <f t="array" ref="J908">_xlfn.XLOOKUP(D908, products!$A$1:A955, products!$C$1:C955, 0)</f>
        <v>M</v>
      </c>
      <c r="K908" s="4" cm="1">
        <f t="array" ref="K908">_xlfn.XLOOKUP(D908, products!$A$1:A955, products!$D$1:D955, 0)</f>
        <v>0.5</v>
      </c>
      <c r="L908" s="4" cm="1">
        <f t="array" ref="L908">_xlfn.XLOOKUP(D908, products!$A$1:A955, products!$E$1:E955)</f>
        <v>6.75</v>
      </c>
      <c r="M908">
        <f t="shared" si="28"/>
        <v>27</v>
      </c>
      <c r="N908" t="str">
        <f t="shared" si="29"/>
        <v>Arabica</v>
      </c>
      <c r="O908" t="str" cm="1">
        <f t="array" ref="O908">_xlfn.IFS(J908="M", "Medium", J908="L", "Light", J908="D", "Dark")</f>
        <v>Medium</v>
      </c>
      <c r="P908" t="str">
        <f>_xlfn.XLOOKUP(Orders[[#This Row],[Customer ID]], customers!$A$2:$A$1001, customers!$I$2:$I$1001, 0)</f>
        <v>Yes</v>
      </c>
    </row>
    <row r="909" spans="1:16" x14ac:dyDescent="0.35">
      <c r="A909" s="2" t="s">
        <v>5620</v>
      </c>
      <c r="B909" s="3">
        <v>44449</v>
      </c>
      <c r="C909" s="2" t="s">
        <v>5621</v>
      </c>
      <c r="D909" t="s">
        <v>6143</v>
      </c>
      <c r="E909" s="2">
        <v>3</v>
      </c>
      <c r="F909" s="2" t="str" cm="1">
        <f t="array" ref="F909">_xlfn.XLOOKUP(C909, customers!$A$1:A1908, customers!$B$1:B1908, 0)</f>
        <v>Tawnya Menary</v>
      </c>
      <c r="G909" s="2" t="str">
        <f>IF(_xlfn.XLOOKUP(C909, customers!A908:A1908, customers!C908:C1908, 0)=0, "", _xlfn.XLOOKUP(C909, customers!A908:A1908, customers!C908:C1908, 0))</f>
        <v>tmenaryp7@phoca.cz</v>
      </c>
      <c r="H909" s="2" t="str" cm="1">
        <f t="array" ref="H909">_xlfn.XLOOKUP(C909, customers!$A$1:A1908, customers!$G$1:G1908,, 0)</f>
        <v>United States</v>
      </c>
      <c r="I909" t="str" cm="1">
        <f t="array" ref="I909">_xlfn.XLOOKUP(orders!D909, products!$A$1:A956, products!$B$1:B956, 0)</f>
        <v>Lib</v>
      </c>
      <c r="J909" t="str" cm="1">
        <f t="array" ref="J909">_xlfn.XLOOKUP(D909, products!$A$1:A956, products!$C$1:C956, 0)</f>
        <v>D</v>
      </c>
      <c r="K909" s="4" cm="1">
        <f t="array" ref="K909">_xlfn.XLOOKUP(D909, products!$A$1:A956, products!$D$1:D956, 0)</f>
        <v>1</v>
      </c>
      <c r="L909" s="4" cm="1">
        <f t="array" ref="L909">_xlfn.XLOOKUP(D909, products!$A$1:A956, products!$E$1:E956)</f>
        <v>12.95</v>
      </c>
      <c r="M909">
        <f t="shared" si="28"/>
        <v>38.849999999999994</v>
      </c>
      <c r="N909" t="str">
        <f t="shared" si="29"/>
        <v>Liberica</v>
      </c>
      <c r="O909" t="str" cm="1">
        <f t="array" ref="O909">_xlfn.IFS(J909="M", "Medium", J909="L", "Light", J909="D", "Dark")</f>
        <v>Dark</v>
      </c>
      <c r="P909" t="str">
        <f>_xlfn.XLOOKUP(Orders[[#This Row],[Customer ID]], customers!$A$2:$A$1001, customers!$I$2:$I$1001, 0)</f>
        <v>No</v>
      </c>
    </row>
    <row r="910" spans="1:16" x14ac:dyDescent="0.35">
      <c r="A910" s="2" t="s">
        <v>5626</v>
      </c>
      <c r="B910" s="3">
        <v>43836</v>
      </c>
      <c r="C910" s="2" t="s">
        <v>5627</v>
      </c>
      <c r="D910" t="s">
        <v>6179</v>
      </c>
      <c r="E910" s="2">
        <v>5</v>
      </c>
      <c r="F910" s="2" t="str" cm="1">
        <f t="array" ref="F910">_xlfn.XLOOKUP(C910, customers!$A$1:A1909, customers!$B$1:B1909, 0)</f>
        <v>Gustaf Ciccotti</v>
      </c>
      <c r="G910" s="2" t="str">
        <f>IF(_xlfn.XLOOKUP(C910, customers!A909:A1909, customers!C909:C1909, 0)=0, "", _xlfn.XLOOKUP(C910, customers!A909:A1909, customers!C909:C1909, 0))</f>
        <v>gciccottip8@so-net.ne.jp</v>
      </c>
      <c r="H910" s="2" t="str" cm="1">
        <f t="array" ref="H910">_xlfn.XLOOKUP(C910, customers!$A$1:A1909, customers!$G$1:G1909,, 0)</f>
        <v>United States</v>
      </c>
      <c r="I910" t="str" cm="1">
        <f t="array" ref="I910">_xlfn.XLOOKUP(orders!D910, products!$A$1:A957, products!$B$1:B957, 0)</f>
        <v>Rob</v>
      </c>
      <c r="J910" t="str" cm="1">
        <f t="array" ref="J910">_xlfn.XLOOKUP(D910, products!$A$1:A957, products!$C$1:C957, 0)</f>
        <v>L</v>
      </c>
      <c r="K910" s="4" cm="1">
        <f t="array" ref="K910">_xlfn.XLOOKUP(D910, products!$A$1:A957, products!$D$1:D957, 0)</f>
        <v>1</v>
      </c>
      <c r="L910" s="4" cm="1">
        <f t="array" ref="L910">_xlfn.XLOOKUP(D910, products!$A$1:A957, products!$E$1:E957)</f>
        <v>11.95</v>
      </c>
      <c r="M910">
        <f t="shared" si="28"/>
        <v>59.75</v>
      </c>
      <c r="N910" t="str">
        <f t="shared" si="29"/>
        <v>Robusta</v>
      </c>
      <c r="O910" t="str" cm="1">
        <f t="array" ref="O910">_xlfn.IFS(J910="M", "Medium", J910="L", "Light", J910="D", "Dark")</f>
        <v>Light</v>
      </c>
      <c r="P910" t="str">
        <f>_xlfn.XLOOKUP(Orders[[#This Row],[Customer ID]], customers!$A$2:$A$1001, customers!$I$2:$I$1001, 0)</f>
        <v>No</v>
      </c>
    </row>
    <row r="911" spans="1:16" x14ac:dyDescent="0.35">
      <c r="A911" s="2" t="s">
        <v>5632</v>
      </c>
      <c r="B911" s="3">
        <v>44635</v>
      </c>
      <c r="C911" s="2" t="s">
        <v>5633</v>
      </c>
      <c r="D911" t="s">
        <v>6178</v>
      </c>
      <c r="E911" s="2">
        <v>3</v>
      </c>
      <c r="F911" s="2" t="str" cm="1">
        <f t="array" ref="F911">_xlfn.XLOOKUP(C911, customers!$A$1:A1910, customers!$B$1:B1910, 0)</f>
        <v>Bobbe Renner</v>
      </c>
      <c r="G911" s="2" t="str">
        <f>IF(_xlfn.XLOOKUP(C911, customers!A910:A1910, customers!C910:C1910, 0)=0, "", _xlfn.XLOOKUP(C911, customers!A910:A1910, customers!C910:C1910, 0))</f>
        <v/>
      </c>
      <c r="H911" s="2" t="str" cm="1">
        <f t="array" ref="H911">_xlfn.XLOOKUP(C911, customers!$A$1:A1910, customers!$G$1:G1910,, 0)</f>
        <v>United States</v>
      </c>
      <c r="I911" t="str" cm="1">
        <f t="array" ref="I911">_xlfn.XLOOKUP(orders!D911, products!$A$1:A958, products!$B$1:B958, 0)</f>
        <v>Rob</v>
      </c>
      <c r="J911" t="str" cm="1">
        <f t="array" ref="J911">_xlfn.XLOOKUP(D911, products!$A$1:A958, products!$C$1:C958, 0)</f>
        <v>L</v>
      </c>
      <c r="K911" s="4" cm="1">
        <f t="array" ref="K911">_xlfn.XLOOKUP(D911, products!$A$1:A958, products!$D$1:D958, 0)</f>
        <v>0.2</v>
      </c>
      <c r="L911" s="4" cm="1">
        <f t="array" ref="L911">_xlfn.XLOOKUP(D911, products!$A$1:A958, products!$E$1:E958)</f>
        <v>3.5849999999999995</v>
      </c>
      <c r="M911">
        <f t="shared" si="28"/>
        <v>10.754999999999999</v>
      </c>
      <c r="N911" t="str">
        <f t="shared" si="29"/>
        <v>Robusta</v>
      </c>
      <c r="O911" t="str" cm="1">
        <f t="array" ref="O911">_xlfn.IFS(J911="M", "Medium", J911="L", "Light", J911="D", "Dark")</f>
        <v>Light</v>
      </c>
      <c r="P911" t="str">
        <f>_xlfn.XLOOKUP(Orders[[#This Row],[Customer ID]], customers!$A$2:$A$1001, customers!$I$2:$I$1001, 0)</f>
        <v>No</v>
      </c>
    </row>
    <row r="912" spans="1:16" x14ac:dyDescent="0.35">
      <c r="A912" s="2" t="s">
        <v>5637</v>
      </c>
      <c r="B912" s="3">
        <v>44447</v>
      </c>
      <c r="C912" s="2" t="s">
        <v>5638</v>
      </c>
      <c r="D912" t="s">
        <v>6168</v>
      </c>
      <c r="E912" s="2">
        <v>4</v>
      </c>
      <c r="F912" s="2" t="str" cm="1">
        <f t="array" ref="F912">_xlfn.XLOOKUP(C912, customers!$A$1:A1911, customers!$B$1:B1911, 0)</f>
        <v>Wilton Jallin</v>
      </c>
      <c r="G912" s="2" t="str">
        <f>IF(_xlfn.XLOOKUP(C912, customers!A911:A1911, customers!C911:C1911, 0)=0, "", _xlfn.XLOOKUP(C912, customers!A911:A1911, customers!C911:C1911, 0))</f>
        <v>wjallinpa@pcworld.com</v>
      </c>
      <c r="H912" s="2" t="str" cm="1">
        <f t="array" ref="H912">_xlfn.XLOOKUP(C912, customers!$A$1:A1911, customers!$G$1:G1911,, 0)</f>
        <v>United States</v>
      </c>
      <c r="I912" t="str" cm="1">
        <f t="array" ref="I912">_xlfn.XLOOKUP(orders!D912, products!$A$1:A959, products!$B$1:B959, 0)</f>
        <v>Ara</v>
      </c>
      <c r="J912" t="str" cm="1">
        <f t="array" ref="J912">_xlfn.XLOOKUP(D912, products!$A$1:A959, products!$C$1:C959, 0)</f>
        <v>D</v>
      </c>
      <c r="K912" s="4" cm="1">
        <f t="array" ref="K912">_xlfn.XLOOKUP(D912, products!$A$1:A959, products!$D$1:D959, 0)</f>
        <v>2.5</v>
      </c>
      <c r="L912" s="4" cm="1">
        <f t="array" ref="L912">_xlfn.XLOOKUP(D912, products!$A$1:A959, products!$E$1:E959)</f>
        <v>22.884999999999998</v>
      </c>
      <c r="M912">
        <f t="shared" si="28"/>
        <v>91.539999999999992</v>
      </c>
      <c r="N912" t="str">
        <f t="shared" si="29"/>
        <v>Arabica</v>
      </c>
      <c r="O912" t="str" cm="1">
        <f t="array" ref="O912">_xlfn.IFS(J912="M", "Medium", J912="L", "Light", J912="D", "Dark")</f>
        <v>Dark</v>
      </c>
      <c r="P912" t="str">
        <f>_xlfn.XLOOKUP(Orders[[#This Row],[Customer ID]], customers!$A$2:$A$1001, customers!$I$2:$I$1001, 0)</f>
        <v>No</v>
      </c>
    </row>
    <row r="913" spans="1:16" x14ac:dyDescent="0.35">
      <c r="A913" s="2" t="s">
        <v>5643</v>
      </c>
      <c r="B913" s="3">
        <v>44511</v>
      </c>
      <c r="C913" s="2" t="s">
        <v>5644</v>
      </c>
      <c r="D913" t="s">
        <v>6155</v>
      </c>
      <c r="E913" s="2">
        <v>4</v>
      </c>
      <c r="F913" s="2" t="str" cm="1">
        <f t="array" ref="F913">_xlfn.XLOOKUP(C913, customers!$A$1:A1912, customers!$B$1:B1912, 0)</f>
        <v>Mindy Bogey</v>
      </c>
      <c r="G913" s="2" t="str">
        <f>IF(_xlfn.XLOOKUP(C913, customers!A912:A1912, customers!C912:C1912, 0)=0, "", _xlfn.XLOOKUP(C913, customers!A912:A1912, customers!C912:C1912, 0))</f>
        <v>mbogeypb@thetimes.co.uk</v>
      </c>
      <c r="H913" s="2" t="str" cm="1">
        <f t="array" ref="H913">_xlfn.XLOOKUP(C913, customers!$A$1:A1912, customers!$G$1:G1912,, 0)</f>
        <v>United States</v>
      </c>
      <c r="I913" t="str" cm="1">
        <f t="array" ref="I913">_xlfn.XLOOKUP(orders!D913, products!$A$1:A960, products!$B$1:B960, 0)</f>
        <v>Ara</v>
      </c>
      <c r="J913" t="str" cm="1">
        <f t="array" ref="J913">_xlfn.XLOOKUP(D913, products!$A$1:A960, products!$C$1:C960, 0)</f>
        <v>M</v>
      </c>
      <c r="K913" s="4" cm="1">
        <f t="array" ref="K913">_xlfn.XLOOKUP(D913, products!$A$1:A960, products!$D$1:D960, 0)</f>
        <v>1</v>
      </c>
      <c r="L913" s="4" cm="1">
        <f t="array" ref="L913">_xlfn.XLOOKUP(D913, products!$A$1:A960, products!$E$1:E960)</f>
        <v>11.25</v>
      </c>
      <c r="M913">
        <f t="shared" si="28"/>
        <v>45</v>
      </c>
      <c r="N913" t="str">
        <f t="shared" si="29"/>
        <v>Arabica</v>
      </c>
      <c r="O913" t="str" cm="1">
        <f t="array" ref="O913">_xlfn.IFS(J913="M", "Medium", J913="L", "Light", J913="D", "Dark")</f>
        <v>Medium</v>
      </c>
      <c r="P913" t="str">
        <f>_xlfn.XLOOKUP(Orders[[#This Row],[Customer ID]], customers!$A$2:$A$1001, customers!$I$2:$I$1001, 0)</f>
        <v>Yes</v>
      </c>
    </row>
    <row r="914" spans="1:16" x14ac:dyDescent="0.35">
      <c r="A914" s="2" t="s">
        <v>5649</v>
      </c>
      <c r="B914" s="3">
        <v>43726</v>
      </c>
      <c r="C914" s="2" t="s">
        <v>5650</v>
      </c>
      <c r="D914" t="s">
        <v>6151</v>
      </c>
      <c r="E914" s="2">
        <v>6</v>
      </c>
      <c r="F914" s="2" t="str" cm="1">
        <f t="array" ref="F914">_xlfn.XLOOKUP(C914, customers!$A$1:A1913, customers!$B$1:B1913, 0)</f>
        <v>Paulie Fonzone</v>
      </c>
      <c r="G914" s="2" t="str">
        <f>IF(_xlfn.XLOOKUP(C914, customers!A913:A1913, customers!C913:C1913, 0)=0, "", _xlfn.XLOOKUP(C914, customers!A913:A1913, customers!C913:C1913, 0))</f>
        <v/>
      </c>
      <c r="H914" s="2" t="str" cm="1">
        <f t="array" ref="H914">_xlfn.XLOOKUP(C914, customers!$A$1:A1913, customers!$G$1:G1913,, 0)</f>
        <v>United States</v>
      </c>
      <c r="I914" t="str" cm="1">
        <f t="array" ref="I914">_xlfn.XLOOKUP(orders!D914, products!$A$1:A961, products!$B$1:B961, 0)</f>
        <v>Rob</v>
      </c>
      <c r="J914" t="str" cm="1">
        <f t="array" ref="J914">_xlfn.XLOOKUP(D914, products!$A$1:A961, products!$C$1:C961, 0)</f>
        <v>M</v>
      </c>
      <c r="K914" s="4" cm="1">
        <f t="array" ref="K914">_xlfn.XLOOKUP(D914, products!$A$1:A961, products!$D$1:D961, 0)</f>
        <v>2.5</v>
      </c>
      <c r="L914" s="4" cm="1">
        <f t="array" ref="L914">_xlfn.XLOOKUP(D914, products!$A$1:A961, products!$E$1:E961)</f>
        <v>22.884999999999998</v>
      </c>
      <c r="M914">
        <f t="shared" si="28"/>
        <v>137.31</v>
      </c>
      <c r="N914" t="str">
        <f t="shared" si="29"/>
        <v>Robusta</v>
      </c>
      <c r="O914" t="str" cm="1">
        <f t="array" ref="O914">_xlfn.IFS(J914="M", "Medium", J914="L", "Light", J914="D", "Dark")</f>
        <v>Medium</v>
      </c>
      <c r="P914" t="str">
        <f>_xlfn.XLOOKUP(Orders[[#This Row],[Customer ID]], customers!$A$2:$A$1001, customers!$I$2:$I$1001, 0)</f>
        <v>Yes</v>
      </c>
    </row>
    <row r="915" spans="1:16" x14ac:dyDescent="0.35">
      <c r="A915" s="2" t="s">
        <v>5654</v>
      </c>
      <c r="B915" s="3">
        <v>44406</v>
      </c>
      <c r="C915" s="2" t="s">
        <v>5655</v>
      </c>
      <c r="D915" t="s">
        <v>6157</v>
      </c>
      <c r="E915" s="2">
        <v>1</v>
      </c>
      <c r="F915" s="2" t="str" cm="1">
        <f t="array" ref="F915">_xlfn.XLOOKUP(C915, customers!$A$1:A1914, customers!$B$1:B1914, 0)</f>
        <v>Merrile Cobbledick</v>
      </c>
      <c r="G915" s="2" t="str">
        <f>IF(_xlfn.XLOOKUP(C915, customers!A914:A1914, customers!C914:C1914, 0)=0, "", _xlfn.XLOOKUP(C915, customers!A914:A1914, customers!C914:C1914, 0))</f>
        <v>mcobbledickpd@ucsd.edu</v>
      </c>
      <c r="H915" s="2" t="str" cm="1">
        <f t="array" ref="H915">_xlfn.XLOOKUP(C915, customers!$A$1:A1914, customers!$G$1:G1914,, 0)</f>
        <v>United States</v>
      </c>
      <c r="I915" t="str" cm="1">
        <f t="array" ref="I915">_xlfn.XLOOKUP(orders!D915, products!$A$1:A962, products!$B$1:B962, 0)</f>
        <v>Ara</v>
      </c>
      <c r="J915" t="str" cm="1">
        <f t="array" ref="J915">_xlfn.XLOOKUP(D915, products!$A$1:A962, products!$C$1:C962, 0)</f>
        <v>M</v>
      </c>
      <c r="K915" s="4" cm="1">
        <f t="array" ref="K915">_xlfn.XLOOKUP(D915, products!$A$1:A962, products!$D$1:D962, 0)</f>
        <v>0.5</v>
      </c>
      <c r="L915" s="4" cm="1">
        <f t="array" ref="L915">_xlfn.XLOOKUP(D915, products!$A$1:A962, products!$E$1:E962)</f>
        <v>6.75</v>
      </c>
      <c r="M915">
        <f t="shared" si="28"/>
        <v>6.75</v>
      </c>
      <c r="N915" t="str">
        <f t="shared" si="29"/>
        <v>Arabica</v>
      </c>
      <c r="O915" t="str" cm="1">
        <f t="array" ref="O915">_xlfn.IFS(J915="M", "Medium", J915="L", "Light", J915="D", "Dark")</f>
        <v>Medium</v>
      </c>
      <c r="P915" t="str">
        <f>_xlfn.XLOOKUP(Orders[[#This Row],[Customer ID]], customers!$A$2:$A$1001, customers!$I$2:$I$1001, 0)</f>
        <v>No</v>
      </c>
    </row>
    <row r="916" spans="1:16" x14ac:dyDescent="0.35">
      <c r="A916" s="2" t="s">
        <v>5660</v>
      </c>
      <c r="B916" s="3">
        <v>44640</v>
      </c>
      <c r="C916" s="2" t="s">
        <v>5661</v>
      </c>
      <c r="D916" t="s">
        <v>6155</v>
      </c>
      <c r="E916" s="2">
        <v>4</v>
      </c>
      <c r="F916" s="2" t="str" cm="1">
        <f t="array" ref="F916">_xlfn.XLOOKUP(C916, customers!$A$1:A1915, customers!$B$1:B1915, 0)</f>
        <v>Antonius Lewry</v>
      </c>
      <c r="G916" s="2" t="str">
        <f>IF(_xlfn.XLOOKUP(C916, customers!A915:A1915, customers!C915:C1915, 0)=0, "", _xlfn.XLOOKUP(C916, customers!A915:A1915, customers!C915:C1915, 0))</f>
        <v>alewrype@whitehouse.gov</v>
      </c>
      <c r="H916" s="2" t="str" cm="1">
        <f t="array" ref="H916">_xlfn.XLOOKUP(C916, customers!$A$1:A1915, customers!$G$1:G1915,, 0)</f>
        <v>United States</v>
      </c>
      <c r="I916" t="str" cm="1">
        <f t="array" ref="I916">_xlfn.XLOOKUP(orders!D916, products!$A$1:A963, products!$B$1:B963, 0)</f>
        <v>Ara</v>
      </c>
      <c r="J916" t="str" cm="1">
        <f t="array" ref="J916">_xlfn.XLOOKUP(D916, products!$A$1:A963, products!$C$1:C963, 0)</f>
        <v>M</v>
      </c>
      <c r="K916" s="4" cm="1">
        <f t="array" ref="K916">_xlfn.XLOOKUP(D916, products!$A$1:A963, products!$D$1:D963, 0)</f>
        <v>1</v>
      </c>
      <c r="L916" s="4" cm="1">
        <f t="array" ref="L916">_xlfn.XLOOKUP(D916, products!$A$1:A963, products!$E$1:E963)</f>
        <v>11.25</v>
      </c>
      <c r="M916">
        <f t="shared" si="28"/>
        <v>45</v>
      </c>
      <c r="N916" t="str">
        <f t="shared" si="29"/>
        <v>Arabica</v>
      </c>
      <c r="O916" t="str" cm="1">
        <f t="array" ref="O916">_xlfn.IFS(J916="M", "Medium", J916="L", "Light", J916="D", "Dark")</f>
        <v>Medium</v>
      </c>
      <c r="P916" t="str">
        <f>_xlfn.XLOOKUP(Orders[[#This Row],[Customer ID]], customers!$A$2:$A$1001, customers!$I$2:$I$1001, 0)</f>
        <v>No</v>
      </c>
    </row>
    <row r="917" spans="1:16" x14ac:dyDescent="0.35">
      <c r="A917" s="2" t="s">
        <v>5666</v>
      </c>
      <c r="B917" s="3">
        <v>43955</v>
      </c>
      <c r="C917" s="2" t="s">
        <v>5667</v>
      </c>
      <c r="D917" t="s">
        <v>6185</v>
      </c>
      <c r="E917" s="2">
        <v>3</v>
      </c>
      <c r="F917" s="2" t="str" cm="1">
        <f t="array" ref="F917">_xlfn.XLOOKUP(C917, customers!$A$1:A1916, customers!$B$1:B1916, 0)</f>
        <v>Isis Hessel</v>
      </c>
      <c r="G917" s="2" t="str">
        <f>IF(_xlfn.XLOOKUP(C917, customers!A916:A1916, customers!C916:C1916, 0)=0, "", _xlfn.XLOOKUP(C917, customers!A916:A1916, customers!C916:C1916, 0))</f>
        <v>ihesselpf@ox.ac.uk</v>
      </c>
      <c r="H917" s="2" t="str" cm="1">
        <f t="array" ref="H917">_xlfn.XLOOKUP(C917, customers!$A$1:A1916, customers!$G$1:G1916,, 0)</f>
        <v>United States</v>
      </c>
      <c r="I917" t="str" cm="1">
        <f t="array" ref="I917">_xlfn.XLOOKUP(orders!D917, products!$A$1:A964, products!$B$1:B964, 0)</f>
        <v>Exc</v>
      </c>
      <c r="J917" t="str" cm="1">
        <f t="array" ref="J917">_xlfn.XLOOKUP(D917, products!$A$1:A964, products!$C$1:C964, 0)</f>
        <v>D</v>
      </c>
      <c r="K917" s="4" cm="1">
        <f t="array" ref="K917">_xlfn.XLOOKUP(D917, products!$A$1:A964, products!$D$1:D964, 0)</f>
        <v>2.5</v>
      </c>
      <c r="L917" s="4" cm="1">
        <f t="array" ref="L917">_xlfn.XLOOKUP(D917, products!$A$1:A964, products!$E$1:E964)</f>
        <v>27.945</v>
      </c>
      <c r="M917">
        <f t="shared" si="28"/>
        <v>83.835000000000008</v>
      </c>
      <c r="N917" t="str">
        <f t="shared" si="29"/>
        <v>Excelsa</v>
      </c>
      <c r="O917" t="str" cm="1">
        <f t="array" ref="O917">_xlfn.IFS(J917="M", "Medium", J917="L", "Light", J917="D", "Dark")</f>
        <v>Dark</v>
      </c>
      <c r="P917" t="str">
        <f>_xlfn.XLOOKUP(Orders[[#This Row],[Customer ID]], customers!$A$2:$A$1001, customers!$I$2:$I$1001, 0)</f>
        <v>Yes</v>
      </c>
    </row>
    <row r="918" spans="1:16" x14ac:dyDescent="0.35">
      <c r="A918" s="2" t="s">
        <v>5672</v>
      </c>
      <c r="B918" s="3">
        <v>44291</v>
      </c>
      <c r="C918" s="2" t="s">
        <v>5673</v>
      </c>
      <c r="D918" t="s">
        <v>6153</v>
      </c>
      <c r="E918" s="2">
        <v>1</v>
      </c>
      <c r="F918" s="2" t="str" cm="1">
        <f t="array" ref="F918">_xlfn.XLOOKUP(C918, customers!$A$1:A1917, customers!$B$1:B1917, 0)</f>
        <v>Harland Trematick</v>
      </c>
      <c r="G918" s="2" t="str">
        <f>IF(_xlfn.XLOOKUP(C918, customers!A917:A1917, customers!C917:C1917, 0)=0, "", _xlfn.XLOOKUP(C918, customers!A917:A1917, customers!C917:C1917, 0))</f>
        <v/>
      </c>
      <c r="H918" s="2" t="str" cm="1">
        <f t="array" ref="H918">_xlfn.XLOOKUP(C918, customers!$A$1:A1917, customers!$G$1:G1917,, 0)</f>
        <v>Ireland</v>
      </c>
      <c r="I918" t="str" cm="1">
        <f t="array" ref="I918">_xlfn.XLOOKUP(orders!D918, products!$A$1:A965, products!$B$1:B965, 0)</f>
        <v>Exc</v>
      </c>
      <c r="J918" t="str" cm="1">
        <f t="array" ref="J918">_xlfn.XLOOKUP(D918, products!$A$1:A965, products!$C$1:C965, 0)</f>
        <v>D</v>
      </c>
      <c r="K918" s="4" cm="1">
        <f t="array" ref="K918">_xlfn.XLOOKUP(D918, products!$A$1:A965, products!$D$1:D965, 0)</f>
        <v>0.2</v>
      </c>
      <c r="L918" s="4" cm="1">
        <f t="array" ref="L918">_xlfn.XLOOKUP(D918, products!$A$1:A965, products!$E$1:E965)</f>
        <v>3.645</v>
      </c>
      <c r="M918">
        <f t="shared" si="28"/>
        <v>3.645</v>
      </c>
      <c r="N918" t="str">
        <f t="shared" si="29"/>
        <v>Excelsa</v>
      </c>
      <c r="O918" t="str" cm="1">
        <f t="array" ref="O918">_xlfn.IFS(J918="M", "Medium", J918="L", "Light", J918="D", "Dark")</f>
        <v>Dark</v>
      </c>
      <c r="P918" t="str">
        <f>_xlfn.XLOOKUP(Orders[[#This Row],[Customer ID]], customers!$A$2:$A$1001, customers!$I$2:$I$1001, 0)</f>
        <v>Yes</v>
      </c>
    </row>
    <row r="919" spans="1:16" x14ac:dyDescent="0.35">
      <c r="A919" s="2" t="s">
        <v>5676</v>
      </c>
      <c r="B919" s="3">
        <v>44573</v>
      </c>
      <c r="C919" s="2" t="s">
        <v>5677</v>
      </c>
      <c r="D919" t="s">
        <v>6157</v>
      </c>
      <c r="E919" s="2">
        <v>1</v>
      </c>
      <c r="F919" s="2" t="str" cm="1">
        <f t="array" ref="F919">_xlfn.XLOOKUP(C919, customers!$A$1:A1918, customers!$B$1:B1918, 0)</f>
        <v>Chloris Sorrell</v>
      </c>
      <c r="G919" s="2" t="str">
        <f>IF(_xlfn.XLOOKUP(C919, customers!A918:A1918, customers!C918:C1918, 0)=0, "", _xlfn.XLOOKUP(C919, customers!A918:A1918, customers!C918:C1918, 0))</f>
        <v>csorrellph@amazon.com</v>
      </c>
      <c r="H919" s="2" t="str" cm="1">
        <f t="array" ref="H919">_xlfn.XLOOKUP(C919, customers!$A$1:A1918, customers!$G$1:G1918,, 0)</f>
        <v>United Kingdom</v>
      </c>
      <c r="I919" t="str" cm="1">
        <f t="array" ref="I919">_xlfn.XLOOKUP(orders!D919, products!$A$1:A966, products!$B$1:B966, 0)</f>
        <v>Ara</v>
      </c>
      <c r="J919" t="str" cm="1">
        <f t="array" ref="J919">_xlfn.XLOOKUP(D919, products!$A$1:A966, products!$C$1:C966, 0)</f>
        <v>M</v>
      </c>
      <c r="K919" s="4" cm="1">
        <f t="array" ref="K919">_xlfn.XLOOKUP(D919, products!$A$1:A966, products!$D$1:D966, 0)</f>
        <v>0.5</v>
      </c>
      <c r="L919" s="4" cm="1">
        <f t="array" ref="L919">_xlfn.XLOOKUP(D919, products!$A$1:A966, products!$E$1:E966)</f>
        <v>6.75</v>
      </c>
      <c r="M919">
        <f t="shared" si="28"/>
        <v>6.75</v>
      </c>
      <c r="N919" t="str">
        <f t="shared" si="29"/>
        <v>Arabica</v>
      </c>
      <c r="O919" t="str" cm="1">
        <f t="array" ref="O919">_xlfn.IFS(J919="M", "Medium", J919="L", "Light", J919="D", "Dark")</f>
        <v>Medium</v>
      </c>
      <c r="P919" t="str">
        <f>_xlfn.XLOOKUP(Orders[[#This Row],[Customer ID]], customers!$A$2:$A$1001, customers!$I$2:$I$1001, 0)</f>
        <v>No</v>
      </c>
    </row>
    <row r="920" spans="1:16" x14ac:dyDescent="0.35">
      <c r="A920" s="2" t="s">
        <v>5676</v>
      </c>
      <c r="B920" s="3">
        <v>44573</v>
      </c>
      <c r="C920" s="2" t="s">
        <v>5677</v>
      </c>
      <c r="D920" t="s">
        <v>6144</v>
      </c>
      <c r="E920" s="2">
        <v>3</v>
      </c>
      <c r="F920" s="2" t="str" cm="1">
        <f t="array" ref="F920">_xlfn.XLOOKUP(C920, customers!$A$1:A1919, customers!$B$1:B1919, 0)</f>
        <v>Chloris Sorrell</v>
      </c>
      <c r="G920" s="2" t="str">
        <f>IF(_xlfn.XLOOKUP(C920, customers!A919:A1919, customers!C919:C1919, 0)=0, "", _xlfn.XLOOKUP(C920, customers!A919:A1919, customers!C919:C1919, 0))</f>
        <v>csorrellph@amazon.com</v>
      </c>
      <c r="H920" s="2" t="str" cm="1">
        <f t="array" ref="H920">_xlfn.XLOOKUP(C920, customers!$A$1:A1919, customers!$G$1:G1919,, 0)</f>
        <v>United Kingdom</v>
      </c>
      <c r="I920" t="str" cm="1">
        <f t="array" ref="I920">_xlfn.XLOOKUP(orders!D920, products!$A$1:A967, products!$B$1:B967, 0)</f>
        <v>Exc</v>
      </c>
      <c r="J920" t="str" cm="1">
        <f t="array" ref="J920">_xlfn.XLOOKUP(D920, products!$A$1:A967, products!$C$1:C967, 0)</f>
        <v>D</v>
      </c>
      <c r="K920" s="4" cm="1">
        <f t="array" ref="K920">_xlfn.XLOOKUP(D920, products!$A$1:A967, products!$D$1:D967, 0)</f>
        <v>0.5</v>
      </c>
      <c r="L920" s="4" cm="1">
        <f t="array" ref="L920">_xlfn.XLOOKUP(D920, products!$A$1:A967, products!$E$1:E967)</f>
        <v>7.29</v>
      </c>
      <c r="M920">
        <f t="shared" si="28"/>
        <v>21.87</v>
      </c>
      <c r="N920" t="str">
        <f t="shared" si="29"/>
        <v>Excelsa</v>
      </c>
      <c r="O920" t="str" cm="1">
        <f t="array" ref="O920">_xlfn.IFS(J920="M", "Medium", J920="L", "Light", J920="D", "Dark")</f>
        <v>Dark</v>
      </c>
      <c r="P920" t="str">
        <f>_xlfn.XLOOKUP(Orders[[#This Row],[Customer ID]], customers!$A$2:$A$1001, customers!$I$2:$I$1001, 0)</f>
        <v>No</v>
      </c>
    </row>
    <row r="921" spans="1:16" x14ac:dyDescent="0.35">
      <c r="A921" s="2" t="s">
        <v>5687</v>
      </c>
      <c r="B921" s="3">
        <v>44181</v>
      </c>
      <c r="C921" s="2" t="s">
        <v>5688</v>
      </c>
      <c r="D921" t="s">
        <v>6163</v>
      </c>
      <c r="E921" s="2">
        <v>5</v>
      </c>
      <c r="F921" s="2" t="str" cm="1">
        <f t="array" ref="F921">_xlfn.XLOOKUP(C921, customers!$A$1:A1920, customers!$B$1:B1920, 0)</f>
        <v>Quintina Heavyside</v>
      </c>
      <c r="G921" s="2" t="str">
        <f>IF(_xlfn.XLOOKUP(C921, customers!A920:A1920, customers!C920:C1920, 0)=0, "", _xlfn.XLOOKUP(C921, customers!A920:A1920, customers!C920:C1920, 0))</f>
        <v>qheavysidepj@unc.edu</v>
      </c>
      <c r="H921" s="2" t="str" cm="1">
        <f t="array" ref="H921">_xlfn.XLOOKUP(C921, customers!$A$1:A1920, customers!$G$1:G1920,, 0)</f>
        <v>United States</v>
      </c>
      <c r="I921" t="str" cm="1">
        <f t="array" ref="I921">_xlfn.XLOOKUP(orders!D921, products!$A$1:A968, products!$B$1:B968, 0)</f>
        <v>Rob</v>
      </c>
      <c r="J921" t="str" cm="1">
        <f t="array" ref="J921">_xlfn.XLOOKUP(D921, products!$A$1:A968, products!$C$1:C968, 0)</f>
        <v>D</v>
      </c>
      <c r="K921" s="4" cm="1">
        <f t="array" ref="K921">_xlfn.XLOOKUP(D921, products!$A$1:A968, products!$D$1:D968, 0)</f>
        <v>0.2</v>
      </c>
      <c r="L921" s="4" cm="1">
        <f t="array" ref="L921">_xlfn.XLOOKUP(D921, products!$A$1:A968, products!$E$1:E968)</f>
        <v>2.6849999999999996</v>
      </c>
      <c r="M921">
        <f t="shared" si="28"/>
        <v>13.424999999999997</v>
      </c>
      <c r="N921" t="str">
        <f t="shared" si="29"/>
        <v>Robusta</v>
      </c>
      <c r="O921" t="str" cm="1">
        <f t="array" ref="O921">_xlfn.IFS(J921="M", "Medium", J921="L", "Light", J921="D", "Dark")</f>
        <v>Dark</v>
      </c>
      <c r="P921" t="str">
        <f>_xlfn.XLOOKUP(Orders[[#This Row],[Customer ID]], customers!$A$2:$A$1001, customers!$I$2:$I$1001, 0)</f>
        <v>Yes</v>
      </c>
    </row>
    <row r="922" spans="1:16" x14ac:dyDescent="0.35">
      <c r="A922" s="2" t="s">
        <v>5693</v>
      </c>
      <c r="B922" s="3">
        <v>44711</v>
      </c>
      <c r="C922" s="2" t="s">
        <v>5694</v>
      </c>
      <c r="D922" t="s">
        <v>6149</v>
      </c>
      <c r="E922" s="2">
        <v>6</v>
      </c>
      <c r="F922" s="2" t="str" cm="1">
        <f t="array" ref="F922">_xlfn.XLOOKUP(C922, customers!$A$1:A1921, customers!$B$1:B1921, 0)</f>
        <v>Hadley Reuven</v>
      </c>
      <c r="G922" s="2" t="str">
        <f>IF(_xlfn.XLOOKUP(C922, customers!A921:A1921, customers!C921:C1921, 0)=0, "", _xlfn.XLOOKUP(C922, customers!A921:A1921, customers!C921:C1921, 0))</f>
        <v>hreuvenpk@whitehouse.gov</v>
      </c>
      <c r="H922" s="2" t="str" cm="1">
        <f t="array" ref="H922">_xlfn.XLOOKUP(C922, customers!$A$1:A1921, customers!$G$1:G1921,, 0)</f>
        <v>United States</v>
      </c>
      <c r="I922" t="str" cm="1">
        <f t="array" ref="I922">_xlfn.XLOOKUP(orders!D922, products!$A$1:A969, products!$B$1:B969, 0)</f>
        <v>Rob</v>
      </c>
      <c r="J922" t="str" cm="1">
        <f t="array" ref="J922">_xlfn.XLOOKUP(D922, products!$A$1:A969, products!$C$1:C969, 0)</f>
        <v>D</v>
      </c>
      <c r="K922" s="4" cm="1">
        <f t="array" ref="K922">_xlfn.XLOOKUP(D922, products!$A$1:A969, products!$D$1:D969, 0)</f>
        <v>2.5</v>
      </c>
      <c r="L922" s="4" cm="1">
        <f t="array" ref="L922">_xlfn.XLOOKUP(D922, products!$A$1:A969, products!$E$1:E969)</f>
        <v>20.584999999999997</v>
      </c>
      <c r="M922">
        <f t="shared" si="28"/>
        <v>123.50999999999999</v>
      </c>
      <c r="N922" t="str">
        <f t="shared" si="29"/>
        <v>Robusta</v>
      </c>
      <c r="O922" t="str" cm="1">
        <f t="array" ref="O922">_xlfn.IFS(J922="M", "Medium", J922="L", "Light", J922="D", "Dark")</f>
        <v>Dark</v>
      </c>
      <c r="P922" t="str">
        <f>_xlfn.XLOOKUP(Orders[[#This Row],[Customer ID]], customers!$A$2:$A$1001, customers!$I$2:$I$1001, 0)</f>
        <v>No</v>
      </c>
    </row>
    <row r="923" spans="1:16" x14ac:dyDescent="0.35">
      <c r="A923" s="2" t="s">
        <v>5699</v>
      </c>
      <c r="B923" s="3">
        <v>44509</v>
      </c>
      <c r="C923" s="2" t="s">
        <v>5700</v>
      </c>
      <c r="D923" t="s">
        <v>6150</v>
      </c>
      <c r="E923" s="2">
        <v>2</v>
      </c>
      <c r="F923" s="2" t="str" cm="1">
        <f t="array" ref="F923">_xlfn.XLOOKUP(C923, customers!$A$1:A1922, customers!$B$1:B1922, 0)</f>
        <v>Mitch Attwool</v>
      </c>
      <c r="G923" s="2" t="str">
        <f>IF(_xlfn.XLOOKUP(C923, customers!A922:A1922, customers!C922:C1922, 0)=0, "", _xlfn.XLOOKUP(C923, customers!A922:A1922, customers!C922:C1922, 0))</f>
        <v>mattwoolpl@nba.com</v>
      </c>
      <c r="H923" s="2" t="str" cm="1">
        <f t="array" ref="H923">_xlfn.XLOOKUP(C923, customers!$A$1:A1922, customers!$G$1:G1922,, 0)</f>
        <v>United States</v>
      </c>
      <c r="I923" t="str" cm="1">
        <f t="array" ref="I923">_xlfn.XLOOKUP(orders!D923, products!$A$1:A970, products!$B$1:B970, 0)</f>
        <v>Lib</v>
      </c>
      <c r="J923" t="str" cm="1">
        <f t="array" ref="J923">_xlfn.XLOOKUP(D923, products!$A$1:A970, products!$C$1:C970, 0)</f>
        <v>D</v>
      </c>
      <c r="K923" s="4" cm="1">
        <f t="array" ref="K923">_xlfn.XLOOKUP(D923, products!$A$1:A970, products!$D$1:D970, 0)</f>
        <v>0.2</v>
      </c>
      <c r="L923" s="4" cm="1">
        <f t="array" ref="L923">_xlfn.XLOOKUP(D923, products!$A$1:A970, products!$E$1:E970)</f>
        <v>3.8849999999999998</v>
      </c>
      <c r="M923">
        <f t="shared" si="28"/>
        <v>7.77</v>
      </c>
      <c r="N923" t="str">
        <f t="shared" si="29"/>
        <v>Liberica</v>
      </c>
      <c r="O923" t="str" cm="1">
        <f t="array" ref="O923">_xlfn.IFS(J923="M", "Medium", J923="L", "Light", J923="D", "Dark")</f>
        <v>Dark</v>
      </c>
      <c r="P923" t="str">
        <f>_xlfn.XLOOKUP(Orders[[#This Row],[Customer ID]], customers!$A$2:$A$1001, customers!$I$2:$I$1001, 0)</f>
        <v>No</v>
      </c>
    </row>
    <row r="924" spans="1:16" x14ac:dyDescent="0.35">
      <c r="A924" s="2" t="s">
        <v>5705</v>
      </c>
      <c r="B924" s="3">
        <v>44659</v>
      </c>
      <c r="C924" s="2" t="s">
        <v>5706</v>
      </c>
      <c r="D924" t="s">
        <v>6155</v>
      </c>
      <c r="E924" s="2">
        <v>6</v>
      </c>
      <c r="F924" s="2" t="str" cm="1">
        <f t="array" ref="F924">_xlfn.XLOOKUP(C924, customers!$A$1:A1923, customers!$B$1:B1923, 0)</f>
        <v>Charin Maplethorp</v>
      </c>
      <c r="G924" s="2" t="str">
        <f>IF(_xlfn.XLOOKUP(C924, customers!A923:A1923, customers!C923:C1923, 0)=0, "", _xlfn.XLOOKUP(C924, customers!A923:A1923, customers!C923:C1923, 0))</f>
        <v/>
      </c>
      <c r="H924" s="2" t="str" cm="1">
        <f t="array" ref="H924">_xlfn.XLOOKUP(C924, customers!$A$1:A1923, customers!$G$1:G1923,, 0)</f>
        <v>United States</v>
      </c>
      <c r="I924" t="str" cm="1">
        <f t="array" ref="I924">_xlfn.XLOOKUP(orders!D924, products!$A$1:A971, products!$B$1:B971, 0)</f>
        <v>Ara</v>
      </c>
      <c r="J924" t="str" cm="1">
        <f t="array" ref="J924">_xlfn.XLOOKUP(D924, products!$A$1:A971, products!$C$1:C971, 0)</f>
        <v>M</v>
      </c>
      <c r="K924" s="4" cm="1">
        <f t="array" ref="K924">_xlfn.XLOOKUP(D924, products!$A$1:A971, products!$D$1:D971, 0)</f>
        <v>1</v>
      </c>
      <c r="L924" s="4" cm="1">
        <f t="array" ref="L924">_xlfn.XLOOKUP(D924, products!$A$1:A971, products!$E$1:E971)</f>
        <v>11.25</v>
      </c>
      <c r="M924">
        <f t="shared" si="28"/>
        <v>67.5</v>
      </c>
      <c r="N924" t="str">
        <f t="shared" si="29"/>
        <v>Arabica</v>
      </c>
      <c r="O924" t="str" cm="1">
        <f t="array" ref="O924">_xlfn.IFS(J924="M", "Medium", J924="L", "Light", J924="D", "Dark")</f>
        <v>Medium</v>
      </c>
      <c r="P924" t="str">
        <f>_xlfn.XLOOKUP(Orders[[#This Row],[Customer ID]], customers!$A$2:$A$1001, customers!$I$2:$I$1001, 0)</f>
        <v>Yes</v>
      </c>
    </row>
    <row r="925" spans="1:16" x14ac:dyDescent="0.35">
      <c r="A925" s="2" t="s">
        <v>5709</v>
      </c>
      <c r="B925" s="3">
        <v>43746</v>
      </c>
      <c r="C925" s="2" t="s">
        <v>5710</v>
      </c>
      <c r="D925" t="s">
        <v>6185</v>
      </c>
      <c r="E925" s="2">
        <v>1</v>
      </c>
      <c r="F925" s="2" t="str" cm="1">
        <f t="array" ref="F925">_xlfn.XLOOKUP(C925, customers!$A$1:A1924, customers!$B$1:B1924, 0)</f>
        <v>Goldie Wynes</v>
      </c>
      <c r="G925" s="2" t="str">
        <f>IF(_xlfn.XLOOKUP(C925, customers!A924:A1924, customers!C924:C1924, 0)=0, "", _xlfn.XLOOKUP(C925, customers!A924:A1924, customers!C924:C1924, 0))</f>
        <v>gwynespn@dagondesign.com</v>
      </c>
      <c r="H925" s="2" t="str" cm="1">
        <f t="array" ref="H925">_xlfn.XLOOKUP(C925, customers!$A$1:A1924, customers!$G$1:G1924,, 0)</f>
        <v>United States</v>
      </c>
      <c r="I925" t="str" cm="1">
        <f t="array" ref="I925">_xlfn.XLOOKUP(orders!D925, products!$A$1:A972, products!$B$1:B972, 0)</f>
        <v>Exc</v>
      </c>
      <c r="J925" t="str" cm="1">
        <f t="array" ref="J925">_xlfn.XLOOKUP(D925, products!$A$1:A972, products!$C$1:C972, 0)</f>
        <v>D</v>
      </c>
      <c r="K925" s="4" cm="1">
        <f t="array" ref="K925">_xlfn.XLOOKUP(D925, products!$A$1:A972, products!$D$1:D972, 0)</f>
        <v>2.5</v>
      </c>
      <c r="L925" s="4" cm="1">
        <f t="array" ref="L925">_xlfn.XLOOKUP(D925, products!$A$1:A972, products!$E$1:E972)</f>
        <v>27.945</v>
      </c>
      <c r="M925">
        <f t="shared" si="28"/>
        <v>27.945</v>
      </c>
      <c r="N925" t="str">
        <f t="shared" si="29"/>
        <v>Excelsa</v>
      </c>
      <c r="O925" t="str" cm="1">
        <f t="array" ref="O925">_xlfn.IFS(J925="M", "Medium", J925="L", "Light", J925="D", "Dark")</f>
        <v>Dark</v>
      </c>
      <c r="P925" t="str">
        <f>_xlfn.XLOOKUP(Orders[[#This Row],[Customer ID]], customers!$A$2:$A$1001, customers!$I$2:$I$1001, 0)</f>
        <v>No</v>
      </c>
    </row>
    <row r="926" spans="1:16" x14ac:dyDescent="0.35">
      <c r="A926" s="2" t="s">
        <v>5715</v>
      </c>
      <c r="B926" s="3">
        <v>44451</v>
      </c>
      <c r="C926" s="2" t="s">
        <v>5716</v>
      </c>
      <c r="D926" t="s">
        <v>6182</v>
      </c>
      <c r="E926" s="2">
        <v>3</v>
      </c>
      <c r="F926" s="2" t="str" cm="1">
        <f t="array" ref="F926">_xlfn.XLOOKUP(C926, customers!$A$1:A1925, customers!$B$1:B1925, 0)</f>
        <v>Celie MacCourt</v>
      </c>
      <c r="G926" s="2" t="str">
        <f>IF(_xlfn.XLOOKUP(C926, customers!A925:A1925, customers!C925:C1925, 0)=0, "", _xlfn.XLOOKUP(C926, customers!A925:A1925, customers!C925:C1925, 0))</f>
        <v>cmaccourtpo@amazon.com</v>
      </c>
      <c r="H926" s="2" t="str" cm="1">
        <f t="array" ref="H926">_xlfn.XLOOKUP(C926, customers!$A$1:A1925, customers!$G$1:G1925,, 0)</f>
        <v>United States</v>
      </c>
      <c r="I926" t="str" cm="1">
        <f t="array" ref="I926">_xlfn.XLOOKUP(orders!D926, products!$A$1:A973, products!$B$1:B973, 0)</f>
        <v>Ara</v>
      </c>
      <c r="J926" t="str" cm="1">
        <f t="array" ref="J926">_xlfn.XLOOKUP(D926, products!$A$1:A973, products!$C$1:C973, 0)</f>
        <v>L</v>
      </c>
      <c r="K926" s="4" cm="1">
        <f t="array" ref="K926">_xlfn.XLOOKUP(D926, products!$A$1:A973, products!$D$1:D973, 0)</f>
        <v>2.5</v>
      </c>
      <c r="L926" s="4" cm="1">
        <f t="array" ref="L926">_xlfn.XLOOKUP(D926, products!$A$1:A973, products!$E$1:E973)</f>
        <v>29.784999999999997</v>
      </c>
      <c r="M926">
        <f t="shared" si="28"/>
        <v>89.35499999999999</v>
      </c>
      <c r="N926" t="str">
        <f t="shared" si="29"/>
        <v>Arabica</v>
      </c>
      <c r="O926" t="str" cm="1">
        <f t="array" ref="O926">_xlfn.IFS(J926="M", "Medium", J926="L", "Light", J926="D", "Dark")</f>
        <v>Light</v>
      </c>
      <c r="P926" t="str">
        <f>_xlfn.XLOOKUP(Orders[[#This Row],[Customer ID]], customers!$A$2:$A$1001, customers!$I$2:$I$1001, 0)</f>
        <v>No</v>
      </c>
    </row>
    <row r="927" spans="1:16" x14ac:dyDescent="0.35">
      <c r="A927" s="2" t="s">
        <v>5720</v>
      </c>
      <c r="B927" s="3">
        <v>44770</v>
      </c>
      <c r="C927" s="2" t="s">
        <v>5554</v>
      </c>
      <c r="D927" t="s">
        <v>6157</v>
      </c>
      <c r="E927" s="2">
        <v>3</v>
      </c>
      <c r="F927" s="2" t="str" cm="1">
        <f t="array" ref="F927">_xlfn.XLOOKUP(C927, customers!$A$1:A1926, customers!$B$1:B1926, 0)</f>
        <v>Derick Snow</v>
      </c>
      <c r="G927" s="2" t="str">
        <f>IF(_xlfn.XLOOKUP(C927, customers!A926:A1926, customers!C926:C1926, 0)=0, "", _xlfn.XLOOKUP(C927, customers!A926:A1926, customers!C926:C1926, 0))</f>
        <v/>
      </c>
      <c r="H927" s="2" t="str" cm="1">
        <f t="array" ref="H927">_xlfn.XLOOKUP(C927, customers!$A$1:A1926, customers!$G$1:G1926,, 0)</f>
        <v>United States</v>
      </c>
      <c r="I927" t="str" cm="1">
        <f t="array" ref="I927">_xlfn.XLOOKUP(orders!D927, products!$A$1:A974, products!$B$1:B974, 0)</f>
        <v>Ara</v>
      </c>
      <c r="J927" t="str" cm="1">
        <f t="array" ref="J927">_xlfn.XLOOKUP(D927, products!$A$1:A974, products!$C$1:C974, 0)</f>
        <v>M</v>
      </c>
      <c r="K927" s="4" cm="1">
        <f t="array" ref="K927">_xlfn.XLOOKUP(D927, products!$A$1:A974, products!$D$1:D974, 0)</f>
        <v>0.5</v>
      </c>
      <c r="L927" s="4" cm="1">
        <f t="array" ref="L927">_xlfn.XLOOKUP(D927, products!$A$1:A974, products!$E$1:E974)</f>
        <v>6.75</v>
      </c>
      <c r="M927">
        <f t="shared" si="28"/>
        <v>20.25</v>
      </c>
      <c r="N927" t="str">
        <f t="shared" si="29"/>
        <v>Arabica</v>
      </c>
      <c r="O927" t="str" cm="1">
        <f t="array" ref="O927">_xlfn.IFS(J927="M", "Medium", J927="L", "Light", J927="D", "Dark")</f>
        <v>Medium</v>
      </c>
      <c r="P927" t="str">
        <f>_xlfn.XLOOKUP(Orders[[#This Row],[Customer ID]], customers!$A$2:$A$1001, customers!$I$2:$I$1001, 0)</f>
        <v>No</v>
      </c>
    </row>
    <row r="928" spans="1:16" x14ac:dyDescent="0.35">
      <c r="A928" s="2" t="s">
        <v>5725</v>
      </c>
      <c r="B928" s="3">
        <v>44012</v>
      </c>
      <c r="C928" s="2" t="s">
        <v>5726</v>
      </c>
      <c r="D928" t="s">
        <v>6157</v>
      </c>
      <c r="E928" s="2">
        <v>5</v>
      </c>
      <c r="F928" s="2" t="str" cm="1">
        <f t="array" ref="F928">_xlfn.XLOOKUP(C928, customers!$A$1:A1927, customers!$B$1:B1927, 0)</f>
        <v>Evy Wilsone</v>
      </c>
      <c r="G928" s="2" t="str">
        <f>IF(_xlfn.XLOOKUP(C928, customers!A927:A1927, customers!C927:C1927, 0)=0, "", _xlfn.XLOOKUP(C928, customers!A927:A1927, customers!C927:C1927, 0))</f>
        <v>ewilsonepq@eepurl.com</v>
      </c>
      <c r="H928" s="2" t="str" cm="1">
        <f t="array" ref="H928">_xlfn.XLOOKUP(C928, customers!$A$1:A1927, customers!$G$1:G1927,, 0)</f>
        <v>United States</v>
      </c>
      <c r="I928" t="str" cm="1">
        <f t="array" ref="I928">_xlfn.XLOOKUP(orders!D928, products!$A$1:A975, products!$B$1:B975, 0)</f>
        <v>Ara</v>
      </c>
      <c r="J928" t="str" cm="1">
        <f t="array" ref="J928">_xlfn.XLOOKUP(D928, products!$A$1:A975, products!$C$1:C975, 0)</f>
        <v>M</v>
      </c>
      <c r="K928" s="4" cm="1">
        <f t="array" ref="K928">_xlfn.XLOOKUP(D928, products!$A$1:A975, products!$D$1:D975, 0)</f>
        <v>0.5</v>
      </c>
      <c r="L928" s="4" cm="1">
        <f t="array" ref="L928">_xlfn.XLOOKUP(D928, products!$A$1:A975, products!$E$1:E975)</f>
        <v>6.75</v>
      </c>
      <c r="M928">
        <f t="shared" si="28"/>
        <v>33.75</v>
      </c>
      <c r="N928" t="str">
        <f t="shared" si="29"/>
        <v>Arabica</v>
      </c>
      <c r="O928" t="str" cm="1">
        <f t="array" ref="O928">_xlfn.IFS(J928="M", "Medium", J928="L", "Light", J928="D", "Dark")</f>
        <v>Medium</v>
      </c>
      <c r="P928" t="str">
        <f>_xlfn.XLOOKUP(Orders[[#This Row],[Customer ID]], customers!$A$2:$A$1001, customers!$I$2:$I$1001, 0)</f>
        <v>Yes</v>
      </c>
    </row>
    <row r="929" spans="1:16" x14ac:dyDescent="0.35">
      <c r="A929" s="2" t="s">
        <v>5731</v>
      </c>
      <c r="B929" s="3">
        <v>43474</v>
      </c>
      <c r="C929" s="2" t="s">
        <v>5732</v>
      </c>
      <c r="D929" t="s">
        <v>6185</v>
      </c>
      <c r="E929" s="2">
        <v>4</v>
      </c>
      <c r="F929" s="2" t="str" cm="1">
        <f t="array" ref="F929">_xlfn.XLOOKUP(C929, customers!$A$1:A1928, customers!$B$1:B1928, 0)</f>
        <v>Dolores Duffie</v>
      </c>
      <c r="G929" s="2" t="str">
        <f>IF(_xlfn.XLOOKUP(C929, customers!A928:A1928, customers!C928:C1928, 0)=0, "", _xlfn.XLOOKUP(C929, customers!A928:A1928, customers!C928:C1928, 0))</f>
        <v>dduffiepr@time.com</v>
      </c>
      <c r="H929" s="2" t="str" cm="1">
        <f t="array" ref="H929">_xlfn.XLOOKUP(C929, customers!$A$1:A1928, customers!$G$1:G1928,, 0)</f>
        <v>United States</v>
      </c>
      <c r="I929" t="str" cm="1">
        <f t="array" ref="I929">_xlfn.XLOOKUP(orders!D929, products!$A$1:A976, products!$B$1:B976, 0)</f>
        <v>Exc</v>
      </c>
      <c r="J929" t="str" cm="1">
        <f t="array" ref="J929">_xlfn.XLOOKUP(D929, products!$A$1:A976, products!$C$1:C976, 0)</f>
        <v>D</v>
      </c>
      <c r="K929" s="4" cm="1">
        <f t="array" ref="K929">_xlfn.XLOOKUP(D929, products!$A$1:A976, products!$D$1:D976, 0)</f>
        <v>2.5</v>
      </c>
      <c r="L929" s="4" cm="1">
        <f t="array" ref="L929">_xlfn.XLOOKUP(D929, products!$A$1:A976, products!$E$1:E976)</f>
        <v>27.945</v>
      </c>
      <c r="M929">
        <f t="shared" si="28"/>
        <v>111.78</v>
      </c>
      <c r="N929" t="str">
        <f t="shared" si="29"/>
        <v>Excelsa</v>
      </c>
      <c r="O929" t="str" cm="1">
        <f t="array" ref="O929">_xlfn.IFS(J929="M", "Medium", J929="L", "Light", J929="D", "Dark")</f>
        <v>Dark</v>
      </c>
      <c r="P929" t="str">
        <f>_xlfn.XLOOKUP(Orders[[#This Row],[Customer ID]], customers!$A$2:$A$1001, customers!$I$2:$I$1001, 0)</f>
        <v>No</v>
      </c>
    </row>
    <row r="930" spans="1:16" x14ac:dyDescent="0.35">
      <c r="A930" s="2" t="s">
        <v>5737</v>
      </c>
      <c r="B930" s="3">
        <v>44754</v>
      </c>
      <c r="C930" s="2" t="s">
        <v>5738</v>
      </c>
      <c r="D930" t="s">
        <v>6166</v>
      </c>
      <c r="E930" s="2">
        <v>2</v>
      </c>
      <c r="F930" s="2" t="str" cm="1">
        <f t="array" ref="F930">_xlfn.XLOOKUP(C930, customers!$A$1:A1929, customers!$B$1:B1929, 0)</f>
        <v>Mathilda Matiasek</v>
      </c>
      <c r="G930" s="2" t="str">
        <f>IF(_xlfn.XLOOKUP(C930, customers!A929:A1929, customers!C929:C1929, 0)=0, "", _xlfn.XLOOKUP(C930, customers!A929:A1929, customers!C929:C1929, 0))</f>
        <v>mmatiasekps@ucoz.ru</v>
      </c>
      <c r="H930" s="2" t="str" cm="1">
        <f t="array" ref="H930">_xlfn.XLOOKUP(C930, customers!$A$1:A1929, customers!$G$1:G1929,, 0)</f>
        <v>United States</v>
      </c>
      <c r="I930" t="str" cm="1">
        <f t="array" ref="I930">_xlfn.XLOOKUP(orders!D930, products!$A$1:A977, products!$B$1:B977, 0)</f>
        <v>Exc</v>
      </c>
      <c r="J930" t="str" cm="1">
        <f t="array" ref="J930">_xlfn.XLOOKUP(D930, products!$A$1:A977, products!$C$1:C977, 0)</f>
        <v>M</v>
      </c>
      <c r="K930" s="4" cm="1">
        <f t="array" ref="K930">_xlfn.XLOOKUP(D930, products!$A$1:A977, products!$D$1:D977, 0)</f>
        <v>2.5</v>
      </c>
      <c r="L930" s="4" cm="1">
        <f t="array" ref="L930">_xlfn.XLOOKUP(D930, products!$A$1:A977, products!$E$1:E977)</f>
        <v>31.624999999999996</v>
      </c>
      <c r="M930">
        <f t="shared" si="28"/>
        <v>63.249999999999993</v>
      </c>
      <c r="N930" t="str">
        <f t="shared" si="29"/>
        <v>Excelsa</v>
      </c>
      <c r="O930" t="str" cm="1">
        <f t="array" ref="O930">_xlfn.IFS(J930="M", "Medium", J930="L", "Light", J930="D", "Dark")</f>
        <v>Medium</v>
      </c>
      <c r="P930" t="str">
        <f>_xlfn.XLOOKUP(Orders[[#This Row],[Customer ID]], customers!$A$2:$A$1001, customers!$I$2:$I$1001, 0)</f>
        <v>Yes</v>
      </c>
    </row>
    <row r="931" spans="1:16" x14ac:dyDescent="0.35">
      <c r="A931" s="2" t="s">
        <v>5742</v>
      </c>
      <c r="B931" s="3">
        <v>44165</v>
      </c>
      <c r="C931" s="2" t="s">
        <v>5743</v>
      </c>
      <c r="D931" t="s">
        <v>6184</v>
      </c>
      <c r="E931" s="2">
        <v>2</v>
      </c>
      <c r="F931" s="2" t="str" cm="1">
        <f t="array" ref="F931">_xlfn.XLOOKUP(C931, customers!$A$1:A1930, customers!$B$1:B1930, 0)</f>
        <v>Jarred Camillo</v>
      </c>
      <c r="G931" s="2" t="str">
        <f>IF(_xlfn.XLOOKUP(C931, customers!A930:A1930, customers!C930:C1930, 0)=0, "", _xlfn.XLOOKUP(C931, customers!A930:A1930, customers!C930:C1930, 0))</f>
        <v>jcamillopt@shinystat.com</v>
      </c>
      <c r="H931" s="2" t="str" cm="1">
        <f t="array" ref="H931">_xlfn.XLOOKUP(C931, customers!$A$1:A1930, customers!$G$1:G1930,, 0)</f>
        <v>United States</v>
      </c>
      <c r="I931" t="str" cm="1">
        <f t="array" ref="I931">_xlfn.XLOOKUP(orders!D931, products!$A$1:A978, products!$B$1:B978, 0)</f>
        <v>Exc</v>
      </c>
      <c r="J931" t="str" cm="1">
        <f t="array" ref="J931">_xlfn.XLOOKUP(D931, products!$A$1:A978, products!$C$1:C978, 0)</f>
        <v>L</v>
      </c>
      <c r="K931" s="4" cm="1">
        <f t="array" ref="K931">_xlfn.XLOOKUP(D931, products!$A$1:A978, products!$D$1:D978, 0)</f>
        <v>0.2</v>
      </c>
      <c r="L931" s="4" cm="1">
        <f t="array" ref="L931">_xlfn.XLOOKUP(D931, products!$A$1:A978, products!$E$1:E978)</f>
        <v>4.4550000000000001</v>
      </c>
      <c r="M931">
        <f t="shared" si="28"/>
        <v>8.91</v>
      </c>
      <c r="N931" t="str">
        <f t="shared" si="29"/>
        <v>Excelsa</v>
      </c>
      <c r="O931" t="str" cm="1">
        <f t="array" ref="O931">_xlfn.IFS(J931="M", "Medium", J931="L", "Light", J931="D", "Dark")</f>
        <v>Light</v>
      </c>
      <c r="P931" t="str">
        <f>_xlfn.XLOOKUP(Orders[[#This Row],[Customer ID]], customers!$A$2:$A$1001, customers!$I$2:$I$1001, 0)</f>
        <v>Yes</v>
      </c>
    </row>
    <row r="932" spans="1:16" x14ac:dyDescent="0.35">
      <c r="A932" s="2" t="s">
        <v>5748</v>
      </c>
      <c r="B932" s="3">
        <v>43546</v>
      </c>
      <c r="C932" s="2" t="s">
        <v>5749</v>
      </c>
      <c r="D932" t="s">
        <v>6183</v>
      </c>
      <c r="E932" s="2">
        <v>1</v>
      </c>
      <c r="F932" s="2" t="str" cm="1">
        <f t="array" ref="F932">_xlfn.XLOOKUP(C932, customers!$A$1:A1931, customers!$B$1:B1931, 0)</f>
        <v>Kameko Philbrick</v>
      </c>
      <c r="G932" s="2" t="str">
        <f>IF(_xlfn.XLOOKUP(C932, customers!A931:A1931, customers!C931:C1931, 0)=0, "", _xlfn.XLOOKUP(C932, customers!A931:A1931, customers!C931:C1931, 0))</f>
        <v>kphilbrickpu@cdc.gov</v>
      </c>
      <c r="H932" s="2" t="str" cm="1">
        <f t="array" ref="H932">_xlfn.XLOOKUP(C932, customers!$A$1:A1931, customers!$G$1:G1931,, 0)</f>
        <v>United States</v>
      </c>
      <c r="I932" t="str" cm="1">
        <f t="array" ref="I932">_xlfn.XLOOKUP(orders!D932, products!$A$1:A979, products!$B$1:B979, 0)</f>
        <v>Exc</v>
      </c>
      <c r="J932" t="str" cm="1">
        <f t="array" ref="J932">_xlfn.XLOOKUP(D932, products!$A$1:A979, products!$C$1:C979, 0)</f>
        <v>D</v>
      </c>
      <c r="K932" s="4" cm="1">
        <f t="array" ref="K932">_xlfn.XLOOKUP(D932, products!$A$1:A979, products!$D$1:D979, 0)</f>
        <v>1</v>
      </c>
      <c r="L932" s="4" cm="1">
        <f t="array" ref="L932">_xlfn.XLOOKUP(D932, products!$A$1:A979, products!$E$1:E979)</f>
        <v>12.15</v>
      </c>
      <c r="M932">
        <f t="shared" si="28"/>
        <v>12.15</v>
      </c>
      <c r="N932" t="str">
        <f t="shared" si="29"/>
        <v>Excelsa</v>
      </c>
      <c r="O932" t="str" cm="1">
        <f t="array" ref="O932">_xlfn.IFS(J932="M", "Medium", J932="L", "Light", J932="D", "Dark")</f>
        <v>Dark</v>
      </c>
      <c r="P932" t="str">
        <f>_xlfn.XLOOKUP(Orders[[#This Row],[Customer ID]], customers!$A$2:$A$1001, customers!$I$2:$I$1001, 0)</f>
        <v>Yes</v>
      </c>
    </row>
    <row r="933" spans="1:16" x14ac:dyDescent="0.35">
      <c r="A933" s="2" t="s">
        <v>5753</v>
      </c>
      <c r="B933" s="3">
        <v>44607</v>
      </c>
      <c r="C933" s="2" t="s">
        <v>5754</v>
      </c>
      <c r="D933" t="s">
        <v>6158</v>
      </c>
      <c r="E933" s="2">
        <v>4</v>
      </c>
      <c r="F933" s="2" t="str" cm="1">
        <f t="array" ref="F933">_xlfn.XLOOKUP(C933, customers!$A$1:A1932, customers!$B$1:B1932, 0)</f>
        <v>Mallory Shrimpling</v>
      </c>
      <c r="G933" s="2" t="str">
        <f>IF(_xlfn.XLOOKUP(C933, customers!A932:A1932, customers!C932:C1932, 0)=0, "", _xlfn.XLOOKUP(C933, customers!A932:A1932, customers!C932:C1932, 0))</f>
        <v/>
      </c>
      <c r="H933" s="2" t="str" cm="1">
        <f t="array" ref="H933">_xlfn.XLOOKUP(C933, customers!$A$1:A1932, customers!$G$1:G1932,, 0)</f>
        <v>United States</v>
      </c>
      <c r="I933" t="str" cm="1">
        <f t="array" ref="I933">_xlfn.XLOOKUP(orders!D933, products!$A$1:A980, products!$B$1:B980, 0)</f>
        <v>Ara</v>
      </c>
      <c r="J933" t="str" cm="1">
        <f t="array" ref="J933">_xlfn.XLOOKUP(D933, products!$A$1:A980, products!$C$1:C980, 0)</f>
        <v>D</v>
      </c>
      <c r="K933" s="4" cm="1">
        <f t="array" ref="K933">_xlfn.XLOOKUP(D933, products!$A$1:A980, products!$D$1:D980, 0)</f>
        <v>0.5</v>
      </c>
      <c r="L933" s="4" cm="1">
        <f t="array" ref="L933">_xlfn.XLOOKUP(D933, products!$A$1:A980, products!$E$1:E980)</f>
        <v>5.97</v>
      </c>
      <c r="M933">
        <f t="shared" si="28"/>
        <v>23.88</v>
      </c>
      <c r="N933" t="str">
        <f t="shared" si="29"/>
        <v>Arabica</v>
      </c>
      <c r="O933" t="str" cm="1">
        <f t="array" ref="O933">_xlfn.IFS(J933="M", "Medium", J933="L", "Light", J933="D", "Dark")</f>
        <v>Dark</v>
      </c>
      <c r="P933" t="str">
        <f>_xlfn.XLOOKUP(Orders[[#This Row],[Customer ID]], customers!$A$2:$A$1001, customers!$I$2:$I$1001, 0)</f>
        <v>Yes</v>
      </c>
    </row>
    <row r="934" spans="1:16" x14ac:dyDescent="0.35">
      <c r="A934" s="2" t="s">
        <v>5757</v>
      </c>
      <c r="B934" s="3">
        <v>44117</v>
      </c>
      <c r="C934" s="2" t="s">
        <v>5758</v>
      </c>
      <c r="D934" t="s">
        <v>6141</v>
      </c>
      <c r="E934" s="2">
        <v>4</v>
      </c>
      <c r="F934" s="2" t="str" cm="1">
        <f t="array" ref="F934">_xlfn.XLOOKUP(C934, customers!$A$1:A1933, customers!$B$1:B1933, 0)</f>
        <v>Barnett Sillis</v>
      </c>
      <c r="G934" s="2" t="str">
        <f>IF(_xlfn.XLOOKUP(C934, customers!A933:A1933, customers!C933:C1933, 0)=0, "", _xlfn.XLOOKUP(C934, customers!A933:A1933, customers!C933:C1933, 0))</f>
        <v>bsillispw@istockphoto.com</v>
      </c>
      <c r="H934" s="2" t="str" cm="1">
        <f t="array" ref="H934">_xlfn.XLOOKUP(C934, customers!$A$1:A1933, customers!$G$1:G1933,, 0)</f>
        <v>United States</v>
      </c>
      <c r="I934" t="str" cm="1">
        <f t="array" ref="I934">_xlfn.XLOOKUP(orders!D934, products!$A$1:A981, products!$B$1:B981, 0)</f>
        <v>Exc</v>
      </c>
      <c r="J934" t="str" cm="1">
        <f t="array" ref="J934">_xlfn.XLOOKUP(D934, products!$A$1:A981, products!$C$1:C981, 0)</f>
        <v>M</v>
      </c>
      <c r="K934" s="4" cm="1">
        <f t="array" ref="K934">_xlfn.XLOOKUP(D934, products!$A$1:A981, products!$D$1:D981, 0)</f>
        <v>1</v>
      </c>
      <c r="L934" s="4" cm="1">
        <f t="array" ref="L934">_xlfn.XLOOKUP(D934, products!$A$1:A981, products!$E$1:E981)</f>
        <v>13.75</v>
      </c>
      <c r="M934">
        <f t="shared" si="28"/>
        <v>55</v>
      </c>
      <c r="N934" t="str">
        <f t="shared" si="29"/>
        <v>Excelsa</v>
      </c>
      <c r="O934" t="str" cm="1">
        <f t="array" ref="O934">_xlfn.IFS(J934="M", "Medium", J934="L", "Light", J934="D", "Dark")</f>
        <v>Medium</v>
      </c>
      <c r="P934" t="str">
        <f>_xlfn.XLOOKUP(Orders[[#This Row],[Customer ID]], customers!$A$2:$A$1001, customers!$I$2:$I$1001, 0)</f>
        <v>No</v>
      </c>
    </row>
    <row r="935" spans="1:16" x14ac:dyDescent="0.35">
      <c r="A935" s="2" t="s">
        <v>5763</v>
      </c>
      <c r="B935" s="3">
        <v>44557</v>
      </c>
      <c r="C935" s="2" t="s">
        <v>5764</v>
      </c>
      <c r="D935" t="s">
        <v>6177</v>
      </c>
      <c r="E935" s="2">
        <v>3</v>
      </c>
      <c r="F935" s="2" t="str" cm="1">
        <f t="array" ref="F935">_xlfn.XLOOKUP(C935, customers!$A$1:A1934, customers!$B$1:B1934, 0)</f>
        <v>Brenn Dundredge</v>
      </c>
      <c r="G935" s="2" t="str">
        <f>IF(_xlfn.XLOOKUP(C935, customers!A934:A1934, customers!C934:C1934, 0)=0, "", _xlfn.XLOOKUP(C935, customers!A934:A1934, customers!C934:C1934, 0))</f>
        <v/>
      </c>
      <c r="H935" s="2" t="str" cm="1">
        <f t="array" ref="H935">_xlfn.XLOOKUP(C935, customers!$A$1:A1934, customers!$G$1:G1934,, 0)</f>
        <v>United States</v>
      </c>
      <c r="I935" t="str" cm="1">
        <f t="array" ref="I935">_xlfn.XLOOKUP(orders!D935, products!$A$1:A982, products!$B$1:B982, 0)</f>
        <v>Rob</v>
      </c>
      <c r="J935" t="str" cm="1">
        <f t="array" ref="J935">_xlfn.XLOOKUP(D935, products!$A$1:A982, products!$C$1:C982, 0)</f>
        <v>D</v>
      </c>
      <c r="K935" s="4" cm="1">
        <f t="array" ref="K935">_xlfn.XLOOKUP(D935, products!$A$1:A982, products!$D$1:D982, 0)</f>
        <v>1</v>
      </c>
      <c r="L935" s="4" cm="1">
        <f t="array" ref="L935">_xlfn.XLOOKUP(D935, products!$A$1:A982, products!$E$1:E982)</f>
        <v>8.9499999999999993</v>
      </c>
      <c r="M935">
        <f t="shared" si="28"/>
        <v>26.849999999999998</v>
      </c>
      <c r="N935" t="str">
        <f t="shared" si="29"/>
        <v>Robusta</v>
      </c>
      <c r="O935" t="str" cm="1">
        <f t="array" ref="O935">_xlfn.IFS(J935="M", "Medium", J935="L", "Light", J935="D", "Dark")</f>
        <v>Dark</v>
      </c>
      <c r="P935" t="str">
        <f>_xlfn.XLOOKUP(Orders[[#This Row],[Customer ID]], customers!$A$2:$A$1001, customers!$I$2:$I$1001, 0)</f>
        <v>Yes</v>
      </c>
    </row>
    <row r="936" spans="1:16" x14ac:dyDescent="0.35">
      <c r="A936" s="2" t="s">
        <v>5768</v>
      </c>
      <c r="B936" s="3">
        <v>44409</v>
      </c>
      <c r="C936" s="2" t="s">
        <v>5769</v>
      </c>
      <c r="D936" t="s">
        <v>6151</v>
      </c>
      <c r="E936" s="2">
        <v>5</v>
      </c>
      <c r="F936" s="2" t="str" cm="1">
        <f t="array" ref="F936">_xlfn.XLOOKUP(C936, customers!$A$1:A1935, customers!$B$1:B1935, 0)</f>
        <v>Read Cutts</v>
      </c>
      <c r="G936" s="2" t="str">
        <f>IF(_xlfn.XLOOKUP(C936, customers!A935:A1935, customers!C935:C1935, 0)=0, "", _xlfn.XLOOKUP(C936, customers!A935:A1935, customers!C935:C1935, 0))</f>
        <v>rcuttspy@techcrunch.com</v>
      </c>
      <c r="H936" s="2" t="str" cm="1">
        <f t="array" ref="H936">_xlfn.XLOOKUP(C936, customers!$A$1:A1935, customers!$G$1:G1935,, 0)</f>
        <v>United States</v>
      </c>
      <c r="I936" t="str" cm="1">
        <f t="array" ref="I936">_xlfn.XLOOKUP(orders!D936, products!$A$1:A983, products!$B$1:B983, 0)</f>
        <v>Rob</v>
      </c>
      <c r="J936" t="str" cm="1">
        <f t="array" ref="J936">_xlfn.XLOOKUP(D936, products!$A$1:A983, products!$C$1:C983, 0)</f>
        <v>M</v>
      </c>
      <c r="K936" s="4" cm="1">
        <f t="array" ref="K936">_xlfn.XLOOKUP(D936, products!$A$1:A983, products!$D$1:D983, 0)</f>
        <v>2.5</v>
      </c>
      <c r="L936" s="4" cm="1">
        <f t="array" ref="L936">_xlfn.XLOOKUP(D936, products!$A$1:A983, products!$E$1:E983)</f>
        <v>22.884999999999998</v>
      </c>
      <c r="M936">
        <f t="shared" si="28"/>
        <v>114.42499999999998</v>
      </c>
      <c r="N936" t="str">
        <f t="shared" si="29"/>
        <v>Robusta</v>
      </c>
      <c r="O936" t="str" cm="1">
        <f t="array" ref="O936">_xlfn.IFS(J936="M", "Medium", J936="L", "Light", J936="D", "Dark")</f>
        <v>Medium</v>
      </c>
      <c r="P936" t="str">
        <f>_xlfn.XLOOKUP(Orders[[#This Row],[Customer ID]], customers!$A$2:$A$1001, customers!$I$2:$I$1001, 0)</f>
        <v>No</v>
      </c>
    </row>
    <row r="937" spans="1:16" x14ac:dyDescent="0.35">
      <c r="A937" s="2" t="s">
        <v>5774</v>
      </c>
      <c r="B937" s="3">
        <v>44153</v>
      </c>
      <c r="C937" s="2" t="s">
        <v>5775</v>
      </c>
      <c r="D937" t="s">
        <v>6175</v>
      </c>
      <c r="E937" s="2">
        <v>6</v>
      </c>
      <c r="F937" s="2" t="str" cm="1">
        <f t="array" ref="F937">_xlfn.XLOOKUP(C937, customers!$A$1:A1936, customers!$B$1:B1936, 0)</f>
        <v>Michale Delves</v>
      </c>
      <c r="G937" s="2" t="str">
        <f>IF(_xlfn.XLOOKUP(C937, customers!A936:A1936, customers!C936:C1936, 0)=0, "", _xlfn.XLOOKUP(C937, customers!A936:A1936, customers!C936:C1936, 0))</f>
        <v>mdelvespz@nature.com</v>
      </c>
      <c r="H937" s="2" t="str" cm="1">
        <f t="array" ref="H937">_xlfn.XLOOKUP(C937, customers!$A$1:A1936, customers!$G$1:G1936,, 0)</f>
        <v>United States</v>
      </c>
      <c r="I937" t="str" cm="1">
        <f t="array" ref="I937">_xlfn.XLOOKUP(orders!D937, products!$A$1:A984, products!$B$1:B984, 0)</f>
        <v>Ara</v>
      </c>
      <c r="J937" t="str" cm="1">
        <f t="array" ref="J937">_xlfn.XLOOKUP(D937, products!$A$1:A984, products!$C$1:C984, 0)</f>
        <v>M</v>
      </c>
      <c r="K937" s="4" cm="1">
        <f t="array" ref="K937">_xlfn.XLOOKUP(D937, products!$A$1:A984, products!$D$1:D984, 0)</f>
        <v>2.5</v>
      </c>
      <c r="L937" s="4" cm="1">
        <f t="array" ref="L937">_xlfn.XLOOKUP(D937, products!$A$1:A984, products!$E$1:E984)</f>
        <v>25.874999999999996</v>
      </c>
      <c r="M937">
        <f t="shared" si="28"/>
        <v>155.24999999999997</v>
      </c>
      <c r="N937" t="str">
        <f t="shared" si="29"/>
        <v>Arabica</v>
      </c>
      <c r="O937" t="str" cm="1">
        <f t="array" ref="O937">_xlfn.IFS(J937="M", "Medium", J937="L", "Light", J937="D", "Dark")</f>
        <v>Medium</v>
      </c>
      <c r="P937" t="str">
        <f>_xlfn.XLOOKUP(Orders[[#This Row],[Customer ID]], customers!$A$2:$A$1001, customers!$I$2:$I$1001, 0)</f>
        <v>Yes</v>
      </c>
    </row>
    <row r="938" spans="1:16" x14ac:dyDescent="0.35">
      <c r="A938" s="2" t="s">
        <v>5780</v>
      </c>
      <c r="B938" s="3">
        <v>44493</v>
      </c>
      <c r="C938" s="2" t="s">
        <v>5781</v>
      </c>
      <c r="D938" t="s">
        <v>6169</v>
      </c>
      <c r="E938" s="2">
        <v>3</v>
      </c>
      <c r="F938" s="2" t="str" cm="1">
        <f t="array" ref="F938">_xlfn.XLOOKUP(C938, customers!$A$1:A1937, customers!$B$1:B1937, 0)</f>
        <v>Devland Gritton</v>
      </c>
      <c r="G938" s="2" t="str">
        <f>IF(_xlfn.XLOOKUP(C938, customers!A937:A1937, customers!C937:C1937, 0)=0, "", _xlfn.XLOOKUP(C938, customers!A937:A1937, customers!C937:C1937, 0))</f>
        <v>dgrittonq0@nydailynews.com</v>
      </c>
      <c r="H938" s="2" t="str" cm="1">
        <f t="array" ref="H938">_xlfn.XLOOKUP(C938, customers!$A$1:A1937, customers!$G$1:G1937,, 0)</f>
        <v>United States</v>
      </c>
      <c r="I938" t="str" cm="1">
        <f t="array" ref="I938">_xlfn.XLOOKUP(orders!D938, products!$A$1:A985, products!$B$1:B985, 0)</f>
        <v>Lib</v>
      </c>
      <c r="J938" t="str" cm="1">
        <f t="array" ref="J938">_xlfn.XLOOKUP(D938, products!$A$1:A985, products!$C$1:C985, 0)</f>
        <v>D</v>
      </c>
      <c r="K938" s="4" cm="1">
        <f t="array" ref="K938">_xlfn.XLOOKUP(D938, products!$A$1:A985, products!$D$1:D985, 0)</f>
        <v>0.5</v>
      </c>
      <c r="L938" s="4" cm="1">
        <f t="array" ref="L938">_xlfn.XLOOKUP(D938, products!$A$1:A985, products!$E$1:E985)</f>
        <v>7.77</v>
      </c>
      <c r="M938">
        <f t="shared" si="28"/>
        <v>23.31</v>
      </c>
      <c r="N938" t="str">
        <f t="shared" si="29"/>
        <v>Liberica</v>
      </c>
      <c r="O938" t="str" cm="1">
        <f t="array" ref="O938">_xlfn.IFS(J938="M", "Medium", J938="L", "Light", J938="D", "Dark")</f>
        <v>Dark</v>
      </c>
      <c r="P938" t="str">
        <f>_xlfn.XLOOKUP(Orders[[#This Row],[Customer ID]], customers!$A$2:$A$1001, customers!$I$2:$I$1001, 0)</f>
        <v>Yes</v>
      </c>
    </row>
    <row r="939" spans="1:16" x14ac:dyDescent="0.35">
      <c r="A939" s="2" t="s">
        <v>5780</v>
      </c>
      <c r="B939" s="3">
        <v>44493</v>
      </c>
      <c r="C939" s="2" t="s">
        <v>5781</v>
      </c>
      <c r="D939" t="s">
        <v>6151</v>
      </c>
      <c r="E939" s="2">
        <v>4</v>
      </c>
      <c r="F939" s="2" t="str" cm="1">
        <f t="array" ref="F939">_xlfn.XLOOKUP(C939, customers!$A$1:A1938, customers!$B$1:B1938, 0)</f>
        <v>Devland Gritton</v>
      </c>
      <c r="G939" s="2" t="str">
        <f>IF(_xlfn.XLOOKUP(C939, customers!A938:A1938, customers!C938:C1938, 0)=0, "", _xlfn.XLOOKUP(C939, customers!A938:A1938, customers!C938:C1938, 0))</f>
        <v>dgrittonq0@nydailynews.com</v>
      </c>
      <c r="H939" s="2" t="str" cm="1">
        <f t="array" ref="H939">_xlfn.XLOOKUP(C939, customers!$A$1:A1938, customers!$G$1:G1938,, 0)</f>
        <v>United States</v>
      </c>
      <c r="I939" t="str" cm="1">
        <f t="array" ref="I939">_xlfn.XLOOKUP(orders!D939, products!$A$1:A986, products!$B$1:B986, 0)</f>
        <v>Rob</v>
      </c>
      <c r="J939" t="str" cm="1">
        <f t="array" ref="J939">_xlfn.XLOOKUP(D939, products!$A$1:A986, products!$C$1:C986, 0)</f>
        <v>M</v>
      </c>
      <c r="K939" s="4" cm="1">
        <f t="array" ref="K939">_xlfn.XLOOKUP(D939, products!$A$1:A986, products!$D$1:D986, 0)</f>
        <v>2.5</v>
      </c>
      <c r="L939" s="4" cm="1">
        <f t="array" ref="L939">_xlfn.XLOOKUP(D939, products!$A$1:A986, products!$E$1:E986)</f>
        <v>22.884999999999998</v>
      </c>
      <c r="M939">
        <f t="shared" si="28"/>
        <v>91.539999999999992</v>
      </c>
      <c r="N939" t="str">
        <f t="shared" si="29"/>
        <v>Robusta</v>
      </c>
      <c r="O939" t="str" cm="1">
        <f t="array" ref="O939">_xlfn.IFS(J939="M", "Medium", J939="L", "Light", J939="D", "Dark")</f>
        <v>Medium</v>
      </c>
      <c r="P939" t="str">
        <f>_xlfn.XLOOKUP(Orders[[#This Row],[Customer ID]], customers!$A$2:$A$1001, customers!$I$2:$I$1001, 0)</f>
        <v>Yes</v>
      </c>
    </row>
    <row r="940" spans="1:16" x14ac:dyDescent="0.35">
      <c r="A940" s="2" t="s">
        <v>5791</v>
      </c>
      <c r="B940" s="3">
        <v>43829</v>
      </c>
      <c r="C940" s="2" t="s">
        <v>5792</v>
      </c>
      <c r="D940" t="s">
        <v>6171</v>
      </c>
      <c r="E940" s="2">
        <v>5</v>
      </c>
      <c r="F940" s="2" t="str" cm="1">
        <f t="array" ref="F940">_xlfn.XLOOKUP(C940, customers!$A$1:A1939, customers!$B$1:B1939, 0)</f>
        <v>Dell Gut</v>
      </c>
      <c r="G940" s="2" t="str">
        <f>IF(_xlfn.XLOOKUP(C940, customers!A939:A1939, customers!C939:C1939, 0)=0, "", _xlfn.XLOOKUP(C940, customers!A939:A1939, customers!C939:C1939, 0))</f>
        <v>dgutq2@umich.edu</v>
      </c>
      <c r="H940" s="2" t="str" cm="1">
        <f t="array" ref="H940">_xlfn.XLOOKUP(C940, customers!$A$1:A1939, customers!$G$1:G1939,, 0)</f>
        <v>United States</v>
      </c>
      <c r="I940" t="str" cm="1">
        <f t="array" ref="I940">_xlfn.XLOOKUP(orders!D940, products!$A$1:A987, products!$B$1:B987, 0)</f>
        <v>Exc</v>
      </c>
      <c r="J940" t="str" cm="1">
        <f t="array" ref="J940">_xlfn.XLOOKUP(D940, products!$A$1:A987, products!$C$1:C987, 0)</f>
        <v>L</v>
      </c>
      <c r="K940" s="4" cm="1">
        <f t="array" ref="K940">_xlfn.XLOOKUP(D940, products!$A$1:A987, products!$D$1:D987, 0)</f>
        <v>1</v>
      </c>
      <c r="L940" s="4" cm="1">
        <f t="array" ref="L940">_xlfn.XLOOKUP(D940, products!$A$1:A987, products!$E$1:E987)</f>
        <v>14.85</v>
      </c>
      <c r="M940">
        <f t="shared" si="28"/>
        <v>74.25</v>
      </c>
      <c r="N940" t="str">
        <f t="shared" si="29"/>
        <v>Excelsa</v>
      </c>
      <c r="O940" t="str" cm="1">
        <f t="array" ref="O940">_xlfn.IFS(J940="M", "Medium", J940="L", "Light", J940="D", "Dark")</f>
        <v>Light</v>
      </c>
      <c r="P940" t="str">
        <f>_xlfn.XLOOKUP(Orders[[#This Row],[Customer ID]], customers!$A$2:$A$1001, customers!$I$2:$I$1001, 0)</f>
        <v>Yes</v>
      </c>
    </row>
    <row r="941" spans="1:16" x14ac:dyDescent="0.35">
      <c r="A941" s="2" t="s">
        <v>5797</v>
      </c>
      <c r="B941" s="3">
        <v>44229</v>
      </c>
      <c r="C941" s="2" t="s">
        <v>5798</v>
      </c>
      <c r="D941" t="s">
        <v>6145</v>
      </c>
      <c r="E941" s="2">
        <v>6</v>
      </c>
      <c r="F941" s="2" t="str" cm="1">
        <f t="array" ref="F941">_xlfn.XLOOKUP(C941, customers!$A$1:A1940, customers!$B$1:B1940, 0)</f>
        <v>Willy Pummery</v>
      </c>
      <c r="G941" s="2" t="str">
        <f>IF(_xlfn.XLOOKUP(C941, customers!A940:A1940, customers!C940:C1940, 0)=0, "", _xlfn.XLOOKUP(C941, customers!A940:A1940, customers!C940:C1940, 0))</f>
        <v>wpummeryq3@topsy.com</v>
      </c>
      <c r="H941" s="2" t="str" cm="1">
        <f t="array" ref="H941">_xlfn.XLOOKUP(C941, customers!$A$1:A1940, customers!$G$1:G1940,, 0)</f>
        <v>United States</v>
      </c>
      <c r="I941" t="str" cm="1">
        <f t="array" ref="I941">_xlfn.XLOOKUP(orders!D941, products!$A$1:A988, products!$B$1:B988, 0)</f>
        <v>Lib</v>
      </c>
      <c r="J941" t="str" cm="1">
        <f t="array" ref="J941">_xlfn.XLOOKUP(D941, products!$A$1:A988, products!$C$1:C988, 0)</f>
        <v>L</v>
      </c>
      <c r="K941" s="4" cm="1">
        <f t="array" ref="K941">_xlfn.XLOOKUP(D941, products!$A$1:A988, products!$D$1:D988, 0)</f>
        <v>0.2</v>
      </c>
      <c r="L941" s="4" cm="1">
        <f t="array" ref="L941">_xlfn.XLOOKUP(D941, products!$A$1:A988, products!$E$1:E988)</f>
        <v>4.7549999999999999</v>
      </c>
      <c r="M941">
        <f t="shared" si="28"/>
        <v>28.53</v>
      </c>
      <c r="N941" t="str">
        <f t="shared" si="29"/>
        <v>Liberica</v>
      </c>
      <c r="O941" t="str" cm="1">
        <f t="array" ref="O941">_xlfn.IFS(J941="M", "Medium", J941="L", "Light", J941="D", "Dark")</f>
        <v>Light</v>
      </c>
      <c r="P941" t="str">
        <f>_xlfn.XLOOKUP(Orders[[#This Row],[Customer ID]], customers!$A$2:$A$1001, customers!$I$2:$I$1001, 0)</f>
        <v>No</v>
      </c>
    </row>
    <row r="942" spans="1:16" x14ac:dyDescent="0.35">
      <c r="A942" s="2" t="s">
        <v>5803</v>
      </c>
      <c r="B942" s="3">
        <v>44332</v>
      </c>
      <c r="C942" s="2" t="s">
        <v>5804</v>
      </c>
      <c r="D942" t="s">
        <v>6173</v>
      </c>
      <c r="E942" s="2">
        <v>2</v>
      </c>
      <c r="F942" s="2" t="str" cm="1">
        <f t="array" ref="F942">_xlfn.XLOOKUP(C942, customers!$A$1:A1941, customers!$B$1:B1941, 0)</f>
        <v>Geoffrey Siuda</v>
      </c>
      <c r="G942" s="2" t="str">
        <f>IF(_xlfn.XLOOKUP(C942, customers!A941:A1941, customers!C941:C1941, 0)=0, "", _xlfn.XLOOKUP(C942, customers!A941:A1941, customers!C941:C1941, 0))</f>
        <v>gsiudaq4@nytimes.com</v>
      </c>
      <c r="H942" s="2" t="str" cm="1">
        <f t="array" ref="H942">_xlfn.XLOOKUP(C942, customers!$A$1:A1941, customers!$G$1:G1941,, 0)</f>
        <v>United States</v>
      </c>
      <c r="I942" t="str" cm="1">
        <f t="array" ref="I942">_xlfn.XLOOKUP(orders!D942, products!$A$1:A989, products!$B$1:B989, 0)</f>
        <v>Rob</v>
      </c>
      <c r="J942" t="str" cm="1">
        <f t="array" ref="J942">_xlfn.XLOOKUP(D942, products!$A$1:A989, products!$C$1:C989, 0)</f>
        <v>L</v>
      </c>
      <c r="K942" s="4" cm="1">
        <f t="array" ref="K942">_xlfn.XLOOKUP(D942, products!$A$1:A989, products!$D$1:D989, 0)</f>
        <v>0.5</v>
      </c>
      <c r="L942" s="4" cm="1">
        <f t="array" ref="L942">_xlfn.XLOOKUP(D942, products!$A$1:A989, products!$E$1:E989)</f>
        <v>7.169999999999999</v>
      </c>
      <c r="M942">
        <f t="shared" si="28"/>
        <v>14.339999999999998</v>
      </c>
      <c r="N942" t="str">
        <f t="shared" si="29"/>
        <v>Robusta</v>
      </c>
      <c r="O942" t="str" cm="1">
        <f t="array" ref="O942">_xlfn.IFS(J942="M", "Medium", J942="L", "Light", J942="D", "Dark")</f>
        <v>Light</v>
      </c>
      <c r="P942" t="str">
        <f>_xlfn.XLOOKUP(Orders[[#This Row],[Customer ID]], customers!$A$2:$A$1001, customers!$I$2:$I$1001, 0)</f>
        <v>Yes</v>
      </c>
    </row>
    <row r="943" spans="1:16" x14ac:dyDescent="0.35">
      <c r="A943" s="2" t="s">
        <v>5809</v>
      </c>
      <c r="B943" s="3">
        <v>44674</v>
      </c>
      <c r="C943" s="2" t="s">
        <v>5810</v>
      </c>
      <c r="D943" t="s">
        <v>6180</v>
      </c>
      <c r="E943" s="2">
        <v>2</v>
      </c>
      <c r="F943" s="2" t="str" cm="1">
        <f t="array" ref="F943">_xlfn.XLOOKUP(C943, customers!$A$1:A1942, customers!$B$1:B1942, 0)</f>
        <v>Henderson Crowne</v>
      </c>
      <c r="G943" s="2" t="str">
        <f>IF(_xlfn.XLOOKUP(C943, customers!A942:A1942, customers!C942:C1942, 0)=0, "", _xlfn.XLOOKUP(C943, customers!A942:A1942, customers!C942:C1942, 0))</f>
        <v>hcrowneq5@wufoo.com</v>
      </c>
      <c r="H943" s="2" t="str" cm="1">
        <f t="array" ref="H943">_xlfn.XLOOKUP(C943, customers!$A$1:A1942, customers!$G$1:G1942,, 0)</f>
        <v>Ireland</v>
      </c>
      <c r="I943" t="str" cm="1">
        <f t="array" ref="I943">_xlfn.XLOOKUP(orders!D943, products!$A$1:A990, products!$B$1:B990, 0)</f>
        <v>Ara</v>
      </c>
      <c r="J943" t="str" cm="1">
        <f t="array" ref="J943">_xlfn.XLOOKUP(D943, products!$A$1:A990, products!$C$1:C990, 0)</f>
        <v>L</v>
      </c>
      <c r="K943" s="4" cm="1">
        <f t="array" ref="K943">_xlfn.XLOOKUP(D943, products!$A$1:A990, products!$D$1:D990, 0)</f>
        <v>0.5</v>
      </c>
      <c r="L943" s="4" cm="1">
        <f t="array" ref="L943">_xlfn.XLOOKUP(D943, products!$A$1:A990, products!$E$1:E990)</f>
        <v>7.77</v>
      </c>
      <c r="M943">
        <f t="shared" si="28"/>
        <v>15.54</v>
      </c>
      <c r="N943" t="str">
        <f t="shared" si="29"/>
        <v>Arabica</v>
      </c>
      <c r="O943" t="str" cm="1">
        <f t="array" ref="O943">_xlfn.IFS(J943="M", "Medium", J943="L", "Light", J943="D", "Dark")</f>
        <v>Light</v>
      </c>
      <c r="P943" t="str">
        <f>_xlfn.XLOOKUP(Orders[[#This Row],[Customer ID]], customers!$A$2:$A$1001, customers!$I$2:$I$1001, 0)</f>
        <v>Yes</v>
      </c>
    </row>
    <row r="944" spans="1:16" x14ac:dyDescent="0.35">
      <c r="A944" s="2" t="s">
        <v>5816</v>
      </c>
      <c r="B944" s="3">
        <v>44464</v>
      </c>
      <c r="C944" s="2" t="s">
        <v>5817</v>
      </c>
      <c r="D944" t="s">
        <v>6179</v>
      </c>
      <c r="E944" s="2">
        <v>3</v>
      </c>
      <c r="F944" s="2" t="str" cm="1">
        <f t="array" ref="F944">_xlfn.XLOOKUP(C944, customers!$A$1:A1943, customers!$B$1:B1943, 0)</f>
        <v>Vernor Pawsey</v>
      </c>
      <c r="G944" s="2" t="str">
        <f>IF(_xlfn.XLOOKUP(C944, customers!A943:A1943, customers!C943:C1943, 0)=0, "", _xlfn.XLOOKUP(C944, customers!A943:A1943, customers!C943:C1943, 0))</f>
        <v>vpawseyq6@tiny.cc</v>
      </c>
      <c r="H944" s="2" t="str" cm="1">
        <f t="array" ref="H944">_xlfn.XLOOKUP(C944, customers!$A$1:A1943, customers!$G$1:G1943,, 0)</f>
        <v>United States</v>
      </c>
      <c r="I944" t="str" cm="1">
        <f t="array" ref="I944">_xlfn.XLOOKUP(orders!D944, products!$A$1:A991, products!$B$1:B991, 0)</f>
        <v>Rob</v>
      </c>
      <c r="J944" t="str" cm="1">
        <f t="array" ref="J944">_xlfn.XLOOKUP(D944, products!$A$1:A991, products!$C$1:C991, 0)</f>
        <v>L</v>
      </c>
      <c r="K944" s="4" cm="1">
        <f t="array" ref="K944">_xlfn.XLOOKUP(D944, products!$A$1:A991, products!$D$1:D991, 0)</f>
        <v>1</v>
      </c>
      <c r="L944" s="4" cm="1">
        <f t="array" ref="L944">_xlfn.XLOOKUP(D944, products!$A$1:A991, products!$E$1:E991)</f>
        <v>11.95</v>
      </c>
      <c r="M944">
        <f t="shared" si="28"/>
        <v>35.849999999999994</v>
      </c>
      <c r="N944" t="str">
        <f t="shared" si="29"/>
        <v>Robusta</v>
      </c>
      <c r="O944" t="str" cm="1">
        <f t="array" ref="O944">_xlfn.IFS(J944="M", "Medium", J944="L", "Light", J944="D", "Dark")</f>
        <v>Light</v>
      </c>
      <c r="P944" t="str">
        <f>_xlfn.XLOOKUP(Orders[[#This Row],[Customer ID]], customers!$A$2:$A$1001, customers!$I$2:$I$1001, 0)</f>
        <v>No</v>
      </c>
    </row>
    <row r="945" spans="1:16" x14ac:dyDescent="0.35">
      <c r="A945" s="2" t="s">
        <v>5822</v>
      </c>
      <c r="B945" s="3">
        <v>44719</v>
      </c>
      <c r="C945" s="2" t="s">
        <v>5823</v>
      </c>
      <c r="D945" t="s">
        <v>6180</v>
      </c>
      <c r="E945" s="2">
        <v>6</v>
      </c>
      <c r="F945" s="2" t="str" cm="1">
        <f t="array" ref="F945">_xlfn.XLOOKUP(C945, customers!$A$1:A1944, customers!$B$1:B1944, 0)</f>
        <v>Augustin Waterhouse</v>
      </c>
      <c r="G945" s="2" t="str">
        <f>IF(_xlfn.XLOOKUP(C945, customers!A944:A1944, customers!C944:C1944, 0)=0, "", _xlfn.XLOOKUP(C945, customers!A944:A1944, customers!C944:C1944, 0))</f>
        <v>awaterhouseq7@istockphoto.com</v>
      </c>
      <c r="H945" s="2" t="str" cm="1">
        <f t="array" ref="H945">_xlfn.XLOOKUP(C945, customers!$A$1:A1944, customers!$G$1:G1944,, 0)</f>
        <v>United States</v>
      </c>
      <c r="I945" t="str" cm="1">
        <f t="array" ref="I945">_xlfn.XLOOKUP(orders!D945, products!$A$1:A992, products!$B$1:B992, 0)</f>
        <v>Ara</v>
      </c>
      <c r="J945" t="str" cm="1">
        <f t="array" ref="J945">_xlfn.XLOOKUP(D945, products!$A$1:A992, products!$C$1:C992, 0)</f>
        <v>L</v>
      </c>
      <c r="K945" s="4" cm="1">
        <f t="array" ref="K945">_xlfn.XLOOKUP(D945, products!$A$1:A992, products!$D$1:D992, 0)</f>
        <v>0.5</v>
      </c>
      <c r="L945" s="4" cm="1">
        <f t="array" ref="L945">_xlfn.XLOOKUP(D945, products!$A$1:A992, products!$E$1:E992)</f>
        <v>7.77</v>
      </c>
      <c r="M945">
        <f t="shared" si="28"/>
        <v>46.62</v>
      </c>
      <c r="N945" t="str">
        <f t="shared" si="29"/>
        <v>Arabica</v>
      </c>
      <c r="O945" t="str" cm="1">
        <f t="array" ref="O945">_xlfn.IFS(J945="M", "Medium", J945="L", "Light", J945="D", "Dark")</f>
        <v>Light</v>
      </c>
      <c r="P945" t="str">
        <f>_xlfn.XLOOKUP(Orders[[#This Row],[Customer ID]], customers!$A$2:$A$1001, customers!$I$2:$I$1001, 0)</f>
        <v>No</v>
      </c>
    </row>
    <row r="946" spans="1:16" x14ac:dyDescent="0.35">
      <c r="A946" s="2" t="s">
        <v>5828</v>
      </c>
      <c r="B946" s="3">
        <v>44054</v>
      </c>
      <c r="C946" s="2" t="s">
        <v>5829</v>
      </c>
      <c r="D946" t="s">
        <v>6173</v>
      </c>
      <c r="E946" s="2">
        <v>5</v>
      </c>
      <c r="F946" s="2" t="str" cm="1">
        <f t="array" ref="F946">_xlfn.XLOOKUP(C946, customers!$A$1:A1945, customers!$B$1:B1945, 0)</f>
        <v>Fanchon Haughian</v>
      </c>
      <c r="G946" s="2" t="str">
        <f>IF(_xlfn.XLOOKUP(C946, customers!A945:A1945, customers!C945:C1945, 0)=0, "", _xlfn.XLOOKUP(C946, customers!A945:A1945, customers!C945:C1945, 0))</f>
        <v>fhaughianq8@1688.com</v>
      </c>
      <c r="H946" s="2" t="str" cm="1">
        <f t="array" ref="H946">_xlfn.XLOOKUP(C946, customers!$A$1:A1945, customers!$G$1:G1945,, 0)</f>
        <v>United States</v>
      </c>
      <c r="I946" t="str" cm="1">
        <f t="array" ref="I946">_xlfn.XLOOKUP(orders!D946, products!$A$1:A993, products!$B$1:B993, 0)</f>
        <v>Rob</v>
      </c>
      <c r="J946" t="str" cm="1">
        <f t="array" ref="J946">_xlfn.XLOOKUP(D946, products!$A$1:A993, products!$C$1:C993, 0)</f>
        <v>L</v>
      </c>
      <c r="K946" s="4" cm="1">
        <f t="array" ref="K946">_xlfn.XLOOKUP(D946, products!$A$1:A993, products!$D$1:D993, 0)</f>
        <v>0.5</v>
      </c>
      <c r="L946" s="4" cm="1">
        <f t="array" ref="L946">_xlfn.XLOOKUP(D946, products!$A$1:A993, products!$E$1:E993)</f>
        <v>7.169999999999999</v>
      </c>
      <c r="M946">
        <f t="shared" si="28"/>
        <v>35.849999999999994</v>
      </c>
      <c r="N946" t="str">
        <f t="shared" si="29"/>
        <v>Robusta</v>
      </c>
      <c r="O946" t="str" cm="1">
        <f t="array" ref="O946">_xlfn.IFS(J946="M", "Medium", J946="L", "Light", J946="D", "Dark")</f>
        <v>Light</v>
      </c>
      <c r="P946" t="str">
        <f>_xlfn.XLOOKUP(Orders[[#This Row],[Customer ID]], customers!$A$2:$A$1001, customers!$I$2:$I$1001, 0)</f>
        <v>No</v>
      </c>
    </row>
    <row r="947" spans="1:16" x14ac:dyDescent="0.35">
      <c r="A947" s="2" t="s">
        <v>5834</v>
      </c>
      <c r="B947" s="3">
        <v>43524</v>
      </c>
      <c r="C947" s="2" t="s">
        <v>5835</v>
      </c>
      <c r="D947" t="s">
        <v>6165</v>
      </c>
      <c r="E947" s="2">
        <v>4</v>
      </c>
      <c r="F947" s="2" t="str" cm="1">
        <f t="array" ref="F947">_xlfn.XLOOKUP(C947, customers!$A$1:A1946, customers!$B$1:B1946, 0)</f>
        <v>Jaimie Hatz</v>
      </c>
      <c r="G947" s="2" t="str">
        <f>IF(_xlfn.XLOOKUP(C947, customers!A946:A1946, customers!C946:C1946, 0)=0, "", _xlfn.XLOOKUP(C947, customers!A946:A1946, customers!C946:C1946, 0))</f>
        <v/>
      </c>
      <c r="H947" s="2" t="str" cm="1">
        <f t="array" ref="H947">_xlfn.XLOOKUP(C947, customers!$A$1:A1946, customers!$G$1:G1946,, 0)</f>
        <v>United States</v>
      </c>
      <c r="I947" t="str" cm="1">
        <f t="array" ref="I947">_xlfn.XLOOKUP(orders!D947, products!$A$1:A994, products!$B$1:B994, 0)</f>
        <v>Lib</v>
      </c>
      <c r="J947" t="str" cm="1">
        <f t="array" ref="J947">_xlfn.XLOOKUP(D947, products!$A$1:A994, products!$C$1:C994, 0)</f>
        <v>D</v>
      </c>
      <c r="K947" s="4" cm="1">
        <f t="array" ref="K947">_xlfn.XLOOKUP(D947, products!$A$1:A994, products!$D$1:D994, 0)</f>
        <v>2.5</v>
      </c>
      <c r="L947" s="4" cm="1">
        <f t="array" ref="L947">_xlfn.XLOOKUP(D947, products!$A$1:A994, products!$E$1:E994)</f>
        <v>29.784999999999997</v>
      </c>
      <c r="M947">
        <f t="shared" si="28"/>
        <v>119.13999999999999</v>
      </c>
      <c r="N947" t="str">
        <f t="shared" si="29"/>
        <v>Liberica</v>
      </c>
      <c r="O947" t="str" cm="1">
        <f t="array" ref="O947">_xlfn.IFS(J947="M", "Medium", J947="L", "Light", J947="D", "Dark")</f>
        <v>Dark</v>
      </c>
      <c r="P947" t="str">
        <f>_xlfn.XLOOKUP(Orders[[#This Row],[Customer ID]], customers!$A$2:$A$1001, customers!$I$2:$I$1001, 0)</f>
        <v>No</v>
      </c>
    </row>
    <row r="948" spans="1:16" x14ac:dyDescent="0.35">
      <c r="A948" s="2" t="s">
        <v>5839</v>
      </c>
      <c r="B948" s="3">
        <v>43719</v>
      </c>
      <c r="C948" s="2" t="s">
        <v>5840</v>
      </c>
      <c r="D948" t="s">
        <v>6169</v>
      </c>
      <c r="E948" s="2">
        <v>3</v>
      </c>
      <c r="F948" s="2" t="str" cm="1">
        <f t="array" ref="F948">_xlfn.XLOOKUP(C948, customers!$A$1:A1947, customers!$B$1:B1947, 0)</f>
        <v>Edeline Edney</v>
      </c>
      <c r="G948" s="2" t="str">
        <f>IF(_xlfn.XLOOKUP(C948, customers!A947:A1947, customers!C947:C1947, 0)=0, "", _xlfn.XLOOKUP(C948, customers!A947:A1947, customers!C947:C1947, 0))</f>
        <v/>
      </c>
      <c r="H948" s="2" t="str" cm="1">
        <f t="array" ref="H948">_xlfn.XLOOKUP(C948, customers!$A$1:A1947, customers!$G$1:G1947,, 0)</f>
        <v>United States</v>
      </c>
      <c r="I948" t="str" cm="1">
        <f t="array" ref="I948">_xlfn.XLOOKUP(orders!D948, products!$A$1:A995, products!$B$1:B995, 0)</f>
        <v>Lib</v>
      </c>
      <c r="J948" t="str" cm="1">
        <f t="array" ref="J948">_xlfn.XLOOKUP(D948, products!$A$1:A995, products!$C$1:C995, 0)</f>
        <v>D</v>
      </c>
      <c r="K948" s="4" cm="1">
        <f t="array" ref="K948">_xlfn.XLOOKUP(D948, products!$A$1:A995, products!$D$1:D995, 0)</f>
        <v>0.5</v>
      </c>
      <c r="L948" s="4" cm="1">
        <f t="array" ref="L948">_xlfn.XLOOKUP(D948, products!$A$1:A995, products!$E$1:E995)</f>
        <v>7.77</v>
      </c>
      <c r="M948">
        <f t="shared" si="28"/>
        <v>23.31</v>
      </c>
      <c r="N948" t="str">
        <f t="shared" si="29"/>
        <v>Liberica</v>
      </c>
      <c r="O948" t="str" cm="1">
        <f t="array" ref="O948">_xlfn.IFS(J948="M", "Medium", J948="L", "Light", J948="D", "Dark")</f>
        <v>Dark</v>
      </c>
      <c r="P948" t="str">
        <f>_xlfn.XLOOKUP(Orders[[#This Row],[Customer ID]], customers!$A$2:$A$1001, customers!$I$2:$I$1001, 0)</f>
        <v>No</v>
      </c>
    </row>
    <row r="949" spans="1:16" x14ac:dyDescent="0.35">
      <c r="A949" s="2" t="s">
        <v>5844</v>
      </c>
      <c r="B949" s="3">
        <v>44294</v>
      </c>
      <c r="C949" s="2" t="s">
        <v>5845</v>
      </c>
      <c r="D949" t="s">
        <v>6155</v>
      </c>
      <c r="E949" s="2">
        <v>1</v>
      </c>
      <c r="F949" s="2" t="str" cm="1">
        <f t="array" ref="F949">_xlfn.XLOOKUP(C949, customers!$A$1:A1948, customers!$B$1:B1948, 0)</f>
        <v>Rickie Faltin</v>
      </c>
      <c r="G949" s="2" t="str">
        <f>IF(_xlfn.XLOOKUP(C949, customers!A948:A1948, customers!C948:C1948, 0)=0, "", _xlfn.XLOOKUP(C949, customers!A948:A1948, customers!C948:C1948, 0))</f>
        <v>rfaltinqb@topsy.com</v>
      </c>
      <c r="H949" s="2" t="str" cm="1">
        <f t="array" ref="H949">_xlfn.XLOOKUP(C949, customers!$A$1:A1948, customers!$G$1:G1948,, 0)</f>
        <v>Ireland</v>
      </c>
      <c r="I949" t="str" cm="1">
        <f t="array" ref="I949">_xlfn.XLOOKUP(orders!D949, products!$A$1:A996, products!$B$1:B996, 0)</f>
        <v>Ara</v>
      </c>
      <c r="J949" t="str" cm="1">
        <f t="array" ref="J949">_xlfn.XLOOKUP(D949, products!$A$1:A996, products!$C$1:C996, 0)</f>
        <v>M</v>
      </c>
      <c r="K949" s="4" cm="1">
        <f t="array" ref="K949">_xlfn.XLOOKUP(D949, products!$A$1:A996, products!$D$1:D996, 0)</f>
        <v>1</v>
      </c>
      <c r="L949" s="4" cm="1">
        <f t="array" ref="L949">_xlfn.XLOOKUP(D949, products!$A$1:A996, products!$E$1:E996)</f>
        <v>11.25</v>
      </c>
      <c r="M949">
        <f t="shared" si="28"/>
        <v>11.25</v>
      </c>
      <c r="N949" t="str">
        <f t="shared" si="29"/>
        <v>Arabica</v>
      </c>
      <c r="O949" t="str" cm="1">
        <f t="array" ref="O949">_xlfn.IFS(J949="M", "Medium", J949="L", "Light", J949="D", "Dark")</f>
        <v>Medium</v>
      </c>
      <c r="P949" t="str">
        <f>_xlfn.XLOOKUP(Orders[[#This Row],[Customer ID]], customers!$A$2:$A$1001, customers!$I$2:$I$1001, 0)</f>
        <v>No</v>
      </c>
    </row>
    <row r="950" spans="1:16" x14ac:dyDescent="0.35">
      <c r="A950" s="2" t="s">
        <v>5849</v>
      </c>
      <c r="B950" s="3">
        <v>44445</v>
      </c>
      <c r="C950" s="2" t="s">
        <v>5850</v>
      </c>
      <c r="D950" t="s">
        <v>6185</v>
      </c>
      <c r="E950" s="2">
        <v>3</v>
      </c>
      <c r="F950" s="2" t="str" cm="1">
        <f t="array" ref="F950">_xlfn.XLOOKUP(C950, customers!$A$1:A1949, customers!$B$1:B1949, 0)</f>
        <v>Gnni Cheeke</v>
      </c>
      <c r="G950" s="2" t="str">
        <f>IF(_xlfn.XLOOKUP(C950, customers!A949:A1949, customers!C949:C1949, 0)=0, "", _xlfn.XLOOKUP(C950, customers!A949:A1949, customers!C949:C1949, 0))</f>
        <v>gcheekeqc@sitemeter.com</v>
      </c>
      <c r="H950" s="2" t="str" cm="1">
        <f t="array" ref="H950">_xlfn.XLOOKUP(C950, customers!$A$1:A1949, customers!$G$1:G1949,, 0)</f>
        <v>United Kingdom</v>
      </c>
      <c r="I950" t="str" cm="1">
        <f t="array" ref="I950">_xlfn.XLOOKUP(orders!D950, products!$A$1:A997, products!$B$1:B997, 0)</f>
        <v>Exc</v>
      </c>
      <c r="J950" t="str" cm="1">
        <f t="array" ref="J950">_xlfn.XLOOKUP(D950, products!$A$1:A997, products!$C$1:C997, 0)</f>
        <v>D</v>
      </c>
      <c r="K950" s="4" cm="1">
        <f t="array" ref="K950">_xlfn.XLOOKUP(D950, products!$A$1:A997, products!$D$1:D997, 0)</f>
        <v>2.5</v>
      </c>
      <c r="L950" s="4" cm="1">
        <f t="array" ref="L950">_xlfn.XLOOKUP(D950, products!$A$1:A997, products!$E$1:E997)</f>
        <v>27.945</v>
      </c>
      <c r="M950">
        <f t="shared" si="28"/>
        <v>83.835000000000008</v>
      </c>
      <c r="N950" t="str">
        <f t="shared" si="29"/>
        <v>Excelsa</v>
      </c>
      <c r="O950" t="str" cm="1">
        <f t="array" ref="O950">_xlfn.IFS(J950="M", "Medium", J950="L", "Light", J950="D", "Dark")</f>
        <v>Dark</v>
      </c>
      <c r="P950" t="str">
        <f>_xlfn.XLOOKUP(Orders[[#This Row],[Customer ID]], customers!$A$2:$A$1001, customers!$I$2:$I$1001, 0)</f>
        <v>Yes</v>
      </c>
    </row>
    <row r="951" spans="1:16" x14ac:dyDescent="0.35">
      <c r="A951" s="2" t="s">
        <v>5855</v>
      </c>
      <c r="B951" s="3">
        <v>44449</v>
      </c>
      <c r="C951" s="2" t="s">
        <v>5856</v>
      </c>
      <c r="D951" t="s">
        <v>6142</v>
      </c>
      <c r="E951" s="2">
        <v>4</v>
      </c>
      <c r="F951" s="2" t="str" cm="1">
        <f t="array" ref="F951">_xlfn.XLOOKUP(C951, customers!$A$1:A1950, customers!$B$1:B1950, 0)</f>
        <v>Gwenni Ratt</v>
      </c>
      <c r="G951" s="2" t="str">
        <f>IF(_xlfn.XLOOKUP(C951, customers!A950:A1950, customers!C950:C1950, 0)=0, "", _xlfn.XLOOKUP(C951, customers!A950:A1950, customers!C950:C1950, 0))</f>
        <v>grattqd@phpbb.com</v>
      </c>
      <c r="H951" s="2" t="str" cm="1">
        <f t="array" ref="H951">_xlfn.XLOOKUP(C951, customers!$A$1:A1950, customers!$G$1:G1950,, 0)</f>
        <v>Ireland</v>
      </c>
      <c r="I951" t="str" cm="1">
        <f t="array" ref="I951">_xlfn.XLOOKUP(orders!D951, products!$A$1:A998, products!$B$1:B998, 0)</f>
        <v>Rob</v>
      </c>
      <c r="J951" t="str" cm="1">
        <f t="array" ref="J951">_xlfn.XLOOKUP(D951, products!$A$1:A998, products!$C$1:C998, 0)</f>
        <v>L</v>
      </c>
      <c r="K951" s="4" cm="1">
        <f t="array" ref="K951">_xlfn.XLOOKUP(D951, products!$A$1:A998, products!$D$1:D998, 0)</f>
        <v>2.5</v>
      </c>
      <c r="L951" s="4" cm="1">
        <f t="array" ref="L951">_xlfn.XLOOKUP(D951, products!$A$1:A998, products!$E$1:E998)</f>
        <v>27.484999999999996</v>
      </c>
      <c r="M951">
        <f t="shared" si="28"/>
        <v>109.93999999999998</v>
      </c>
      <c r="N951" t="str">
        <f t="shared" si="29"/>
        <v>Robusta</v>
      </c>
      <c r="O951" t="str" cm="1">
        <f t="array" ref="O951">_xlfn.IFS(J951="M", "Medium", J951="L", "Light", J951="D", "Dark")</f>
        <v>Light</v>
      </c>
      <c r="P951" t="str">
        <f>_xlfn.XLOOKUP(Orders[[#This Row],[Customer ID]], customers!$A$2:$A$1001, customers!$I$2:$I$1001, 0)</f>
        <v>No</v>
      </c>
    </row>
    <row r="952" spans="1:16" x14ac:dyDescent="0.35">
      <c r="A952" s="2" t="s">
        <v>5861</v>
      </c>
      <c r="B952" s="3">
        <v>44703</v>
      </c>
      <c r="C952" s="2" t="s">
        <v>5862</v>
      </c>
      <c r="D952" t="s">
        <v>6178</v>
      </c>
      <c r="E952" s="2">
        <v>4</v>
      </c>
      <c r="F952" s="2" t="str" cm="1">
        <f t="array" ref="F952">_xlfn.XLOOKUP(C952, customers!$A$1:A1951, customers!$B$1:B1951, 0)</f>
        <v>Johnath Fairebrother</v>
      </c>
      <c r="G952" s="2" t="str">
        <f>IF(_xlfn.XLOOKUP(C952, customers!A951:A1951, customers!C951:C1951, 0)=0, "", _xlfn.XLOOKUP(C952, customers!A951:A1951, customers!C951:C1951, 0))</f>
        <v/>
      </c>
      <c r="H952" s="2" t="str" cm="1">
        <f t="array" ref="H952">_xlfn.XLOOKUP(C952, customers!$A$1:A1951, customers!$G$1:G1951,, 0)</f>
        <v>United States</v>
      </c>
      <c r="I952" t="str" cm="1">
        <f t="array" ref="I952">_xlfn.XLOOKUP(orders!D952, products!$A$1:A999, products!$B$1:B999, 0)</f>
        <v>Rob</v>
      </c>
      <c r="J952" t="str" cm="1">
        <f t="array" ref="J952">_xlfn.XLOOKUP(D952, products!$A$1:A999, products!$C$1:C999, 0)</f>
        <v>L</v>
      </c>
      <c r="K952" s="4" cm="1">
        <f t="array" ref="K952">_xlfn.XLOOKUP(D952, products!$A$1:A999, products!$D$1:D999, 0)</f>
        <v>0.2</v>
      </c>
      <c r="L952" s="4" cm="1">
        <f t="array" ref="L952">_xlfn.XLOOKUP(D952, products!$A$1:A999, products!$E$1:E999)</f>
        <v>3.5849999999999995</v>
      </c>
      <c r="M952">
        <f t="shared" si="28"/>
        <v>14.339999999999998</v>
      </c>
      <c r="N952" t="str">
        <f t="shared" si="29"/>
        <v>Robusta</v>
      </c>
      <c r="O952" t="str" cm="1">
        <f t="array" ref="O952">_xlfn.IFS(J952="M", "Medium", J952="L", "Light", J952="D", "Dark")</f>
        <v>Light</v>
      </c>
      <c r="P952" t="str">
        <f>_xlfn.XLOOKUP(Orders[[#This Row],[Customer ID]], customers!$A$2:$A$1001, customers!$I$2:$I$1001, 0)</f>
        <v>Yes</v>
      </c>
    </row>
    <row r="953" spans="1:16" x14ac:dyDescent="0.35">
      <c r="A953" s="2" t="s">
        <v>5866</v>
      </c>
      <c r="B953" s="3">
        <v>44092</v>
      </c>
      <c r="C953" s="2" t="s">
        <v>5867</v>
      </c>
      <c r="D953" t="s">
        <v>6178</v>
      </c>
      <c r="E953" s="2">
        <v>6</v>
      </c>
      <c r="F953" s="2" t="str" cm="1">
        <f t="array" ref="F953">_xlfn.XLOOKUP(C953, customers!$A$1:A1952, customers!$B$1:B1952, 0)</f>
        <v>Ingamar Eberlein</v>
      </c>
      <c r="G953" s="2" t="str">
        <f>IF(_xlfn.XLOOKUP(C953, customers!A952:A1952, customers!C952:C1952, 0)=0, "", _xlfn.XLOOKUP(C953, customers!A952:A1952, customers!C952:C1952, 0))</f>
        <v>ieberleinqf@hc360.com</v>
      </c>
      <c r="H953" s="2" t="str" cm="1">
        <f t="array" ref="H953">_xlfn.XLOOKUP(C953, customers!$A$1:A1952, customers!$G$1:G1952,, 0)</f>
        <v>United States</v>
      </c>
      <c r="I953" t="str" cm="1">
        <f t="array" ref="I953">_xlfn.XLOOKUP(orders!D953, products!$A$1:A1000, products!$B$1:B1000, 0)</f>
        <v>Rob</v>
      </c>
      <c r="J953" t="str" cm="1">
        <f t="array" ref="J953">_xlfn.XLOOKUP(D953, products!$A$1:A1000, products!$C$1:C1000, 0)</f>
        <v>L</v>
      </c>
      <c r="K953" s="4" cm="1">
        <f t="array" ref="K953">_xlfn.XLOOKUP(D953, products!$A$1:A1000, products!$D$1:D1000, 0)</f>
        <v>0.2</v>
      </c>
      <c r="L953" s="4" cm="1">
        <f t="array" ref="L953">_xlfn.XLOOKUP(D953, products!$A$1:A1000, products!$E$1:E1000)</f>
        <v>3.5849999999999995</v>
      </c>
      <c r="M953">
        <f t="shared" si="28"/>
        <v>21.509999999999998</v>
      </c>
      <c r="N953" t="str">
        <f t="shared" si="29"/>
        <v>Robusta</v>
      </c>
      <c r="O953" t="str" cm="1">
        <f t="array" ref="O953">_xlfn.IFS(J953="M", "Medium", J953="L", "Light", J953="D", "Dark")</f>
        <v>Light</v>
      </c>
      <c r="P953" t="str">
        <f>_xlfn.XLOOKUP(Orders[[#This Row],[Customer ID]], customers!$A$2:$A$1001, customers!$I$2:$I$1001, 0)</f>
        <v>No</v>
      </c>
    </row>
    <row r="954" spans="1:16" x14ac:dyDescent="0.35">
      <c r="A954" s="2" t="s">
        <v>5872</v>
      </c>
      <c r="B954" s="3">
        <v>44439</v>
      </c>
      <c r="C954" s="2" t="s">
        <v>5873</v>
      </c>
      <c r="D954" t="s">
        <v>6155</v>
      </c>
      <c r="E954" s="2">
        <v>2</v>
      </c>
      <c r="F954" s="2" t="str" cm="1">
        <f t="array" ref="F954">_xlfn.XLOOKUP(C954, customers!$A$1:A1953, customers!$B$1:B1953, 0)</f>
        <v>Jilly Dreng</v>
      </c>
      <c r="G954" s="2" t="str">
        <f>IF(_xlfn.XLOOKUP(C954, customers!A953:A1953, customers!C953:C1953, 0)=0, "", _xlfn.XLOOKUP(C954, customers!A953:A1953, customers!C953:C1953, 0))</f>
        <v>jdrengqg@uiuc.edu</v>
      </c>
      <c r="H954" s="2" t="str" cm="1">
        <f t="array" ref="H954">_xlfn.XLOOKUP(C954, customers!$A$1:A1953, customers!$G$1:G1953,, 0)</f>
        <v>Ireland</v>
      </c>
      <c r="I954" t="str" cm="1">
        <f t="array" ref="I954">_xlfn.XLOOKUP(orders!D954, products!$A$1:A1001, products!$B$1:B1001, 0)</f>
        <v>Ara</v>
      </c>
      <c r="J954" t="str" cm="1">
        <f t="array" ref="J954">_xlfn.XLOOKUP(D954, products!$A$1:A1001, products!$C$1:C1001, 0)</f>
        <v>M</v>
      </c>
      <c r="K954" s="4" cm="1">
        <f t="array" ref="K954">_xlfn.XLOOKUP(D954, products!$A$1:A1001, products!$D$1:D1001, 0)</f>
        <v>1</v>
      </c>
      <c r="L954" s="4" cm="1">
        <f t="array" ref="L954">_xlfn.XLOOKUP(D954, products!$A$1:A1001, products!$E$1:E1001)</f>
        <v>11.25</v>
      </c>
      <c r="M954">
        <f t="shared" si="28"/>
        <v>22.5</v>
      </c>
      <c r="N954" t="str">
        <f t="shared" si="29"/>
        <v>Arabica</v>
      </c>
      <c r="O954" t="str" cm="1">
        <f t="array" ref="O954">_xlfn.IFS(J954="M", "Medium", J954="L", "Light", J954="D", "Dark")</f>
        <v>Medium</v>
      </c>
      <c r="P954" t="str">
        <f>_xlfn.XLOOKUP(Orders[[#This Row],[Customer ID]], customers!$A$2:$A$1001, customers!$I$2:$I$1001, 0)</f>
        <v>Yes</v>
      </c>
    </row>
    <row r="955" spans="1:16" x14ac:dyDescent="0.35">
      <c r="A955" s="2" t="s">
        <v>5878</v>
      </c>
      <c r="B955" s="3">
        <v>44582</v>
      </c>
      <c r="C955" s="2" t="s">
        <v>5764</v>
      </c>
      <c r="D955" t="s">
        <v>6167</v>
      </c>
      <c r="E955" s="2">
        <v>1</v>
      </c>
      <c r="F955" s="2" t="str" cm="1">
        <f t="array" ref="F955">_xlfn.XLOOKUP(C955, customers!$A$1:A1954, customers!$B$1:B1954, 0)</f>
        <v>Brenn Dundredge</v>
      </c>
      <c r="G955" s="2" t="str">
        <f>IF(_xlfn.XLOOKUP(C955, customers!A954:A1954, customers!C954:C1954, 0)=0, "", _xlfn.XLOOKUP(C955, customers!A954:A1954, customers!C954:C1954, 0))</f>
        <v/>
      </c>
      <c r="H955" s="2" t="str" cm="1">
        <f t="array" ref="H955">_xlfn.XLOOKUP(C955, customers!$A$1:A1954, customers!$G$1:G1954,, 0)</f>
        <v>United States</v>
      </c>
      <c r="I955" t="str" cm="1">
        <f t="array" ref="I955">_xlfn.XLOOKUP(orders!D955, products!$A$1:A1002, products!$B$1:B1002, 0)</f>
        <v>Ara</v>
      </c>
      <c r="J955" t="str" cm="1">
        <f t="array" ref="J955">_xlfn.XLOOKUP(D955, products!$A$1:A1002, products!$C$1:C1002, 0)</f>
        <v>L</v>
      </c>
      <c r="K955" s="4" cm="1">
        <f t="array" ref="K955">_xlfn.XLOOKUP(D955, products!$A$1:A1002, products!$D$1:D1002, 0)</f>
        <v>0.2</v>
      </c>
      <c r="L955" s="4" cm="1">
        <f t="array" ref="L955">_xlfn.XLOOKUP(D955, products!$A$1:A1002, products!$E$1:E1002)</f>
        <v>3.8849999999999998</v>
      </c>
      <c r="M955">
        <f t="shared" si="28"/>
        <v>3.8849999999999998</v>
      </c>
      <c r="N955" t="str">
        <f t="shared" si="29"/>
        <v>Arabica</v>
      </c>
      <c r="O955" t="str" cm="1">
        <f t="array" ref="O955">_xlfn.IFS(J955="M", "Medium", J955="L", "Light", J955="D", "Dark")</f>
        <v>Light</v>
      </c>
      <c r="P955" t="str">
        <f>_xlfn.XLOOKUP(Orders[[#This Row],[Customer ID]], customers!$A$2:$A$1001, customers!$I$2:$I$1001, 0)</f>
        <v>Yes</v>
      </c>
    </row>
    <row r="956" spans="1:16" x14ac:dyDescent="0.35">
      <c r="A956" s="2" t="s">
        <v>5884</v>
      </c>
      <c r="B956" s="3">
        <v>44722</v>
      </c>
      <c r="C956" s="2" t="s">
        <v>5764</v>
      </c>
      <c r="D956" t="s">
        <v>6185</v>
      </c>
      <c r="E956" s="2">
        <v>1</v>
      </c>
      <c r="F956" s="2" t="str" cm="1">
        <f t="array" ref="F956">_xlfn.XLOOKUP(C956, customers!$A$1:A1955, customers!$B$1:B1955, 0)</f>
        <v>Brenn Dundredge</v>
      </c>
      <c r="G956" s="2" t="str">
        <f>IF(_xlfn.XLOOKUP(C956, customers!A955:A1955, customers!C955:C1955, 0)=0, "", _xlfn.XLOOKUP(C956, customers!A955:A1955, customers!C955:C1955, 0))</f>
        <v/>
      </c>
      <c r="H956" s="2" t="str" cm="1">
        <f t="array" ref="H956">_xlfn.XLOOKUP(C956, customers!$A$1:A1955, customers!$G$1:G1955,, 0)</f>
        <v>United States</v>
      </c>
      <c r="I956" t="str" cm="1">
        <f t="array" ref="I956">_xlfn.XLOOKUP(orders!D956, products!$A$1:A1003, products!$B$1:B1003, 0)</f>
        <v>Exc</v>
      </c>
      <c r="J956" t="str" cm="1">
        <f t="array" ref="J956">_xlfn.XLOOKUP(D956, products!$A$1:A1003, products!$C$1:C1003, 0)</f>
        <v>D</v>
      </c>
      <c r="K956" s="4" cm="1">
        <f t="array" ref="K956">_xlfn.XLOOKUP(D956, products!$A$1:A1003, products!$D$1:D1003, 0)</f>
        <v>2.5</v>
      </c>
      <c r="L956" s="4" cm="1">
        <f t="array" ref="L956">_xlfn.XLOOKUP(D956, products!$A$1:A1003, products!$E$1:E1003)</f>
        <v>27.945</v>
      </c>
      <c r="M956">
        <f t="shared" si="28"/>
        <v>27.945</v>
      </c>
      <c r="N956" t="str">
        <f t="shared" si="29"/>
        <v>Excelsa</v>
      </c>
      <c r="O956" t="str" cm="1">
        <f t="array" ref="O956">_xlfn.IFS(J956="M", "Medium", J956="L", "Light", J956="D", "Dark")</f>
        <v>Dark</v>
      </c>
      <c r="P956" t="str">
        <f>_xlfn.XLOOKUP(Orders[[#This Row],[Customer ID]], customers!$A$2:$A$1001, customers!$I$2:$I$1001, 0)</f>
        <v>Yes</v>
      </c>
    </row>
    <row r="957" spans="1:16" x14ac:dyDescent="0.35">
      <c r="A957" s="2" t="s">
        <v>5890</v>
      </c>
      <c r="B957" s="3">
        <v>43582</v>
      </c>
      <c r="C957" s="2" t="s">
        <v>5764</v>
      </c>
      <c r="D957" t="s">
        <v>6148</v>
      </c>
      <c r="E957" s="2">
        <v>5</v>
      </c>
      <c r="F957" s="2" t="str" cm="1">
        <f t="array" ref="F957">_xlfn.XLOOKUP(C957, customers!$A$1:A1956, customers!$B$1:B1956, 0)</f>
        <v>Brenn Dundredge</v>
      </c>
      <c r="G957" s="2" t="str">
        <f>IF(_xlfn.XLOOKUP(C957, customers!A956:A1956, customers!C956:C1956, 0)=0, "", _xlfn.XLOOKUP(C957, customers!A956:A1956, customers!C956:C1956, 0))</f>
        <v/>
      </c>
      <c r="H957" s="2" t="str" cm="1">
        <f t="array" ref="H957">_xlfn.XLOOKUP(C957, customers!$A$1:A1956, customers!$G$1:G1956,, 0)</f>
        <v>United States</v>
      </c>
      <c r="I957" t="str" cm="1">
        <f t="array" ref="I957">_xlfn.XLOOKUP(orders!D957, products!$A$1:A1004, products!$B$1:B1004, 0)</f>
        <v>Exc</v>
      </c>
      <c r="J957" t="str" cm="1">
        <f t="array" ref="J957">_xlfn.XLOOKUP(D957, products!$A$1:A1004, products!$C$1:C1004, 0)</f>
        <v>L</v>
      </c>
      <c r="K957" s="4" cm="1">
        <f t="array" ref="K957">_xlfn.XLOOKUP(D957, products!$A$1:A1004, products!$D$1:D1004, 0)</f>
        <v>2.5</v>
      </c>
      <c r="L957" s="4" cm="1">
        <f t="array" ref="L957">_xlfn.XLOOKUP(D957, products!$A$1:A1004, products!$E$1:E1004)</f>
        <v>34.154999999999994</v>
      </c>
      <c r="M957">
        <f t="shared" si="28"/>
        <v>170.77499999999998</v>
      </c>
      <c r="N957" t="str">
        <f t="shared" si="29"/>
        <v>Excelsa</v>
      </c>
      <c r="O957" t="str" cm="1">
        <f t="array" ref="O957">_xlfn.IFS(J957="M", "Medium", J957="L", "Light", J957="D", "Dark")</f>
        <v>Light</v>
      </c>
      <c r="P957" t="str">
        <f>_xlfn.XLOOKUP(Orders[[#This Row],[Customer ID]], customers!$A$2:$A$1001, customers!$I$2:$I$1001, 0)</f>
        <v>Yes</v>
      </c>
    </row>
    <row r="958" spans="1:16" x14ac:dyDescent="0.35">
      <c r="A958" s="2" t="s">
        <v>5890</v>
      </c>
      <c r="B958" s="3">
        <v>43582</v>
      </c>
      <c r="C958" s="2" t="s">
        <v>5764</v>
      </c>
      <c r="D958" t="s">
        <v>6142</v>
      </c>
      <c r="E958" s="2">
        <v>2</v>
      </c>
      <c r="F958" s="2" t="str" cm="1">
        <f t="array" ref="F958">_xlfn.XLOOKUP(C958, customers!$A$1:A1957, customers!$B$1:B1957, 0)</f>
        <v>Brenn Dundredge</v>
      </c>
      <c r="G958" s="2" t="str">
        <f>IF(_xlfn.XLOOKUP(C958, customers!A957:A1957, customers!C957:C1957, 0)=0, "", _xlfn.XLOOKUP(C958, customers!A957:A1957, customers!C957:C1957, 0))</f>
        <v/>
      </c>
      <c r="H958" s="2" t="str" cm="1">
        <f t="array" ref="H958">_xlfn.XLOOKUP(C958, customers!$A$1:A1957, customers!$G$1:G1957,, 0)</f>
        <v>United States</v>
      </c>
      <c r="I958" t="str" cm="1">
        <f t="array" ref="I958">_xlfn.XLOOKUP(orders!D958, products!$A$1:A1005, products!$B$1:B1005, 0)</f>
        <v>Rob</v>
      </c>
      <c r="J958" t="str" cm="1">
        <f t="array" ref="J958">_xlfn.XLOOKUP(D958, products!$A$1:A1005, products!$C$1:C1005, 0)</f>
        <v>L</v>
      </c>
      <c r="K958" s="4" cm="1">
        <f t="array" ref="K958">_xlfn.XLOOKUP(D958, products!$A$1:A1005, products!$D$1:D1005, 0)</f>
        <v>2.5</v>
      </c>
      <c r="L958" s="4" cm="1">
        <f t="array" ref="L958">_xlfn.XLOOKUP(D958, products!$A$1:A1005, products!$E$1:E1005)</f>
        <v>27.484999999999996</v>
      </c>
      <c r="M958">
        <f t="shared" si="28"/>
        <v>54.969999999999992</v>
      </c>
      <c r="N958" t="str">
        <f t="shared" si="29"/>
        <v>Robusta</v>
      </c>
      <c r="O958" t="str" cm="1">
        <f t="array" ref="O958">_xlfn.IFS(J958="M", "Medium", J958="L", "Light", J958="D", "Dark")</f>
        <v>Light</v>
      </c>
      <c r="P958" t="str">
        <f>_xlfn.XLOOKUP(Orders[[#This Row],[Customer ID]], customers!$A$2:$A$1001, customers!$I$2:$I$1001, 0)</f>
        <v>Yes</v>
      </c>
    </row>
    <row r="959" spans="1:16" x14ac:dyDescent="0.35">
      <c r="A959" s="2" t="s">
        <v>5890</v>
      </c>
      <c r="B959" s="3">
        <v>43582</v>
      </c>
      <c r="C959" s="2" t="s">
        <v>5764</v>
      </c>
      <c r="D959" t="s">
        <v>6171</v>
      </c>
      <c r="E959" s="2">
        <v>1</v>
      </c>
      <c r="F959" s="2" t="str" cm="1">
        <f t="array" ref="F959">_xlfn.XLOOKUP(C959, customers!$A$1:A1958, customers!$B$1:B1958, 0)</f>
        <v>Brenn Dundredge</v>
      </c>
      <c r="G959" s="2" t="str">
        <f>IF(_xlfn.XLOOKUP(C959, customers!A958:A1958, customers!C958:C1958, 0)=0, "", _xlfn.XLOOKUP(C959, customers!A958:A1958, customers!C958:C1958, 0))</f>
        <v/>
      </c>
      <c r="H959" s="2" t="str" cm="1">
        <f t="array" ref="H959">_xlfn.XLOOKUP(C959, customers!$A$1:A1958, customers!$G$1:G1958,, 0)</f>
        <v>United States</v>
      </c>
      <c r="I959" t="str" cm="1">
        <f t="array" ref="I959">_xlfn.XLOOKUP(orders!D959, products!$A$1:A1006, products!$B$1:B1006, 0)</f>
        <v>Exc</v>
      </c>
      <c r="J959" t="str" cm="1">
        <f t="array" ref="J959">_xlfn.XLOOKUP(D959, products!$A$1:A1006, products!$C$1:C1006, 0)</f>
        <v>L</v>
      </c>
      <c r="K959" s="4" cm="1">
        <f t="array" ref="K959">_xlfn.XLOOKUP(D959, products!$A$1:A1006, products!$D$1:D1006, 0)</f>
        <v>1</v>
      </c>
      <c r="L959" s="4" cm="1">
        <f t="array" ref="L959">_xlfn.XLOOKUP(D959, products!$A$1:A1006, products!$E$1:E1006)</f>
        <v>14.85</v>
      </c>
      <c r="M959">
        <f t="shared" si="28"/>
        <v>14.85</v>
      </c>
      <c r="N959" t="str">
        <f t="shared" si="29"/>
        <v>Excelsa</v>
      </c>
      <c r="O959" t="str" cm="1">
        <f t="array" ref="O959">_xlfn.IFS(J959="M", "Medium", J959="L", "Light", J959="D", "Dark")</f>
        <v>Light</v>
      </c>
      <c r="P959" t="str">
        <f>_xlfn.XLOOKUP(Orders[[#This Row],[Customer ID]], customers!$A$2:$A$1001, customers!$I$2:$I$1001, 0)</f>
        <v>Yes</v>
      </c>
    </row>
    <row r="960" spans="1:16" x14ac:dyDescent="0.35">
      <c r="A960" s="2" t="s">
        <v>5890</v>
      </c>
      <c r="B960" s="3">
        <v>43582</v>
      </c>
      <c r="C960" s="2" t="s">
        <v>5764</v>
      </c>
      <c r="D960" t="s">
        <v>6167</v>
      </c>
      <c r="E960" s="2">
        <v>2</v>
      </c>
      <c r="F960" s="2" t="str" cm="1">
        <f t="array" ref="F960">_xlfn.XLOOKUP(C960, customers!$A$1:A1959, customers!$B$1:B1959, 0)</f>
        <v>Brenn Dundredge</v>
      </c>
      <c r="G960" s="2" t="str">
        <f>IF(_xlfn.XLOOKUP(C960, customers!A959:A1959, customers!C959:C1959, 0)=0, "", _xlfn.XLOOKUP(C960, customers!A959:A1959, customers!C959:C1959, 0))</f>
        <v/>
      </c>
      <c r="H960" s="2" t="str" cm="1">
        <f t="array" ref="H960">_xlfn.XLOOKUP(C960, customers!$A$1:A1959, customers!$G$1:G1959,, 0)</f>
        <v>United States</v>
      </c>
      <c r="I960" t="str" cm="1">
        <f t="array" ref="I960">_xlfn.XLOOKUP(orders!D960, products!$A$1:A1007, products!$B$1:B1007, 0)</f>
        <v>Ara</v>
      </c>
      <c r="J960" t="str" cm="1">
        <f t="array" ref="J960">_xlfn.XLOOKUP(D960, products!$A$1:A1007, products!$C$1:C1007, 0)</f>
        <v>L</v>
      </c>
      <c r="K960" s="4" cm="1">
        <f t="array" ref="K960">_xlfn.XLOOKUP(D960, products!$A$1:A1007, products!$D$1:D1007, 0)</f>
        <v>0.2</v>
      </c>
      <c r="L960" s="4" cm="1">
        <f t="array" ref="L960">_xlfn.XLOOKUP(D960, products!$A$1:A1007, products!$E$1:E1007)</f>
        <v>3.8849999999999998</v>
      </c>
      <c r="M960">
        <f t="shared" si="28"/>
        <v>7.77</v>
      </c>
      <c r="N960" t="str">
        <f t="shared" si="29"/>
        <v>Arabica</v>
      </c>
      <c r="O960" t="str" cm="1">
        <f t="array" ref="O960">_xlfn.IFS(J960="M", "Medium", J960="L", "Light", J960="D", "Dark")</f>
        <v>Light</v>
      </c>
      <c r="P960" t="str">
        <f>_xlfn.XLOOKUP(Orders[[#This Row],[Customer ID]], customers!$A$2:$A$1001, customers!$I$2:$I$1001, 0)</f>
        <v>Yes</v>
      </c>
    </row>
    <row r="961" spans="1:16" x14ac:dyDescent="0.35">
      <c r="A961" s="2" t="s">
        <v>5910</v>
      </c>
      <c r="B961" s="3">
        <v>44598</v>
      </c>
      <c r="C961" s="2" t="s">
        <v>5911</v>
      </c>
      <c r="D961" t="s">
        <v>6145</v>
      </c>
      <c r="E961" s="2">
        <v>5</v>
      </c>
      <c r="F961" s="2" t="str" cm="1">
        <f t="array" ref="F961">_xlfn.XLOOKUP(C961, customers!$A$1:A1960, customers!$B$1:B1960, 0)</f>
        <v>Rhodie Strathern</v>
      </c>
      <c r="G961" s="2" t="str">
        <f>IF(_xlfn.XLOOKUP(C961, customers!A960:A1960, customers!C960:C1960, 0)=0, "", _xlfn.XLOOKUP(C961, customers!A960:A1960, customers!C960:C1960, 0))</f>
        <v>rstrathernqn@devhub.com</v>
      </c>
      <c r="H961" s="2" t="str" cm="1">
        <f t="array" ref="H961">_xlfn.XLOOKUP(C961, customers!$A$1:A1960, customers!$G$1:G1960,, 0)</f>
        <v>United States</v>
      </c>
      <c r="I961" t="str" cm="1">
        <f t="array" ref="I961">_xlfn.XLOOKUP(orders!D961, products!$A$1:A1008, products!$B$1:B1008, 0)</f>
        <v>Lib</v>
      </c>
      <c r="J961" t="str" cm="1">
        <f t="array" ref="J961">_xlfn.XLOOKUP(D961, products!$A$1:A1008, products!$C$1:C1008, 0)</f>
        <v>L</v>
      </c>
      <c r="K961" s="4" cm="1">
        <f t="array" ref="K961">_xlfn.XLOOKUP(D961, products!$A$1:A1008, products!$D$1:D1008, 0)</f>
        <v>0.2</v>
      </c>
      <c r="L961" s="4" cm="1">
        <f t="array" ref="L961">_xlfn.XLOOKUP(D961, products!$A$1:A1008, products!$E$1:E1008)</f>
        <v>4.7549999999999999</v>
      </c>
      <c r="M961">
        <f t="shared" si="28"/>
        <v>23.774999999999999</v>
      </c>
      <c r="N961" t="str">
        <f t="shared" si="29"/>
        <v>Liberica</v>
      </c>
      <c r="O961" t="str" cm="1">
        <f t="array" ref="O961">_xlfn.IFS(J961="M", "Medium", J961="L", "Light", J961="D", "Dark")</f>
        <v>Light</v>
      </c>
      <c r="P961" t="str">
        <f>_xlfn.XLOOKUP(Orders[[#This Row],[Customer ID]], customers!$A$2:$A$1001, customers!$I$2:$I$1001, 0)</f>
        <v>Yes</v>
      </c>
    </row>
    <row r="962" spans="1:16" x14ac:dyDescent="0.35">
      <c r="A962" s="2" t="s">
        <v>5915</v>
      </c>
      <c r="B962" s="3">
        <v>44591</v>
      </c>
      <c r="C962" s="2" t="s">
        <v>5916</v>
      </c>
      <c r="D962" t="s">
        <v>6170</v>
      </c>
      <c r="E962" s="2">
        <v>5</v>
      </c>
      <c r="F962" s="2" t="str" cm="1">
        <f t="array" ref="F962">_xlfn.XLOOKUP(C962, customers!$A$1:A1961, customers!$B$1:B1961, 0)</f>
        <v>Chad Miguel</v>
      </c>
      <c r="G962" s="2" t="str">
        <f>IF(_xlfn.XLOOKUP(C962, customers!A961:A1961, customers!C961:C1961, 0)=0, "", _xlfn.XLOOKUP(C962, customers!A961:A1961, customers!C961:C1961, 0))</f>
        <v>cmiguelqo@exblog.jp</v>
      </c>
      <c r="H962" s="2" t="str" cm="1">
        <f t="array" ref="H962">_xlfn.XLOOKUP(C962, customers!$A$1:A1961, customers!$G$1:G1961,, 0)</f>
        <v>United States</v>
      </c>
      <c r="I962" t="str" cm="1">
        <f t="array" ref="I962">_xlfn.XLOOKUP(orders!D962, products!$A$1:A1009, products!$B$1:B1009, 0)</f>
        <v>Lib</v>
      </c>
      <c r="J962" t="str" cm="1">
        <f t="array" ref="J962">_xlfn.XLOOKUP(D962, products!$A$1:A1009, products!$C$1:C1009, 0)</f>
        <v>L</v>
      </c>
      <c r="K962" s="4" cm="1">
        <f t="array" ref="K962">_xlfn.XLOOKUP(D962, products!$A$1:A1009, products!$D$1:D1009, 0)</f>
        <v>1</v>
      </c>
      <c r="L962" s="4" cm="1">
        <f t="array" ref="L962">_xlfn.XLOOKUP(D962, products!$A$1:A1009, products!$E$1:E1009)</f>
        <v>15.85</v>
      </c>
      <c r="M962">
        <f t="shared" si="28"/>
        <v>79.25</v>
      </c>
      <c r="N962" t="str">
        <f t="shared" si="29"/>
        <v>Liberica</v>
      </c>
      <c r="O962" t="str" cm="1">
        <f t="array" ref="O962">_xlfn.IFS(J962="M", "Medium", J962="L", "Light", J962="D", "Dark")</f>
        <v>Light</v>
      </c>
      <c r="P962" t="str">
        <f>_xlfn.XLOOKUP(Orders[[#This Row],[Customer ID]], customers!$A$2:$A$1001, customers!$I$2:$I$1001, 0)</f>
        <v>Yes</v>
      </c>
    </row>
    <row r="963" spans="1:16" x14ac:dyDescent="0.35">
      <c r="A963" s="2" t="s">
        <v>5921</v>
      </c>
      <c r="B963" s="3">
        <v>44158</v>
      </c>
      <c r="C963" s="2" t="s">
        <v>5922</v>
      </c>
      <c r="D963" t="s">
        <v>6168</v>
      </c>
      <c r="E963" s="2">
        <v>2</v>
      </c>
      <c r="F963" s="2" t="str" cm="1">
        <f t="array" ref="F963">_xlfn.XLOOKUP(C963, customers!$A$1:A1962, customers!$B$1:B1962, 0)</f>
        <v>Florinda Matusovsky</v>
      </c>
      <c r="G963" s="2" t="str">
        <f>IF(_xlfn.XLOOKUP(C963, customers!A962:A1962, customers!C962:C1962, 0)=0, "", _xlfn.XLOOKUP(C963, customers!A962:A1962, customers!C962:C1962, 0))</f>
        <v/>
      </c>
      <c r="H963" s="2" t="str" cm="1">
        <f t="array" ref="H963">_xlfn.XLOOKUP(C963, customers!$A$1:A1962, customers!$G$1:G1962,, 0)</f>
        <v>United States</v>
      </c>
      <c r="I963" t="str" cm="1">
        <f t="array" ref="I963">_xlfn.XLOOKUP(orders!D963, products!$A$1:A1010, products!$B$1:B1010, 0)</f>
        <v>Ara</v>
      </c>
      <c r="J963" t="str" cm="1">
        <f t="array" ref="J963">_xlfn.XLOOKUP(D963, products!$A$1:A1010, products!$C$1:C1010, 0)</f>
        <v>D</v>
      </c>
      <c r="K963" s="4" cm="1">
        <f t="array" ref="K963">_xlfn.XLOOKUP(D963, products!$A$1:A1010, products!$D$1:D1010, 0)</f>
        <v>2.5</v>
      </c>
      <c r="L963" s="4" cm="1">
        <f t="array" ref="L963">_xlfn.XLOOKUP(D963, products!$A$1:A1010, products!$E$1:E1010)</f>
        <v>22.884999999999998</v>
      </c>
      <c r="M963">
        <f t="shared" ref="M963:M1001" si="30">L963*E963</f>
        <v>45.769999999999996</v>
      </c>
      <c r="N963" t="str">
        <f t="shared" ref="N963:N1001" si="31">IF(I963="Rob", "Robusta", IF(I963="Exc", "Excelsa", IF(I963="Ara", "Arabica", IF(I963="Lib", "Liberica", ""))))</f>
        <v>Arabica</v>
      </c>
      <c r="O963" t="str" cm="1">
        <f t="array" ref="O963">_xlfn.IFS(J963="M", "Medium", J963="L", "Light", J963="D", "Dark")</f>
        <v>Dark</v>
      </c>
      <c r="P963" t="str">
        <f>_xlfn.XLOOKUP(Orders[[#This Row],[Customer ID]], customers!$A$2:$A$1001, customers!$I$2:$I$1001, 0)</f>
        <v>Yes</v>
      </c>
    </row>
    <row r="964" spans="1:16" x14ac:dyDescent="0.35">
      <c r="A964" s="2" t="s">
        <v>5926</v>
      </c>
      <c r="B964" s="3">
        <v>44664</v>
      </c>
      <c r="C964" s="2" t="s">
        <v>5927</v>
      </c>
      <c r="D964" t="s">
        <v>6177</v>
      </c>
      <c r="E964" s="2">
        <v>1</v>
      </c>
      <c r="F964" s="2" t="str" cm="1">
        <f t="array" ref="F964">_xlfn.XLOOKUP(C964, customers!$A$1:A1963, customers!$B$1:B1963, 0)</f>
        <v>Morly Rocks</v>
      </c>
      <c r="G964" s="2" t="str">
        <f>IF(_xlfn.XLOOKUP(C964, customers!A963:A1963, customers!C963:C1963, 0)=0, "", _xlfn.XLOOKUP(C964, customers!A963:A1963, customers!C963:C1963, 0))</f>
        <v>mrocksqq@exblog.jp</v>
      </c>
      <c r="H964" s="2" t="str" cm="1">
        <f t="array" ref="H964">_xlfn.XLOOKUP(C964, customers!$A$1:A1963, customers!$G$1:G1963,, 0)</f>
        <v>Ireland</v>
      </c>
      <c r="I964" t="str" cm="1">
        <f t="array" ref="I964">_xlfn.XLOOKUP(orders!D964, products!$A$1:A1011, products!$B$1:B1011, 0)</f>
        <v>Rob</v>
      </c>
      <c r="J964" t="str" cm="1">
        <f t="array" ref="J964">_xlfn.XLOOKUP(D964, products!$A$1:A1011, products!$C$1:C1011, 0)</f>
        <v>D</v>
      </c>
      <c r="K964" s="4" cm="1">
        <f t="array" ref="K964">_xlfn.XLOOKUP(D964, products!$A$1:A1011, products!$D$1:D1011, 0)</f>
        <v>1</v>
      </c>
      <c r="L964" s="4" cm="1">
        <f t="array" ref="L964">_xlfn.XLOOKUP(D964, products!$A$1:A1011, products!$E$1:E1011)</f>
        <v>8.9499999999999993</v>
      </c>
      <c r="M964">
        <f t="shared" si="30"/>
        <v>8.9499999999999993</v>
      </c>
      <c r="N964" t="str">
        <f t="shared" si="31"/>
        <v>Robusta</v>
      </c>
      <c r="O964" t="str" cm="1">
        <f t="array" ref="O964">_xlfn.IFS(J964="M", "Medium", J964="L", "Light", J964="D", "Dark")</f>
        <v>Dark</v>
      </c>
      <c r="P964" t="str">
        <f>_xlfn.XLOOKUP(Orders[[#This Row],[Customer ID]], customers!$A$2:$A$1001, customers!$I$2:$I$1001, 0)</f>
        <v>Yes</v>
      </c>
    </row>
    <row r="965" spans="1:16" x14ac:dyDescent="0.35">
      <c r="A965" s="2" t="s">
        <v>5932</v>
      </c>
      <c r="B965" s="3">
        <v>44203</v>
      </c>
      <c r="C965" s="2" t="s">
        <v>5933</v>
      </c>
      <c r="D965" t="s">
        <v>6146</v>
      </c>
      <c r="E965" s="2">
        <v>4</v>
      </c>
      <c r="F965" s="2" t="str" cm="1">
        <f t="array" ref="F965">_xlfn.XLOOKUP(C965, customers!$A$1:A1964, customers!$B$1:B1964, 0)</f>
        <v>Yuri Burrells</v>
      </c>
      <c r="G965" s="2" t="str">
        <f>IF(_xlfn.XLOOKUP(C965, customers!A964:A1964, customers!C964:C1964, 0)=0, "", _xlfn.XLOOKUP(C965, customers!A964:A1964, customers!C964:C1964, 0))</f>
        <v>yburrellsqr@vinaora.com</v>
      </c>
      <c r="H965" s="2" t="str" cm="1">
        <f t="array" ref="H965">_xlfn.XLOOKUP(C965, customers!$A$1:A1964, customers!$G$1:G1964,, 0)</f>
        <v>United States</v>
      </c>
      <c r="I965" t="str" cm="1">
        <f t="array" ref="I965">_xlfn.XLOOKUP(orders!D965, products!$A$1:A1012, products!$B$1:B1012, 0)</f>
        <v>Rob</v>
      </c>
      <c r="J965" t="str" cm="1">
        <f t="array" ref="J965">_xlfn.XLOOKUP(D965, products!$A$1:A1012, products!$C$1:C1012, 0)</f>
        <v>M</v>
      </c>
      <c r="K965" s="4" cm="1">
        <f t="array" ref="K965">_xlfn.XLOOKUP(D965, products!$A$1:A1012, products!$D$1:D1012, 0)</f>
        <v>0.5</v>
      </c>
      <c r="L965" s="4" cm="1">
        <f t="array" ref="L965">_xlfn.XLOOKUP(D965, products!$A$1:A1012, products!$E$1:E1012)</f>
        <v>5.97</v>
      </c>
      <c r="M965">
        <f t="shared" si="30"/>
        <v>23.88</v>
      </c>
      <c r="N965" t="str">
        <f t="shared" si="31"/>
        <v>Robusta</v>
      </c>
      <c r="O965" t="str" cm="1">
        <f t="array" ref="O965">_xlfn.IFS(J965="M", "Medium", J965="L", "Light", J965="D", "Dark")</f>
        <v>Medium</v>
      </c>
      <c r="P965" t="str">
        <f>_xlfn.XLOOKUP(Orders[[#This Row],[Customer ID]], customers!$A$2:$A$1001, customers!$I$2:$I$1001, 0)</f>
        <v>Yes</v>
      </c>
    </row>
    <row r="966" spans="1:16" x14ac:dyDescent="0.35">
      <c r="A966" s="2" t="s">
        <v>5938</v>
      </c>
      <c r="B966" s="3">
        <v>43865</v>
      </c>
      <c r="C966" s="2" t="s">
        <v>5939</v>
      </c>
      <c r="D966" t="s">
        <v>6184</v>
      </c>
      <c r="E966" s="2">
        <v>5</v>
      </c>
      <c r="F966" s="2" t="str" cm="1">
        <f t="array" ref="F966">_xlfn.XLOOKUP(C966, customers!$A$1:A1965, customers!$B$1:B1965, 0)</f>
        <v>Cleopatra Goodrum</v>
      </c>
      <c r="G966" s="2" t="str">
        <f>IF(_xlfn.XLOOKUP(C966, customers!A965:A1965, customers!C965:C1965, 0)=0, "", _xlfn.XLOOKUP(C966, customers!A965:A1965, customers!C965:C1965, 0))</f>
        <v>cgoodrumqs@goodreads.com</v>
      </c>
      <c r="H966" s="2" t="str" cm="1">
        <f t="array" ref="H966">_xlfn.XLOOKUP(C966, customers!$A$1:A1965, customers!$G$1:G1965,, 0)</f>
        <v>United States</v>
      </c>
      <c r="I966" t="str" cm="1">
        <f t="array" ref="I966">_xlfn.XLOOKUP(orders!D966, products!$A$1:A1013, products!$B$1:B1013, 0)</f>
        <v>Exc</v>
      </c>
      <c r="J966" t="str" cm="1">
        <f t="array" ref="J966">_xlfn.XLOOKUP(D966, products!$A$1:A1013, products!$C$1:C1013, 0)</f>
        <v>L</v>
      </c>
      <c r="K966" s="4" cm="1">
        <f t="array" ref="K966">_xlfn.XLOOKUP(D966, products!$A$1:A1013, products!$D$1:D1013, 0)</f>
        <v>0.2</v>
      </c>
      <c r="L966" s="4" cm="1">
        <f t="array" ref="L966">_xlfn.XLOOKUP(D966, products!$A$1:A1013, products!$E$1:E1013)</f>
        <v>4.4550000000000001</v>
      </c>
      <c r="M966">
        <f t="shared" si="30"/>
        <v>22.274999999999999</v>
      </c>
      <c r="N966" t="str">
        <f t="shared" si="31"/>
        <v>Excelsa</v>
      </c>
      <c r="O966" t="str" cm="1">
        <f t="array" ref="O966">_xlfn.IFS(J966="M", "Medium", J966="L", "Light", J966="D", "Dark")</f>
        <v>Light</v>
      </c>
      <c r="P966" t="str">
        <f>_xlfn.XLOOKUP(Orders[[#This Row],[Customer ID]], customers!$A$2:$A$1001, customers!$I$2:$I$1001, 0)</f>
        <v>No</v>
      </c>
    </row>
    <row r="967" spans="1:16" x14ac:dyDescent="0.35">
      <c r="A967" s="2" t="s">
        <v>5944</v>
      </c>
      <c r="B967" s="3">
        <v>43724</v>
      </c>
      <c r="C967" s="2" t="s">
        <v>5945</v>
      </c>
      <c r="D967" t="s">
        <v>6138</v>
      </c>
      <c r="E967" s="2">
        <v>3</v>
      </c>
      <c r="F967" s="2" t="str" cm="1">
        <f t="array" ref="F967">_xlfn.XLOOKUP(C967, customers!$A$1:A1966, customers!$B$1:B1966, 0)</f>
        <v>Joey Jefferys</v>
      </c>
      <c r="G967" s="2" t="str">
        <f>IF(_xlfn.XLOOKUP(C967, customers!A966:A1966, customers!C966:C1966, 0)=0, "", _xlfn.XLOOKUP(C967, customers!A966:A1966, customers!C966:C1966, 0))</f>
        <v>jjefferysqt@blog.com</v>
      </c>
      <c r="H967" s="2" t="str" cm="1">
        <f t="array" ref="H967">_xlfn.XLOOKUP(C967, customers!$A$1:A1966, customers!$G$1:G1966,, 0)</f>
        <v>United States</v>
      </c>
      <c r="I967" t="str" cm="1">
        <f t="array" ref="I967">_xlfn.XLOOKUP(orders!D967, products!$A$1:A1014, products!$B$1:B1014, 0)</f>
        <v>Rob</v>
      </c>
      <c r="J967" t="str" cm="1">
        <f t="array" ref="J967">_xlfn.XLOOKUP(D967, products!$A$1:A1014, products!$C$1:C1014, 0)</f>
        <v>M</v>
      </c>
      <c r="K967" s="4" cm="1">
        <f t="array" ref="K967">_xlfn.XLOOKUP(D967, products!$A$1:A1014, products!$D$1:D1014, 0)</f>
        <v>1</v>
      </c>
      <c r="L967" s="4" cm="1">
        <f t="array" ref="L967">_xlfn.XLOOKUP(D967, products!$A$1:A1014, products!$E$1:E1014)</f>
        <v>9.9499999999999993</v>
      </c>
      <c r="M967">
        <f t="shared" si="30"/>
        <v>29.849999999999998</v>
      </c>
      <c r="N967" t="str">
        <f t="shared" si="31"/>
        <v>Robusta</v>
      </c>
      <c r="O967" t="str" cm="1">
        <f t="array" ref="O967">_xlfn.IFS(J967="M", "Medium", J967="L", "Light", J967="D", "Dark")</f>
        <v>Medium</v>
      </c>
      <c r="P967" t="str">
        <f>_xlfn.XLOOKUP(Orders[[#This Row],[Customer ID]], customers!$A$2:$A$1001, customers!$I$2:$I$1001, 0)</f>
        <v>Yes</v>
      </c>
    </row>
    <row r="968" spans="1:16" x14ac:dyDescent="0.35">
      <c r="A968" s="2" t="s">
        <v>5949</v>
      </c>
      <c r="B968" s="3">
        <v>43491</v>
      </c>
      <c r="C968" s="2" t="s">
        <v>5950</v>
      </c>
      <c r="D968" t="s">
        <v>6176</v>
      </c>
      <c r="E968" s="2">
        <v>6</v>
      </c>
      <c r="F968" s="2" t="str" cm="1">
        <f t="array" ref="F968">_xlfn.XLOOKUP(C968, customers!$A$1:A1967, customers!$B$1:B1967, 0)</f>
        <v>Bearnard Wardell</v>
      </c>
      <c r="G968" s="2" t="str">
        <f>IF(_xlfn.XLOOKUP(C968, customers!A967:A1967, customers!C967:C1967, 0)=0, "", _xlfn.XLOOKUP(C968, customers!A967:A1967, customers!C967:C1967, 0))</f>
        <v>bwardellqu@adobe.com</v>
      </c>
      <c r="H968" s="2" t="str" cm="1">
        <f t="array" ref="H968">_xlfn.XLOOKUP(C968, customers!$A$1:A1967, customers!$G$1:G1967,, 0)</f>
        <v>United States</v>
      </c>
      <c r="I968" t="str" cm="1">
        <f t="array" ref="I968">_xlfn.XLOOKUP(orders!D968, products!$A$1:A1015, products!$B$1:B1015, 0)</f>
        <v>Exc</v>
      </c>
      <c r="J968" t="str" cm="1">
        <f t="array" ref="J968">_xlfn.XLOOKUP(D968, products!$A$1:A1015, products!$C$1:C1015, 0)</f>
        <v>L</v>
      </c>
      <c r="K968" s="4" cm="1">
        <f t="array" ref="K968">_xlfn.XLOOKUP(D968, products!$A$1:A1015, products!$D$1:D1015, 0)</f>
        <v>0.5</v>
      </c>
      <c r="L968" s="4" cm="1">
        <f t="array" ref="L968">_xlfn.XLOOKUP(D968, products!$A$1:A1015, products!$E$1:E1015)</f>
        <v>8.91</v>
      </c>
      <c r="M968">
        <f t="shared" si="30"/>
        <v>53.46</v>
      </c>
      <c r="N968" t="str">
        <f t="shared" si="31"/>
        <v>Excelsa</v>
      </c>
      <c r="O968" t="str" cm="1">
        <f t="array" ref="O968">_xlfn.IFS(J968="M", "Medium", J968="L", "Light", J968="D", "Dark")</f>
        <v>Light</v>
      </c>
      <c r="P968" t="str">
        <f>_xlfn.XLOOKUP(Orders[[#This Row],[Customer ID]], customers!$A$2:$A$1001, customers!$I$2:$I$1001, 0)</f>
        <v>Yes</v>
      </c>
    </row>
    <row r="969" spans="1:16" x14ac:dyDescent="0.35">
      <c r="A969" s="2" t="s">
        <v>5955</v>
      </c>
      <c r="B969" s="3">
        <v>44246</v>
      </c>
      <c r="C969" s="2" t="s">
        <v>5956</v>
      </c>
      <c r="D969" t="s">
        <v>6163</v>
      </c>
      <c r="E969" s="2">
        <v>1</v>
      </c>
      <c r="F969" s="2" t="str" cm="1">
        <f t="array" ref="F969">_xlfn.XLOOKUP(C969, customers!$A$1:A1968, customers!$B$1:B1968, 0)</f>
        <v>Zeke Walisiak</v>
      </c>
      <c r="G969" s="2" t="str">
        <f>IF(_xlfn.XLOOKUP(C969, customers!A968:A1968, customers!C968:C1968, 0)=0, "", _xlfn.XLOOKUP(C969, customers!A968:A1968, customers!C968:C1968, 0))</f>
        <v>zwalisiakqv@ucsd.edu</v>
      </c>
      <c r="H969" s="2" t="str" cm="1">
        <f t="array" ref="H969">_xlfn.XLOOKUP(C969, customers!$A$1:A1968, customers!$G$1:G1968,, 0)</f>
        <v>Ireland</v>
      </c>
      <c r="I969" t="str" cm="1">
        <f t="array" ref="I969">_xlfn.XLOOKUP(orders!D969, products!$A$1:A1016, products!$B$1:B1016, 0)</f>
        <v>Rob</v>
      </c>
      <c r="J969" t="str" cm="1">
        <f t="array" ref="J969">_xlfn.XLOOKUP(D969, products!$A$1:A1016, products!$C$1:C1016, 0)</f>
        <v>D</v>
      </c>
      <c r="K969" s="4" cm="1">
        <f t="array" ref="K969">_xlfn.XLOOKUP(D969, products!$A$1:A1016, products!$D$1:D1016, 0)</f>
        <v>0.2</v>
      </c>
      <c r="L969" s="4" cm="1">
        <f t="array" ref="L969">_xlfn.XLOOKUP(D969, products!$A$1:A1016, products!$E$1:E1016)</f>
        <v>2.6849999999999996</v>
      </c>
      <c r="M969">
        <f t="shared" si="30"/>
        <v>2.6849999999999996</v>
      </c>
      <c r="N969" t="str">
        <f t="shared" si="31"/>
        <v>Robusta</v>
      </c>
      <c r="O969" t="str" cm="1">
        <f t="array" ref="O969">_xlfn.IFS(J969="M", "Medium", J969="L", "Light", J969="D", "Dark")</f>
        <v>Dark</v>
      </c>
      <c r="P969" t="str">
        <f>_xlfn.XLOOKUP(Orders[[#This Row],[Customer ID]], customers!$A$2:$A$1001, customers!$I$2:$I$1001, 0)</f>
        <v>Yes</v>
      </c>
    </row>
    <row r="970" spans="1:16" x14ac:dyDescent="0.35">
      <c r="A970" s="2" t="s">
        <v>5961</v>
      </c>
      <c r="B970" s="3">
        <v>44642</v>
      </c>
      <c r="C970" s="2" t="s">
        <v>5962</v>
      </c>
      <c r="D970" t="s">
        <v>6174</v>
      </c>
      <c r="E970" s="2">
        <v>2</v>
      </c>
      <c r="F970" s="2" t="str" cm="1">
        <f t="array" ref="F970">_xlfn.XLOOKUP(C970, customers!$A$1:A1969, customers!$B$1:B1969, 0)</f>
        <v>Wiley Leopold</v>
      </c>
      <c r="G970" s="2" t="str">
        <f>IF(_xlfn.XLOOKUP(C970, customers!A969:A1969, customers!C969:C1969, 0)=0, "", _xlfn.XLOOKUP(C970, customers!A969:A1969, customers!C969:C1969, 0))</f>
        <v>wleopoldqw@blogspot.com</v>
      </c>
      <c r="H970" s="2" t="str" cm="1">
        <f t="array" ref="H970">_xlfn.XLOOKUP(C970, customers!$A$1:A1969, customers!$G$1:G1969,, 0)</f>
        <v>United States</v>
      </c>
      <c r="I970" t="str" cm="1">
        <f t="array" ref="I970">_xlfn.XLOOKUP(orders!D970, products!$A$1:A1017, products!$B$1:B1017, 0)</f>
        <v>Rob</v>
      </c>
      <c r="J970" t="str" cm="1">
        <f t="array" ref="J970">_xlfn.XLOOKUP(D970, products!$A$1:A1017, products!$C$1:C1017, 0)</f>
        <v>M</v>
      </c>
      <c r="K970" s="4" cm="1">
        <f t="array" ref="K970">_xlfn.XLOOKUP(D970, products!$A$1:A1017, products!$D$1:D1017, 0)</f>
        <v>0.2</v>
      </c>
      <c r="L970" s="4" cm="1">
        <f t="array" ref="L970">_xlfn.XLOOKUP(D970, products!$A$1:A1017, products!$E$1:E1017)</f>
        <v>2.9849999999999999</v>
      </c>
      <c r="M970">
        <f t="shared" si="30"/>
        <v>5.97</v>
      </c>
      <c r="N970" t="str">
        <f t="shared" si="31"/>
        <v>Robusta</v>
      </c>
      <c r="O970" t="str" cm="1">
        <f t="array" ref="O970">_xlfn.IFS(J970="M", "Medium", J970="L", "Light", J970="D", "Dark")</f>
        <v>Medium</v>
      </c>
      <c r="P970" t="str">
        <f>_xlfn.XLOOKUP(Orders[[#This Row],[Customer ID]], customers!$A$2:$A$1001, customers!$I$2:$I$1001, 0)</f>
        <v>No</v>
      </c>
    </row>
    <row r="971" spans="1:16" x14ac:dyDescent="0.35">
      <c r="A971" s="2" t="s">
        <v>5967</v>
      </c>
      <c r="B971" s="3">
        <v>43649</v>
      </c>
      <c r="C971" s="2" t="s">
        <v>5968</v>
      </c>
      <c r="D971" t="s">
        <v>6143</v>
      </c>
      <c r="E971" s="2">
        <v>1</v>
      </c>
      <c r="F971" s="2" t="str" cm="1">
        <f t="array" ref="F971">_xlfn.XLOOKUP(C971, customers!$A$1:A1970, customers!$B$1:B1970, 0)</f>
        <v>Chiarra Shalders</v>
      </c>
      <c r="G971" s="2" t="str">
        <f>IF(_xlfn.XLOOKUP(C971, customers!A970:A1970, customers!C970:C1970, 0)=0, "", _xlfn.XLOOKUP(C971, customers!A970:A1970, customers!C970:C1970, 0))</f>
        <v>cshaldersqx@cisco.com</v>
      </c>
      <c r="H971" s="2" t="str" cm="1">
        <f t="array" ref="H971">_xlfn.XLOOKUP(C971, customers!$A$1:A1970, customers!$G$1:G1970,, 0)</f>
        <v>United States</v>
      </c>
      <c r="I971" t="str" cm="1">
        <f t="array" ref="I971">_xlfn.XLOOKUP(orders!D971, products!$A$1:A1018, products!$B$1:B1018, 0)</f>
        <v>Lib</v>
      </c>
      <c r="J971" t="str" cm="1">
        <f t="array" ref="J971">_xlfn.XLOOKUP(D971, products!$A$1:A1018, products!$C$1:C1018, 0)</f>
        <v>D</v>
      </c>
      <c r="K971" s="4" cm="1">
        <f t="array" ref="K971">_xlfn.XLOOKUP(D971, products!$A$1:A1018, products!$D$1:D1018, 0)</f>
        <v>1</v>
      </c>
      <c r="L971" s="4" cm="1">
        <f t="array" ref="L971">_xlfn.XLOOKUP(D971, products!$A$1:A1018, products!$E$1:E1018)</f>
        <v>12.95</v>
      </c>
      <c r="M971">
        <f t="shared" si="30"/>
        <v>12.95</v>
      </c>
      <c r="N971" t="str">
        <f t="shared" si="31"/>
        <v>Liberica</v>
      </c>
      <c r="O971" t="str" cm="1">
        <f t="array" ref="O971">_xlfn.IFS(J971="M", "Medium", J971="L", "Light", J971="D", "Dark")</f>
        <v>Dark</v>
      </c>
      <c r="P971" t="str">
        <f>_xlfn.XLOOKUP(Orders[[#This Row],[Customer ID]], customers!$A$2:$A$1001, customers!$I$2:$I$1001, 0)</f>
        <v>Yes</v>
      </c>
    </row>
    <row r="972" spans="1:16" x14ac:dyDescent="0.35">
      <c r="A972" s="2" t="s">
        <v>5973</v>
      </c>
      <c r="B972" s="3">
        <v>43729</v>
      </c>
      <c r="C972" s="2" t="s">
        <v>5974</v>
      </c>
      <c r="D972" t="s">
        <v>6139</v>
      </c>
      <c r="E972" s="2">
        <v>1</v>
      </c>
      <c r="F972" s="2" t="str" cm="1">
        <f t="array" ref="F972">_xlfn.XLOOKUP(C972, customers!$A$1:A1971, customers!$B$1:B1971, 0)</f>
        <v>Sharl Southerill</v>
      </c>
      <c r="G972" s="2" t="str">
        <f>IF(_xlfn.XLOOKUP(C972, customers!A971:A1971, customers!C971:C1971, 0)=0, "", _xlfn.XLOOKUP(C972, customers!A971:A1971, customers!C971:C1971, 0))</f>
        <v/>
      </c>
      <c r="H972" s="2" t="str" cm="1">
        <f t="array" ref="H972">_xlfn.XLOOKUP(C972, customers!$A$1:A1971, customers!$G$1:G1971,, 0)</f>
        <v>United States</v>
      </c>
      <c r="I972" t="str" cm="1">
        <f t="array" ref="I972">_xlfn.XLOOKUP(orders!D972, products!$A$1:A1019, products!$B$1:B1019, 0)</f>
        <v>Exc</v>
      </c>
      <c r="J972" t="str" cm="1">
        <f t="array" ref="J972">_xlfn.XLOOKUP(D972, products!$A$1:A1019, products!$C$1:C1019, 0)</f>
        <v>M</v>
      </c>
      <c r="K972" s="4" cm="1">
        <f t="array" ref="K972">_xlfn.XLOOKUP(D972, products!$A$1:A1019, products!$D$1:D1019, 0)</f>
        <v>0.5</v>
      </c>
      <c r="L972" s="4" cm="1">
        <f t="array" ref="L972">_xlfn.XLOOKUP(D972, products!$A$1:A1019, products!$E$1:E1019)</f>
        <v>8.25</v>
      </c>
      <c r="M972">
        <f t="shared" si="30"/>
        <v>8.25</v>
      </c>
      <c r="N972" t="str">
        <f t="shared" si="31"/>
        <v>Excelsa</v>
      </c>
      <c r="O972" t="str" cm="1">
        <f t="array" ref="O972">_xlfn.IFS(J972="M", "Medium", J972="L", "Light", J972="D", "Dark")</f>
        <v>Medium</v>
      </c>
      <c r="P972" t="str">
        <f>_xlfn.XLOOKUP(Orders[[#This Row],[Customer ID]], customers!$A$2:$A$1001, customers!$I$2:$I$1001, 0)</f>
        <v>No</v>
      </c>
    </row>
    <row r="973" spans="1:16" x14ac:dyDescent="0.35">
      <c r="A973" s="2" t="s">
        <v>5978</v>
      </c>
      <c r="B973" s="3">
        <v>43703</v>
      </c>
      <c r="C973" s="2" t="s">
        <v>5979</v>
      </c>
      <c r="D973" t="s">
        <v>6182</v>
      </c>
      <c r="E973" s="2">
        <v>5</v>
      </c>
      <c r="F973" s="2" t="str" cm="1">
        <f t="array" ref="F973">_xlfn.XLOOKUP(C973, customers!$A$1:A1972, customers!$B$1:B1972, 0)</f>
        <v>Noni Furber</v>
      </c>
      <c r="G973" s="2" t="str">
        <f>IF(_xlfn.XLOOKUP(C973, customers!A972:A1972, customers!C972:C1972, 0)=0, "", _xlfn.XLOOKUP(C973, customers!A972:A1972, customers!C972:C1972, 0))</f>
        <v>nfurberqz@jugem.jp</v>
      </c>
      <c r="H973" s="2" t="str" cm="1">
        <f t="array" ref="H973">_xlfn.XLOOKUP(C973, customers!$A$1:A1972, customers!$G$1:G1972,, 0)</f>
        <v>United States</v>
      </c>
      <c r="I973" t="str" cm="1">
        <f t="array" ref="I973">_xlfn.XLOOKUP(orders!D973, products!$A$1:A1020, products!$B$1:B1020, 0)</f>
        <v>Ara</v>
      </c>
      <c r="J973" t="str" cm="1">
        <f t="array" ref="J973">_xlfn.XLOOKUP(D973, products!$A$1:A1020, products!$C$1:C1020, 0)</f>
        <v>L</v>
      </c>
      <c r="K973" s="4" cm="1">
        <f t="array" ref="K973">_xlfn.XLOOKUP(D973, products!$A$1:A1020, products!$D$1:D1020, 0)</f>
        <v>2.5</v>
      </c>
      <c r="L973" s="4" cm="1">
        <f t="array" ref="L973">_xlfn.XLOOKUP(D973, products!$A$1:A1020, products!$E$1:E1020)</f>
        <v>29.784999999999997</v>
      </c>
      <c r="M973">
        <f t="shared" si="30"/>
        <v>148.92499999999998</v>
      </c>
      <c r="N973" t="str">
        <f t="shared" si="31"/>
        <v>Arabica</v>
      </c>
      <c r="O973" t="str" cm="1">
        <f t="array" ref="O973">_xlfn.IFS(J973="M", "Medium", J973="L", "Light", J973="D", "Dark")</f>
        <v>Light</v>
      </c>
      <c r="P973" t="str">
        <f>_xlfn.XLOOKUP(Orders[[#This Row],[Customer ID]], customers!$A$2:$A$1001, customers!$I$2:$I$1001, 0)</f>
        <v>No</v>
      </c>
    </row>
    <row r="974" spans="1:16" x14ac:dyDescent="0.35">
      <c r="A974" s="2" t="s">
        <v>5984</v>
      </c>
      <c r="B974" s="3">
        <v>44411</v>
      </c>
      <c r="C974" s="2" t="s">
        <v>5985</v>
      </c>
      <c r="D974" t="s">
        <v>6182</v>
      </c>
      <c r="E974" s="2">
        <v>3</v>
      </c>
      <c r="F974" s="2" t="str" cm="1">
        <f t="array" ref="F974">_xlfn.XLOOKUP(C974, customers!$A$1:A1973, customers!$B$1:B1973, 0)</f>
        <v>Dinah Crutcher</v>
      </c>
      <c r="G974" s="2" t="str">
        <f>IF(_xlfn.XLOOKUP(C974, customers!A973:A1973, customers!C973:C1973, 0)=0, "", _xlfn.XLOOKUP(C974, customers!A973:A1973, customers!C973:C1973, 0))</f>
        <v/>
      </c>
      <c r="H974" s="2" t="str" cm="1">
        <f t="array" ref="H974">_xlfn.XLOOKUP(C974, customers!$A$1:A1973, customers!$G$1:G1973,, 0)</f>
        <v>Ireland</v>
      </c>
      <c r="I974" t="str" cm="1">
        <f t="array" ref="I974">_xlfn.XLOOKUP(orders!D974, products!$A$1:A1021, products!$B$1:B1021, 0)</f>
        <v>Ara</v>
      </c>
      <c r="J974" t="str" cm="1">
        <f t="array" ref="J974">_xlfn.XLOOKUP(D974, products!$A$1:A1021, products!$C$1:C1021, 0)</f>
        <v>L</v>
      </c>
      <c r="K974" s="4" cm="1">
        <f t="array" ref="K974">_xlfn.XLOOKUP(D974, products!$A$1:A1021, products!$D$1:D1021, 0)</f>
        <v>2.5</v>
      </c>
      <c r="L974" s="4" cm="1">
        <f t="array" ref="L974">_xlfn.XLOOKUP(D974, products!$A$1:A1021, products!$E$1:E1021)</f>
        <v>29.784999999999997</v>
      </c>
      <c r="M974">
        <f t="shared" si="30"/>
        <v>89.35499999999999</v>
      </c>
      <c r="N974" t="str">
        <f t="shared" si="31"/>
        <v>Arabica</v>
      </c>
      <c r="O974" t="str" cm="1">
        <f t="array" ref="O974">_xlfn.IFS(J974="M", "Medium", J974="L", "Light", J974="D", "Dark")</f>
        <v>Light</v>
      </c>
      <c r="P974" t="str">
        <f>_xlfn.XLOOKUP(Orders[[#This Row],[Customer ID]], customers!$A$2:$A$1001, customers!$I$2:$I$1001, 0)</f>
        <v>Yes</v>
      </c>
    </row>
    <row r="975" spans="1:16" x14ac:dyDescent="0.35">
      <c r="A975" s="2" t="s">
        <v>5989</v>
      </c>
      <c r="B975" s="3">
        <v>44493</v>
      </c>
      <c r="C975" s="2" t="s">
        <v>5990</v>
      </c>
      <c r="D975" t="s">
        <v>6162</v>
      </c>
      <c r="E975" s="2">
        <v>6</v>
      </c>
      <c r="F975" s="2" t="str" cm="1">
        <f t="array" ref="F975">_xlfn.XLOOKUP(C975, customers!$A$1:A1974, customers!$B$1:B1974, 0)</f>
        <v>Charlean Keave</v>
      </c>
      <c r="G975" s="2" t="str">
        <f>IF(_xlfn.XLOOKUP(C975, customers!A974:A1974, customers!C974:C1974, 0)=0, "", _xlfn.XLOOKUP(C975, customers!A974:A1974, customers!C974:C1974, 0))</f>
        <v>ckeaver1@ucoz.com</v>
      </c>
      <c r="H975" s="2" t="str" cm="1">
        <f t="array" ref="H975">_xlfn.XLOOKUP(C975, customers!$A$1:A1974, customers!$G$1:G1974,, 0)</f>
        <v>United States</v>
      </c>
      <c r="I975" t="str" cm="1">
        <f t="array" ref="I975">_xlfn.XLOOKUP(orders!D975, products!$A$1:A1022, products!$B$1:B1022, 0)</f>
        <v>Lib</v>
      </c>
      <c r="J975" t="str" cm="1">
        <f t="array" ref="J975">_xlfn.XLOOKUP(D975, products!$A$1:A1022, products!$C$1:C1022, 0)</f>
        <v>M</v>
      </c>
      <c r="K975" s="4" cm="1">
        <f t="array" ref="K975">_xlfn.XLOOKUP(D975, products!$A$1:A1022, products!$D$1:D1022, 0)</f>
        <v>1</v>
      </c>
      <c r="L975" s="4" cm="1">
        <f t="array" ref="L975">_xlfn.XLOOKUP(D975, products!$A$1:A1022, products!$E$1:E1022)</f>
        <v>14.55</v>
      </c>
      <c r="M975">
        <f t="shared" si="30"/>
        <v>87.300000000000011</v>
      </c>
      <c r="N975" t="str">
        <f t="shared" si="31"/>
        <v>Liberica</v>
      </c>
      <c r="O975" t="str" cm="1">
        <f t="array" ref="O975">_xlfn.IFS(J975="M", "Medium", J975="L", "Light", J975="D", "Dark")</f>
        <v>Medium</v>
      </c>
      <c r="P975" t="str">
        <f>_xlfn.XLOOKUP(Orders[[#This Row],[Customer ID]], customers!$A$2:$A$1001, customers!$I$2:$I$1001, 0)</f>
        <v>No</v>
      </c>
    </row>
    <row r="976" spans="1:16" x14ac:dyDescent="0.35">
      <c r="A976" s="2" t="s">
        <v>5995</v>
      </c>
      <c r="B976" s="3">
        <v>43556</v>
      </c>
      <c r="C976" s="2" t="s">
        <v>5996</v>
      </c>
      <c r="D976" t="s">
        <v>6172</v>
      </c>
      <c r="E976" s="2">
        <v>1</v>
      </c>
      <c r="F976" s="2" t="str" cm="1">
        <f t="array" ref="F976">_xlfn.XLOOKUP(C976, customers!$A$1:A1975, customers!$B$1:B1975, 0)</f>
        <v>Sada Roseborough</v>
      </c>
      <c r="G976" s="2" t="str">
        <f>IF(_xlfn.XLOOKUP(C976, customers!A975:A1975, customers!C975:C1975, 0)=0, "", _xlfn.XLOOKUP(C976, customers!A975:A1975, customers!C975:C1975, 0))</f>
        <v>sroseboroughr2@virginia.edu</v>
      </c>
      <c r="H976" s="2" t="str" cm="1">
        <f t="array" ref="H976">_xlfn.XLOOKUP(C976, customers!$A$1:A1975, customers!$G$1:G1975,, 0)</f>
        <v>United States</v>
      </c>
      <c r="I976" t="str" cm="1">
        <f t="array" ref="I976">_xlfn.XLOOKUP(orders!D976, products!$A$1:A1023, products!$B$1:B1023, 0)</f>
        <v>Rob</v>
      </c>
      <c r="J976" t="str" cm="1">
        <f t="array" ref="J976">_xlfn.XLOOKUP(D976, products!$A$1:A1023, products!$C$1:C1023, 0)</f>
        <v>D</v>
      </c>
      <c r="K976" s="4" cm="1">
        <f t="array" ref="K976">_xlfn.XLOOKUP(D976, products!$A$1:A1023, products!$D$1:D1023, 0)</f>
        <v>0.5</v>
      </c>
      <c r="L976" s="4" cm="1">
        <f t="array" ref="L976">_xlfn.XLOOKUP(D976, products!$A$1:A1023, products!$E$1:E1023)</f>
        <v>5.3699999999999992</v>
      </c>
      <c r="M976">
        <f t="shared" si="30"/>
        <v>5.3699999999999992</v>
      </c>
      <c r="N976" t="str">
        <f t="shared" si="31"/>
        <v>Robusta</v>
      </c>
      <c r="O976" t="str" cm="1">
        <f t="array" ref="O976">_xlfn.IFS(J976="M", "Medium", J976="L", "Light", J976="D", "Dark")</f>
        <v>Dark</v>
      </c>
      <c r="P976" t="str">
        <f>_xlfn.XLOOKUP(Orders[[#This Row],[Customer ID]], customers!$A$2:$A$1001, customers!$I$2:$I$1001, 0)</f>
        <v>Yes</v>
      </c>
    </row>
    <row r="977" spans="1:16" x14ac:dyDescent="0.35">
      <c r="A977" s="2" t="s">
        <v>6001</v>
      </c>
      <c r="B977" s="3">
        <v>44538</v>
      </c>
      <c r="C977" s="2" t="s">
        <v>6002</v>
      </c>
      <c r="D977" t="s">
        <v>6154</v>
      </c>
      <c r="E977" s="2">
        <v>3</v>
      </c>
      <c r="F977" s="2" t="str" cm="1">
        <f t="array" ref="F977">_xlfn.XLOOKUP(C977, customers!$A$1:A1976, customers!$B$1:B1976, 0)</f>
        <v>Clayton Kingwell</v>
      </c>
      <c r="G977" s="2" t="str">
        <f>IF(_xlfn.XLOOKUP(C977, customers!A976:A1976, customers!C976:C1976, 0)=0, "", _xlfn.XLOOKUP(C977, customers!A976:A1976, customers!C976:C1976, 0))</f>
        <v>ckingwellr3@squarespace.com</v>
      </c>
      <c r="H977" s="2" t="str" cm="1">
        <f t="array" ref="H977">_xlfn.XLOOKUP(C977, customers!$A$1:A1976, customers!$G$1:G1976,, 0)</f>
        <v>Ireland</v>
      </c>
      <c r="I977" t="str" cm="1">
        <f t="array" ref="I977">_xlfn.XLOOKUP(orders!D977, products!$A$1:A1024, products!$B$1:B1024, 0)</f>
        <v>Ara</v>
      </c>
      <c r="J977" t="str" cm="1">
        <f t="array" ref="J977">_xlfn.XLOOKUP(D977, products!$A$1:A1024, products!$C$1:C1024, 0)</f>
        <v>D</v>
      </c>
      <c r="K977" s="4" cm="1">
        <f t="array" ref="K977">_xlfn.XLOOKUP(D977, products!$A$1:A1024, products!$D$1:D1024, 0)</f>
        <v>0.2</v>
      </c>
      <c r="L977" s="4" cm="1">
        <f t="array" ref="L977">_xlfn.XLOOKUP(D977, products!$A$1:A1024, products!$E$1:E1024)</f>
        <v>2.9849999999999999</v>
      </c>
      <c r="M977">
        <f t="shared" si="30"/>
        <v>8.9550000000000001</v>
      </c>
      <c r="N977" t="str">
        <f t="shared" si="31"/>
        <v>Arabica</v>
      </c>
      <c r="O977" t="str" cm="1">
        <f t="array" ref="O977">_xlfn.IFS(J977="M", "Medium", J977="L", "Light", J977="D", "Dark")</f>
        <v>Dark</v>
      </c>
      <c r="P977" t="str">
        <f>_xlfn.XLOOKUP(Orders[[#This Row],[Customer ID]], customers!$A$2:$A$1001, customers!$I$2:$I$1001, 0)</f>
        <v>Yes</v>
      </c>
    </row>
    <row r="978" spans="1:16" x14ac:dyDescent="0.35">
      <c r="A978" s="2" t="s">
        <v>6007</v>
      </c>
      <c r="B978" s="3">
        <v>43643</v>
      </c>
      <c r="C978" s="2" t="s">
        <v>6008</v>
      </c>
      <c r="D978" t="s">
        <v>6142</v>
      </c>
      <c r="E978" s="2">
        <v>5</v>
      </c>
      <c r="F978" s="2" t="str" cm="1">
        <f t="array" ref="F978">_xlfn.XLOOKUP(C978, customers!$A$1:A1977, customers!$B$1:B1977, 0)</f>
        <v>Kacy Canto</v>
      </c>
      <c r="G978" s="2" t="str">
        <f>IF(_xlfn.XLOOKUP(C978, customers!A977:A1977, customers!C977:C1977, 0)=0, "", _xlfn.XLOOKUP(C978, customers!A977:A1977, customers!C977:C1977, 0))</f>
        <v>kcantor4@gmpg.org</v>
      </c>
      <c r="H978" s="2" t="str" cm="1">
        <f t="array" ref="H978">_xlfn.XLOOKUP(C978, customers!$A$1:A1977, customers!$G$1:G1977,, 0)</f>
        <v>United States</v>
      </c>
      <c r="I978" t="str" cm="1">
        <f t="array" ref="I978">_xlfn.XLOOKUP(orders!D978, products!$A$1:A1025, products!$B$1:B1025, 0)</f>
        <v>Rob</v>
      </c>
      <c r="J978" t="str" cm="1">
        <f t="array" ref="J978">_xlfn.XLOOKUP(D978, products!$A$1:A1025, products!$C$1:C1025, 0)</f>
        <v>L</v>
      </c>
      <c r="K978" s="4" cm="1">
        <f t="array" ref="K978">_xlfn.XLOOKUP(D978, products!$A$1:A1025, products!$D$1:D1025, 0)</f>
        <v>2.5</v>
      </c>
      <c r="L978" s="4" cm="1">
        <f t="array" ref="L978">_xlfn.XLOOKUP(D978, products!$A$1:A1025, products!$E$1:E1025)</f>
        <v>27.484999999999996</v>
      </c>
      <c r="M978">
        <f t="shared" si="30"/>
        <v>137.42499999999998</v>
      </c>
      <c r="N978" t="str">
        <f t="shared" si="31"/>
        <v>Robusta</v>
      </c>
      <c r="O978" t="str" cm="1">
        <f t="array" ref="O978">_xlfn.IFS(J978="M", "Medium", J978="L", "Light", J978="D", "Dark")</f>
        <v>Light</v>
      </c>
      <c r="P978" t="str">
        <f>_xlfn.XLOOKUP(Orders[[#This Row],[Customer ID]], customers!$A$2:$A$1001, customers!$I$2:$I$1001, 0)</f>
        <v>Yes</v>
      </c>
    </row>
    <row r="979" spans="1:16" x14ac:dyDescent="0.35">
      <c r="A979" s="2" t="s">
        <v>6013</v>
      </c>
      <c r="B979" s="3">
        <v>44026</v>
      </c>
      <c r="C979" s="2" t="s">
        <v>6014</v>
      </c>
      <c r="D979" t="s">
        <v>6179</v>
      </c>
      <c r="E979" s="2">
        <v>5</v>
      </c>
      <c r="F979" s="2" t="str" cm="1">
        <f t="array" ref="F979">_xlfn.XLOOKUP(C979, customers!$A$1:A1978, customers!$B$1:B1978, 0)</f>
        <v>Mab Blakemore</v>
      </c>
      <c r="G979" s="2" t="str">
        <f>IF(_xlfn.XLOOKUP(C979, customers!A978:A1978, customers!C978:C1978, 0)=0, "", _xlfn.XLOOKUP(C979, customers!A978:A1978, customers!C978:C1978, 0))</f>
        <v>mblakemorer5@nsw.gov.au</v>
      </c>
      <c r="H979" s="2" t="str" cm="1">
        <f t="array" ref="H979">_xlfn.XLOOKUP(C979, customers!$A$1:A1978, customers!$G$1:G1978,, 0)</f>
        <v>United States</v>
      </c>
      <c r="I979" t="str" cm="1">
        <f t="array" ref="I979">_xlfn.XLOOKUP(orders!D979, products!$A$1:A1026, products!$B$1:B1026, 0)</f>
        <v>Rob</v>
      </c>
      <c r="J979" t="str" cm="1">
        <f t="array" ref="J979">_xlfn.XLOOKUP(D979, products!$A$1:A1026, products!$C$1:C1026, 0)</f>
        <v>L</v>
      </c>
      <c r="K979" s="4" cm="1">
        <f t="array" ref="K979">_xlfn.XLOOKUP(D979, products!$A$1:A1026, products!$D$1:D1026, 0)</f>
        <v>1</v>
      </c>
      <c r="L979" s="4" cm="1">
        <f t="array" ref="L979">_xlfn.XLOOKUP(D979, products!$A$1:A1026, products!$E$1:E1026)</f>
        <v>11.95</v>
      </c>
      <c r="M979">
        <f t="shared" si="30"/>
        <v>59.75</v>
      </c>
      <c r="N979" t="str">
        <f t="shared" si="31"/>
        <v>Robusta</v>
      </c>
      <c r="O979" t="str" cm="1">
        <f t="array" ref="O979">_xlfn.IFS(J979="M", "Medium", J979="L", "Light", J979="D", "Dark")</f>
        <v>Light</v>
      </c>
      <c r="P979" t="str">
        <f>_xlfn.XLOOKUP(Orders[[#This Row],[Customer ID]], customers!$A$2:$A$1001, customers!$I$2:$I$1001, 0)</f>
        <v>No</v>
      </c>
    </row>
    <row r="980" spans="1:16" x14ac:dyDescent="0.35">
      <c r="A980" s="2" t="s">
        <v>6019</v>
      </c>
      <c r="B980" s="3">
        <v>43913</v>
      </c>
      <c r="C980" s="2" t="s">
        <v>5990</v>
      </c>
      <c r="D980" t="s">
        <v>6180</v>
      </c>
      <c r="E980" s="2">
        <v>3</v>
      </c>
      <c r="F980" s="2" t="str" cm="1">
        <f t="array" ref="F980">_xlfn.XLOOKUP(C980, customers!$A$1:A1979, customers!$B$1:B1979, 0)</f>
        <v>Charlean Keave</v>
      </c>
      <c r="G980" s="2" t="str">
        <f>IF(_xlfn.XLOOKUP(C980, customers!A979:A1979, customers!C979:C1979, 0)=0, "", _xlfn.XLOOKUP(C980, customers!A979:A1979, customers!C979:C1979, 0))</f>
        <v/>
      </c>
      <c r="H980" s="2" t="str" cm="1">
        <f t="array" ref="H980">_xlfn.XLOOKUP(C980, customers!$A$1:A1979, customers!$G$1:G1979,, 0)</f>
        <v>United States</v>
      </c>
      <c r="I980" t="str" cm="1">
        <f t="array" ref="I980">_xlfn.XLOOKUP(orders!D980, products!$A$1:A1027, products!$B$1:B1027, 0)</f>
        <v>Ara</v>
      </c>
      <c r="J980" t="str" cm="1">
        <f t="array" ref="J980">_xlfn.XLOOKUP(D980, products!$A$1:A1027, products!$C$1:C1027, 0)</f>
        <v>L</v>
      </c>
      <c r="K980" s="4" cm="1">
        <f t="array" ref="K980">_xlfn.XLOOKUP(D980, products!$A$1:A1027, products!$D$1:D1027, 0)</f>
        <v>0.5</v>
      </c>
      <c r="L980" s="4" cm="1">
        <f t="array" ref="L980">_xlfn.XLOOKUP(D980, products!$A$1:A1027, products!$E$1:E1027)</f>
        <v>7.77</v>
      </c>
      <c r="M980">
        <f t="shared" si="30"/>
        <v>23.31</v>
      </c>
      <c r="N980" t="str">
        <f t="shared" si="31"/>
        <v>Arabica</v>
      </c>
      <c r="O980" t="str" cm="1">
        <f t="array" ref="O980">_xlfn.IFS(J980="M", "Medium", J980="L", "Light", J980="D", "Dark")</f>
        <v>Light</v>
      </c>
      <c r="P980" t="str">
        <f>_xlfn.XLOOKUP(Orders[[#This Row],[Customer ID]], customers!$A$2:$A$1001, customers!$I$2:$I$1001, 0)</f>
        <v>No</v>
      </c>
    </row>
    <row r="981" spans="1:16" x14ac:dyDescent="0.35">
      <c r="A981" s="2" t="s">
        <v>6025</v>
      </c>
      <c r="B981" s="3">
        <v>43856</v>
      </c>
      <c r="C981" s="2" t="s">
        <v>6026</v>
      </c>
      <c r="D981" t="s">
        <v>6172</v>
      </c>
      <c r="E981" s="2">
        <v>2</v>
      </c>
      <c r="F981" s="2" t="str" cm="1">
        <f t="array" ref="F981">_xlfn.XLOOKUP(C981, customers!$A$1:A1980, customers!$B$1:B1980, 0)</f>
        <v>Javier Causnett</v>
      </c>
      <c r="G981" s="2" t="str">
        <f>IF(_xlfn.XLOOKUP(C981, customers!A980:A1980, customers!C980:C1980, 0)=0, "", _xlfn.XLOOKUP(C981, customers!A980:A1980, customers!C980:C1980, 0))</f>
        <v/>
      </c>
      <c r="H981" s="2" t="str" cm="1">
        <f t="array" ref="H981">_xlfn.XLOOKUP(C981, customers!$A$1:A1980, customers!$G$1:G1980,, 0)</f>
        <v>United States</v>
      </c>
      <c r="I981" t="str" cm="1">
        <f t="array" ref="I981">_xlfn.XLOOKUP(orders!D981, products!$A$1:A1028, products!$B$1:B1028, 0)</f>
        <v>Rob</v>
      </c>
      <c r="J981" t="str" cm="1">
        <f t="array" ref="J981">_xlfn.XLOOKUP(D981, products!$A$1:A1028, products!$C$1:C1028, 0)</f>
        <v>D</v>
      </c>
      <c r="K981" s="4" cm="1">
        <f t="array" ref="K981">_xlfn.XLOOKUP(D981, products!$A$1:A1028, products!$D$1:D1028, 0)</f>
        <v>0.5</v>
      </c>
      <c r="L981" s="4" cm="1">
        <f t="array" ref="L981">_xlfn.XLOOKUP(D981, products!$A$1:A1028, products!$E$1:E1028)</f>
        <v>5.3699999999999992</v>
      </c>
      <c r="M981">
        <f t="shared" si="30"/>
        <v>10.739999999999998</v>
      </c>
      <c r="N981" t="str">
        <f t="shared" si="31"/>
        <v>Robusta</v>
      </c>
      <c r="O981" t="str" cm="1">
        <f t="array" ref="O981">_xlfn.IFS(J981="M", "Medium", J981="L", "Light", J981="D", "Dark")</f>
        <v>Dark</v>
      </c>
      <c r="P981" t="str">
        <f>_xlfn.XLOOKUP(Orders[[#This Row],[Customer ID]], customers!$A$2:$A$1001, customers!$I$2:$I$1001, 0)</f>
        <v>No</v>
      </c>
    </row>
    <row r="982" spans="1:16" x14ac:dyDescent="0.35">
      <c r="A982" s="2" t="s">
        <v>6030</v>
      </c>
      <c r="B982" s="3">
        <v>43982</v>
      </c>
      <c r="C982" s="2" t="s">
        <v>6031</v>
      </c>
      <c r="D982" t="s">
        <v>6185</v>
      </c>
      <c r="E982" s="2">
        <v>6</v>
      </c>
      <c r="F982" s="2" t="str" cm="1">
        <f t="array" ref="F982">_xlfn.XLOOKUP(C982, customers!$A$1:A1981, customers!$B$1:B1981, 0)</f>
        <v>Demetris Micheli</v>
      </c>
      <c r="G982" s="2" t="str">
        <f>IF(_xlfn.XLOOKUP(C982, customers!A981:A1981, customers!C981:C1981, 0)=0, "", _xlfn.XLOOKUP(C982, customers!A981:A1981, customers!C981:C1981, 0))</f>
        <v/>
      </c>
      <c r="H982" s="2" t="str" cm="1">
        <f t="array" ref="H982">_xlfn.XLOOKUP(C982, customers!$A$1:A1981, customers!$G$1:G1981,, 0)</f>
        <v>United States</v>
      </c>
      <c r="I982" t="str" cm="1">
        <f t="array" ref="I982">_xlfn.XLOOKUP(orders!D982, products!$A$1:A1029, products!$B$1:B1029, 0)</f>
        <v>Exc</v>
      </c>
      <c r="J982" t="str" cm="1">
        <f t="array" ref="J982">_xlfn.XLOOKUP(D982, products!$A$1:A1029, products!$C$1:C1029, 0)</f>
        <v>D</v>
      </c>
      <c r="K982" s="4" cm="1">
        <f t="array" ref="K982">_xlfn.XLOOKUP(D982, products!$A$1:A1029, products!$D$1:D1029, 0)</f>
        <v>2.5</v>
      </c>
      <c r="L982" s="4" cm="1">
        <f t="array" ref="L982">_xlfn.XLOOKUP(D982, products!$A$1:A1029, products!$E$1:E1029)</f>
        <v>27.945</v>
      </c>
      <c r="M982">
        <f t="shared" si="30"/>
        <v>167.67000000000002</v>
      </c>
      <c r="N982" t="str">
        <f t="shared" si="31"/>
        <v>Excelsa</v>
      </c>
      <c r="O982" t="str" cm="1">
        <f t="array" ref="O982">_xlfn.IFS(J982="M", "Medium", J982="L", "Light", J982="D", "Dark")</f>
        <v>Dark</v>
      </c>
      <c r="P982" t="str">
        <f>_xlfn.XLOOKUP(Orders[[#This Row],[Customer ID]], customers!$A$2:$A$1001, customers!$I$2:$I$1001, 0)</f>
        <v>Yes</v>
      </c>
    </row>
    <row r="983" spans="1:16" x14ac:dyDescent="0.35">
      <c r="A983" s="2" t="s">
        <v>6035</v>
      </c>
      <c r="B983" s="3">
        <v>44397</v>
      </c>
      <c r="C983" s="2" t="s">
        <v>6036</v>
      </c>
      <c r="D983" t="s">
        <v>6153</v>
      </c>
      <c r="E983" s="2">
        <v>6</v>
      </c>
      <c r="F983" s="2" t="str" cm="1">
        <f t="array" ref="F983">_xlfn.XLOOKUP(C983, customers!$A$1:A1982, customers!$B$1:B1982, 0)</f>
        <v>Chloette Bernardot</v>
      </c>
      <c r="G983" s="2" t="str">
        <f>IF(_xlfn.XLOOKUP(C983, customers!A982:A1982, customers!C982:C1982, 0)=0, "", _xlfn.XLOOKUP(C983, customers!A982:A1982, customers!C982:C1982, 0))</f>
        <v>cbernardotr9@wix.com</v>
      </c>
      <c r="H983" s="2" t="str" cm="1">
        <f t="array" ref="H983">_xlfn.XLOOKUP(C983, customers!$A$1:A1982, customers!$G$1:G1982,, 0)</f>
        <v>United States</v>
      </c>
      <c r="I983" t="str" cm="1">
        <f t="array" ref="I983">_xlfn.XLOOKUP(orders!D983, products!$A$1:A1030, products!$B$1:B1030, 0)</f>
        <v>Exc</v>
      </c>
      <c r="J983" t="str" cm="1">
        <f t="array" ref="J983">_xlfn.XLOOKUP(D983, products!$A$1:A1030, products!$C$1:C1030, 0)</f>
        <v>D</v>
      </c>
      <c r="K983" s="4" cm="1">
        <f t="array" ref="K983">_xlfn.XLOOKUP(D983, products!$A$1:A1030, products!$D$1:D1030, 0)</f>
        <v>0.2</v>
      </c>
      <c r="L983" s="4" cm="1">
        <f t="array" ref="L983">_xlfn.XLOOKUP(D983, products!$A$1:A1030, products!$E$1:E1030)</f>
        <v>3.645</v>
      </c>
      <c r="M983">
        <f t="shared" si="30"/>
        <v>21.87</v>
      </c>
      <c r="N983" t="str">
        <f t="shared" si="31"/>
        <v>Excelsa</v>
      </c>
      <c r="O983" t="str" cm="1">
        <f t="array" ref="O983">_xlfn.IFS(J983="M", "Medium", J983="L", "Light", J983="D", "Dark")</f>
        <v>Dark</v>
      </c>
      <c r="P983" t="str">
        <f>_xlfn.XLOOKUP(Orders[[#This Row],[Customer ID]], customers!$A$2:$A$1001, customers!$I$2:$I$1001, 0)</f>
        <v>Yes</v>
      </c>
    </row>
    <row r="984" spans="1:16" x14ac:dyDescent="0.35">
      <c r="A984" s="2" t="s">
        <v>6041</v>
      </c>
      <c r="B984" s="3">
        <v>44785</v>
      </c>
      <c r="C984" s="2" t="s">
        <v>6042</v>
      </c>
      <c r="D984" t="s">
        <v>6179</v>
      </c>
      <c r="E984" s="2">
        <v>2</v>
      </c>
      <c r="F984" s="2" t="str" cm="1">
        <f t="array" ref="F984">_xlfn.XLOOKUP(C984, customers!$A$1:A1983, customers!$B$1:B1983, 0)</f>
        <v>Kim Kemery</v>
      </c>
      <c r="G984" s="2" t="str">
        <f>IF(_xlfn.XLOOKUP(C984, customers!A983:A1983, customers!C983:C1983, 0)=0, "", _xlfn.XLOOKUP(C984, customers!A983:A1983, customers!C983:C1983, 0))</f>
        <v>kkemeryra@t.co</v>
      </c>
      <c r="H984" s="2" t="str" cm="1">
        <f t="array" ref="H984">_xlfn.XLOOKUP(C984, customers!$A$1:A1983, customers!$G$1:G1983,, 0)</f>
        <v>United States</v>
      </c>
      <c r="I984" t="str" cm="1">
        <f t="array" ref="I984">_xlfn.XLOOKUP(orders!D984, products!$A$1:A1031, products!$B$1:B1031, 0)</f>
        <v>Rob</v>
      </c>
      <c r="J984" t="str" cm="1">
        <f t="array" ref="J984">_xlfn.XLOOKUP(D984, products!$A$1:A1031, products!$C$1:C1031, 0)</f>
        <v>L</v>
      </c>
      <c r="K984" s="4" cm="1">
        <f t="array" ref="K984">_xlfn.XLOOKUP(D984, products!$A$1:A1031, products!$D$1:D1031, 0)</f>
        <v>1</v>
      </c>
      <c r="L984" s="4" cm="1">
        <f t="array" ref="L984">_xlfn.XLOOKUP(D984, products!$A$1:A1031, products!$E$1:E1031)</f>
        <v>11.95</v>
      </c>
      <c r="M984">
        <f t="shared" si="30"/>
        <v>23.9</v>
      </c>
      <c r="N984" t="str">
        <f t="shared" si="31"/>
        <v>Robusta</v>
      </c>
      <c r="O984" t="str" cm="1">
        <f t="array" ref="O984">_xlfn.IFS(J984="M", "Medium", J984="L", "Light", J984="D", "Dark")</f>
        <v>Light</v>
      </c>
      <c r="P984" t="str">
        <f>_xlfn.XLOOKUP(Orders[[#This Row],[Customer ID]], customers!$A$2:$A$1001, customers!$I$2:$I$1001, 0)</f>
        <v>Yes</v>
      </c>
    </row>
    <row r="985" spans="1:16" x14ac:dyDescent="0.35">
      <c r="A985" s="2" t="s">
        <v>6047</v>
      </c>
      <c r="B985" s="3">
        <v>43831</v>
      </c>
      <c r="C985" s="2" t="s">
        <v>6048</v>
      </c>
      <c r="D985" t="s">
        <v>6152</v>
      </c>
      <c r="E985" s="2">
        <v>2</v>
      </c>
      <c r="F985" s="2" t="str" cm="1">
        <f t="array" ref="F985">_xlfn.XLOOKUP(C985, customers!$A$1:A1984, customers!$B$1:B1984, 0)</f>
        <v>Fanchette Parlot</v>
      </c>
      <c r="G985" s="2" t="str">
        <f>IF(_xlfn.XLOOKUP(C985, customers!A984:A1984, customers!C984:C1984, 0)=0, "", _xlfn.XLOOKUP(C985, customers!A984:A1984, customers!C984:C1984, 0))</f>
        <v>fparlotrb@forbes.com</v>
      </c>
      <c r="H985" s="2" t="str" cm="1">
        <f t="array" ref="H985">_xlfn.XLOOKUP(C985, customers!$A$1:A1984, customers!$G$1:G1984,, 0)</f>
        <v>United States</v>
      </c>
      <c r="I985" t="str" cm="1">
        <f t="array" ref="I985">_xlfn.XLOOKUP(orders!D985, products!$A$1:A1032, products!$B$1:B1032, 0)</f>
        <v>Ara</v>
      </c>
      <c r="J985" t="str" cm="1">
        <f t="array" ref="J985">_xlfn.XLOOKUP(D985, products!$A$1:A1032, products!$C$1:C1032, 0)</f>
        <v>M</v>
      </c>
      <c r="K985" s="4" cm="1">
        <f t="array" ref="K985">_xlfn.XLOOKUP(D985, products!$A$1:A1032, products!$D$1:D1032, 0)</f>
        <v>0.2</v>
      </c>
      <c r="L985" s="4" cm="1">
        <f t="array" ref="L985">_xlfn.XLOOKUP(D985, products!$A$1:A1032, products!$E$1:E1032)</f>
        <v>3.375</v>
      </c>
      <c r="M985">
        <f t="shared" si="30"/>
        <v>6.75</v>
      </c>
      <c r="N985" t="str">
        <f t="shared" si="31"/>
        <v>Arabica</v>
      </c>
      <c r="O985" t="str" cm="1">
        <f t="array" ref="O985">_xlfn.IFS(J985="M", "Medium", J985="L", "Light", J985="D", "Dark")</f>
        <v>Medium</v>
      </c>
      <c r="P985" t="str">
        <f>_xlfn.XLOOKUP(Orders[[#This Row],[Customer ID]], customers!$A$2:$A$1001, customers!$I$2:$I$1001, 0)</f>
        <v>Yes</v>
      </c>
    </row>
    <row r="986" spans="1:16" x14ac:dyDescent="0.35">
      <c r="A986" s="2" t="s">
        <v>6053</v>
      </c>
      <c r="B986" s="3">
        <v>44214</v>
      </c>
      <c r="C986" s="2" t="s">
        <v>6054</v>
      </c>
      <c r="D986" t="s">
        <v>6166</v>
      </c>
      <c r="E986" s="2">
        <v>1</v>
      </c>
      <c r="F986" s="2" t="str" cm="1">
        <f t="array" ref="F986">_xlfn.XLOOKUP(C986, customers!$A$1:A1985, customers!$B$1:B1985, 0)</f>
        <v>Ramon Cheak</v>
      </c>
      <c r="G986" s="2" t="str">
        <f>IF(_xlfn.XLOOKUP(C986, customers!A985:A1985, customers!C985:C1985, 0)=0, "", _xlfn.XLOOKUP(C986, customers!A985:A1985, customers!C985:C1985, 0))</f>
        <v>rcheakrc@tripadvisor.com</v>
      </c>
      <c r="H986" s="2" t="str" cm="1">
        <f t="array" ref="H986">_xlfn.XLOOKUP(C986, customers!$A$1:A1985, customers!$G$1:G1985,, 0)</f>
        <v>Ireland</v>
      </c>
      <c r="I986" t="str" cm="1">
        <f t="array" ref="I986">_xlfn.XLOOKUP(orders!D986, products!$A$1:A1033, products!$B$1:B1033, 0)</f>
        <v>Exc</v>
      </c>
      <c r="J986" t="str" cm="1">
        <f t="array" ref="J986">_xlfn.XLOOKUP(D986, products!$A$1:A1033, products!$C$1:C1033, 0)</f>
        <v>M</v>
      </c>
      <c r="K986" s="4" cm="1">
        <f t="array" ref="K986">_xlfn.XLOOKUP(D986, products!$A$1:A1033, products!$D$1:D1033, 0)</f>
        <v>2.5</v>
      </c>
      <c r="L986" s="4" cm="1">
        <f t="array" ref="L986">_xlfn.XLOOKUP(D986, products!$A$1:A1033, products!$E$1:E1033)</f>
        <v>31.624999999999996</v>
      </c>
      <c r="M986">
        <f t="shared" si="30"/>
        <v>31.624999999999996</v>
      </c>
      <c r="N986" t="str">
        <f t="shared" si="31"/>
        <v>Excelsa</v>
      </c>
      <c r="O986" t="str" cm="1">
        <f t="array" ref="O986">_xlfn.IFS(J986="M", "Medium", J986="L", "Light", J986="D", "Dark")</f>
        <v>Medium</v>
      </c>
      <c r="P986" t="str">
        <f>_xlfn.XLOOKUP(Orders[[#This Row],[Customer ID]], customers!$A$2:$A$1001, customers!$I$2:$I$1001, 0)</f>
        <v>Yes</v>
      </c>
    </row>
    <row r="987" spans="1:16" x14ac:dyDescent="0.35">
      <c r="A987" s="2" t="s">
        <v>6058</v>
      </c>
      <c r="B987" s="3">
        <v>44561</v>
      </c>
      <c r="C987" s="2" t="s">
        <v>6059</v>
      </c>
      <c r="D987" t="s">
        <v>6179</v>
      </c>
      <c r="E987" s="2">
        <v>4</v>
      </c>
      <c r="F987" s="2" t="str" cm="1">
        <f t="array" ref="F987">_xlfn.XLOOKUP(C987, customers!$A$1:A1986, customers!$B$1:B1986, 0)</f>
        <v>Koressa O'Geneay</v>
      </c>
      <c r="G987" s="2" t="str">
        <f>IF(_xlfn.XLOOKUP(C987, customers!A986:A1986, customers!C986:C1986, 0)=0, "", _xlfn.XLOOKUP(C987, customers!A986:A1986, customers!C986:C1986, 0))</f>
        <v>kogeneayrd@utexas.edu</v>
      </c>
      <c r="H987" s="2" t="str" cm="1">
        <f t="array" ref="H987">_xlfn.XLOOKUP(C987, customers!$A$1:A1986, customers!$G$1:G1986,, 0)</f>
        <v>United States</v>
      </c>
      <c r="I987" t="str" cm="1">
        <f t="array" ref="I987">_xlfn.XLOOKUP(orders!D987, products!$A$1:A1034, products!$B$1:B1034, 0)</f>
        <v>Rob</v>
      </c>
      <c r="J987" t="str" cm="1">
        <f t="array" ref="J987">_xlfn.XLOOKUP(D987, products!$A$1:A1034, products!$C$1:C1034, 0)</f>
        <v>L</v>
      </c>
      <c r="K987" s="4" cm="1">
        <f t="array" ref="K987">_xlfn.XLOOKUP(D987, products!$A$1:A1034, products!$D$1:D1034, 0)</f>
        <v>1</v>
      </c>
      <c r="L987" s="4" cm="1">
        <f t="array" ref="L987">_xlfn.XLOOKUP(D987, products!$A$1:A1034, products!$E$1:E1034)</f>
        <v>11.95</v>
      </c>
      <c r="M987">
        <f t="shared" si="30"/>
        <v>47.8</v>
      </c>
      <c r="N987" t="str">
        <f t="shared" si="31"/>
        <v>Robusta</v>
      </c>
      <c r="O987" t="str" cm="1">
        <f t="array" ref="O987">_xlfn.IFS(J987="M", "Medium", J987="L", "Light", J987="D", "Dark")</f>
        <v>Light</v>
      </c>
      <c r="P987" t="str">
        <f>_xlfn.XLOOKUP(Orders[[#This Row],[Customer ID]], customers!$A$2:$A$1001, customers!$I$2:$I$1001, 0)</f>
        <v>No</v>
      </c>
    </row>
    <row r="988" spans="1:16" x14ac:dyDescent="0.35">
      <c r="A988" s="2" t="s">
        <v>6064</v>
      </c>
      <c r="B988" s="3">
        <v>43955</v>
      </c>
      <c r="C988" s="2" t="s">
        <v>6065</v>
      </c>
      <c r="D988" t="s">
        <v>6181</v>
      </c>
      <c r="E988" s="2">
        <v>1</v>
      </c>
      <c r="F988" s="2" t="str" cm="1">
        <f t="array" ref="F988">_xlfn.XLOOKUP(C988, customers!$A$1:A1987, customers!$B$1:B1987, 0)</f>
        <v>Claudell Ayre</v>
      </c>
      <c r="G988" s="2" t="str">
        <f>IF(_xlfn.XLOOKUP(C988, customers!A987:A1987, customers!C987:C1987, 0)=0, "", _xlfn.XLOOKUP(C988, customers!A987:A1987, customers!C987:C1987, 0))</f>
        <v>cayrere@symantec.com</v>
      </c>
      <c r="H988" s="2" t="str" cm="1">
        <f t="array" ref="H988">_xlfn.XLOOKUP(C988, customers!$A$1:A1987, customers!$G$1:G1987,, 0)</f>
        <v>United States</v>
      </c>
      <c r="I988" t="str" cm="1">
        <f t="array" ref="I988">_xlfn.XLOOKUP(orders!D988, products!$A$1:A1035, products!$B$1:B1035, 0)</f>
        <v>Lib</v>
      </c>
      <c r="J988" t="str" cm="1">
        <f t="array" ref="J988">_xlfn.XLOOKUP(D988, products!$A$1:A1035, products!$C$1:C1035, 0)</f>
        <v>M</v>
      </c>
      <c r="K988" s="4" cm="1">
        <f t="array" ref="K988">_xlfn.XLOOKUP(D988, products!$A$1:A1035, products!$D$1:D1035, 0)</f>
        <v>2.5</v>
      </c>
      <c r="L988" s="4" cm="1">
        <f t="array" ref="L988">_xlfn.XLOOKUP(D988, products!$A$1:A1035, products!$E$1:E1035)</f>
        <v>33.464999999999996</v>
      </c>
      <c r="M988">
        <f t="shared" si="30"/>
        <v>33.464999999999996</v>
      </c>
      <c r="N988" t="str">
        <f t="shared" si="31"/>
        <v>Liberica</v>
      </c>
      <c r="O988" t="str" cm="1">
        <f t="array" ref="O988">_xlfn.IFS(J988="M", "Medium", J988="L", "Light", J988="D", "Dark")</f>
        <v>Medium</v>
      </c>
      <c r="P988" t="str">
        <f>_xlfn.XLOOKUP(Orders[[#This Row],[Customer ID]], customers!$A$2:$A$1001, customers!$I$2:$I$1001, 0)</f>
        <v>No</v>
      </c>
    </row>
    <row r="989" spans="1:16" x14ac:dyDescent="0.35">
      <c r="A989" s="2" t="s">
        <v>6070</v>
      </c>
      <c r="B989" s="3">
        <v>44247</v>
      </c>
      <c r="C989" s="2" t="s">
        <v>6071</v>
      </c>
      <c r="D989" t="s">
        <v>6158</v>
      </c>
      <c r="E989" s="2">
        <v>5</v>
      </c>
      <c r="F989" s="2" t="str" cm="1">
        <f t="array" ref="F989">_xlfn.XLOOKUP(C989, customers!$A$1:A1988, customers!$B$1:B1988, 0)</f>
        <v>Lorianne Kyneton</v>
      </c>
      <c r="G989" s="2" t="str">
        <f>IF(_xlfn.XLOOKUP(C989, customers!A988:A1988, customers!C988:C1988, 0)=0, "", _xlfn.XLOOKUP(C989, customers!A988:A1988, customers!C988:C1988, 0))</f>
        <v>lkynetonrf@macromedia.com</v>
      </c>
      <c r="H989" s="2" t="str" cm="1">
        <f t="array" ref="H989">_xlfn.XLOOKUP(C989, customers!$A$1:A1988, customers!$G$1:G1988,, 0)</f>
        <v>United Kingdom</v>
      </c>
      <c r="I989" t="str" cm="1">
        <f t="array" ref="I989">_xlfn.XLOOKUP(orders!D989, products!$A$1:A1036, products!$B$1:B1036, 0)</f>
        <v>Ara</v>
      </c>
      <c r="J989" t="str" cm="1">
        <f t="array" ref="J989">_xlfn.XLOOKUP(D989, products!$A$1:A1036, products!$C$1:C1036, 0)</f>
        <v>D</v>
      </c>
      <c r="K989" s="4" cm="1">
        <f t="array" ref="K989">_xlfn.XLOOKUP(D989, products!$A$1:A1036, products!$D$1:D1036, 0)</f>
        <v>0.5</v>
      </c>
      <c r="L989" s="4" cm="1">
        <f t="array" ref="L989">_xlfn.XLOOKUP(D989, products!$A$1:A1036, products!$E$1:E1036)</f>
        <v>5.97</v>
      </c>
      <c r="M989">
        <f t="shared" si="30"/>
        <v>29.849999999999998</v>
      </c>
      <c r="N989" t="str">
        <f t="shared" si="31"/>
        <v>Arabica</v>
      </c>
      <c r="O989" t="str" cm="1">
        <f t="array" ref="O989">_xlfn.IFS(J989="M", "Medium", J989="L", "Light", J989="D", "Dark")</f>
        <v>Dark</v>
      </c>
      <c r="P989" t="str">
        <f>_xlfn.XLOOKUP(Orders[[#This Row],[Customer ID]], customers!$A$2:$A$1001, customers!$I$2:$I$1001, 0)</f>
        <v>Yes</v>
      </c>
    </row>
    <row r="990" spans="1:16" x14ac:dyDescent="0.35">
      <c r="A990" s="2" t="s">
        <v>6076</v>
      </c>
      <c r="B990" s="3">
        <v>43897</v>
      </c>
      <c r="C990" s="2" t="s">
        <v>6077</v>
      </c>
      <c r="D990" t="s">
        <v>6138</v>
      </c>
      <c r="E990" s="2">
        <v>3</v>
      </c>
      <c r="F990" s="2" t="str" cm="1">
        <f t="array" ref="F990">_xlfn.XLOOKUP(C990, customers!$A$1:A1989, customers!$B$1:B1989, 0)</f>
        <v>Adele McFayden</v>
      </c>
      <c r="G990" s="2" t="str">
        <f>IF(_xlfn.XLOOKUP(C990, customers!A989:A1989, customers!C989:C1989, 0)=0, "", _xlfn.XLOOKUP(C990, customers!A989:A1989, customers!C989:C1989, 0))</f>
        <v/>
      </c>
      <c r="H990" s="2" t="str" cm="1">
        <f t="array" ref="H990">_xlfn.XLOOKUP(C990, customers!$A$1:A1989, customers!$G$1:G1989,, 0)</f>
        <v>United Kingdom</v>
      </c>
      <c r="I990" t="str" cm="1">
        <f t="array" ref="I990">_xlfn.XLOOKUP(orders!D990, products!$A$1:A1037, products!$B$1:B1037, 0)</f>
        <v>Rob</v>
      </c>
      <c r="J990" t="str" cm="1">
        <f t="array" ref="J990">_xlfn.XLOOKUP(D990, products!$A$1:A1037, products!$C$1:C1037, 0)</f>
        <v>M</v>
      </c>
      <c r="K990" s="4" cm="1">
        <f t="array" ref="K990">_xlfn.XLOOKUP(D990, products!$A$1:A1037, products!$D$1:D1037, 0)</f>
        <v>1</v>
      </c>
      <c r="L990" s="4" cm="1">
        <f t="array" ref="L990">_xlfn.XLOOKUP(D990, products!$A$1:A1037, products!$E$1:E1037)</f>
        <v>9.9499999999999993</v>
      </c>
      <c r="M990">
        <f t="shared" si="30"/>
        <v>29.849999999999998</v>
      </c>
      <c r="N990" t="str">
        <f t="shared" si="31"/>
        <v>Robusta</v>
      </c>
      <c r="O990" t="str" cm="1">
        <f t="array" ref="O990">_xlfn.IFS(J990="M", "Medium", J990="L", "Light", J990="D", "Dark")</f>
        <v>Medium</v>
      </c>
      <c r="P990" t="str">
        <f>_xlfn.XLOOKUP(Orders[[#This Row],[Customer ID]], customers!$A$2:$A$1001, customers!$I$2:$I$1001, 0)</f>
        <v>Yes</v>
      </c>
    </row>
    <row r="991" spans="1:16" x14ac:dyDescent="0.35">
      <c r="A991" s="2" t="s">
        <v>6081</v>
      </c>
      <c r="B991" s="3">
        <v>43560</v>
      </c>
      <c r="C991" s="2" t="s">
        <v>6082</v>
      </c>
      <c r="D991" t="s">
        <v>6175</v>
      </c>
      <c r="E991" s="2">
        <v>6</v>
      </c>
      <c r="F991" s="2" t="str" cm="1">
        <f t="array" ref="F991">_xlfn.XLOOKUP(C991, customers!$A$1:A1990, customers!$B$1:B1990, 0)</f>
        <v>Herta Layne</v>
      </c>
      <c r="G991" s="2" t="str">
        <f>IF(_xlfn.XLOOKUP(C991, customers!A990:A1990, customers!C990:C1990, 0)=0, "", _xlfn.XLOOKUP(C991, customers!A990:A1990, customers!C990:C1990, 0))</f>
        <v/>
      </c>
      <c r="H991" s="2" t="str" cm="1">
        <f t="array" ref="H991">_xlfn.XLOOKUP(C991, customers!$A$1:A1990, customers!$G$1:G1990,, 0)</f>
        <v>United States</v>
      </c>
      <c r="I991" t="str" cm="1">
        <f t="array" ref="I991">_xlfn.XLOOKUP(orders!D991, products!$A$1:A1038, products!$B$1:B1038, 0)</f>
        <v>Ara</v>
      </c>
      <c r="J991" t="str" cm="1">
        <f t="array" ref="J991">_xlfn.XLOOKUP(D991, products!$A$1:A1038, products!$C$1:C1038, 0)</f>
        <v>M</v>
      </c>
      <c r="K991" s="4" cm="1">
        <f t="array" ref="K991">_xlfn.XLOOKUP(D991, products!$A$1:A1038, products!$D$1:D1038, 0)</f>
        <v>2.5</v>
      </c>
      <c r="L991" s="4" cm="1">
        <f t="array" ref="L991">_xlfn.XLOOKUP(D991, products!$A$1:A1038, products!$E$1:E1038)</f>
        <v>25.874999999999996</v>
      </c>
      <c r="M991">
        <f t="shared" si="30"/>
        <v>155.24999999999997</v>
      </c>
      <c r="N991" t="str">
        <f t="shared" si="31"/>
        <v>Arabica</v>
      </c>
      <c r="O991" t="str" cm="1">
        <f t="array" ref="O991">_xlfn.IFS(J991="M", "Medium", J991="L", "Light", J991="D", "Dark")</f>
        <v>Medium</v>
      </c>
      <c r="P991" t="str">
        <f>_xlfn.XLOOKUP(Orders[[#This Row],[Customer ID]], customers!$A$2:$A$1001, customers!$I$2:$I$1001, 0)</f>
        <v>Yes</v>
      </c>
    </row>
    <row r="992" spans="1:16" x14ac:dyDescent="0.35">
      <c r="A992" s="2" t="s">
        <v>6086</v>
      </c>
      <c r="B992" s="3">
        <v>44718</v>
      </c>
      <c r="C992" s="2" t="s">
        <v>6118</v>
      </c>
      <c r="D992" t="s">
        <v>6153</v>
      </c>
      <c r="E992" s="2">
        <v>5</v>
      </c>
      <c r="F992" s="2" t="str" cm="1">
        <f t="array" ref="F992">_xlfn.XLOOKUP(C992, customers!$A$1:A1991, customers!$B$1:B1991, 0)</f>
        <v>Marguerite Graves</v>
      </c>
      <c r="G992" s="2" t="str">
        <f>IF(_xlfn.XLOOKUP(C992, customers!A991:A1991, customers!C991:C1991, 0)=0, "", _xlfn.XLOOKUP(C992, customers!A991:A1991, customers!C991:C1991, 0))</f>
        <v/>
      </c>
      <c r="H992" s="2" t="str" cm="1">
        <f t="array" ref="H992">_xlfn.XLOOKUP(C992, customers!$A$1:A1991, customers!$G$1:G1991,, 0)</f>
        <v>United States</v>
      </c>
      <c r="I992" t="str" cm="1">
        <f t="array" ref="I992">_xlfn.XLOOKUP(orders!D992, products!$A$1:A1039, products!$B$1:B1039, 0)</f>
        <v>Exc</v>
      </c>
      <c r="J992" t="str" cm="1">
        <f t="array" ref="J992">_xlfn.XLOOKUP(D992, products!$A$1:A1039, products!$C$1:C1039, 0)</f>
        <v>D</v>
      </c>
      <c r="K992" s="4" cm="1">
        <f t="array" ref="K992">_xlfn.XLOOKUP(D992, products!$A$1:A1039, products!$D$1:D1039, 0)</f>
        <v>0.2</v>
      </c>
      <c r="L992" s="4" cm="1">
        <f t="array" ref="L992">_xlfn.XLOOKUP(D992, products!$A$1:A1039, products!$E$1:E1039)</f>
        <v>3.645</v>
      </c>
      <c r="M992">
        <f t="shared" si="30"/>
        <v>18.225000000000001</v>
      </c>
      <c r="N992" t="str">
        <f t="shared" si="31"/>
        <v>Excelsa</v>
      </c>
      <c r="O992" t="str" cm="1">
        <f t="array" ref="O992">_xlfn.IFS(J992="M", "Medium", J992="L", "Light", J992="D", "Dark")</f>
        <v>Dark</v>
      </c>
      <c r="P992" t="str">
        <f>_xlfn.XLOOKUP(Orders[[#This Row],[Customer ID]], customers!$A$2:$A$1001, customers!$I$2:$I$1001, 0)</f>
        <v>No</v>
      </c>
    </row>
    <row r="993" spans="1:16" x14ac:dyDescent="0.35">
      <c r="A993" s="2" t="s">
        <v>6086</v>
      </c>
      <c r="B993" s="3">
        <v>44718</v>
      </c>
      <c r="C993" s="2" t="s">
        <v>6118</v>
      </c>
      <c r="D993" t="s">
        <v>6169</v>
      </c>
      <c r="E993" s="2">
        <v>2</v>
      </c>
      <c r="F993" s="2" t="str" cm="1">
        <f t="array" ref="F993">_xlfn.XLOOKUP(C993, customers!$A$1:A1992, customers!$B$1:B1992, 0)</f>
        <v>Marguerite Graves</v>
      </c>
      <c r="G993" s="2" t="str">
        <f>IF(_xlfn.XLOOKUP(C993, customers!A992:A1992, customers!C992:C1992, 0)=0, "", _xlfn.XLOOKUP(C993, customers!A992:A1992, customers!C992:C1992, 0))</f>
        <v/>
      </c>
      <c r="H993" s="2" t="str" cm="1">
        <f t="array" ref="H993">_xlfn.XLOOKUP(C993, customers!$A$1:A1992, customers!$G$1:G1992,, 0)</f>
        <v>United States</v>
      </c>
      <c r="I993" t="str" cm="1">
        <f t="array" ref="I993">_xlfn.XLOOKUP(orders!D993, products!$A$1:A1040, products!$B$1:B1040, 0)</f>
        <v>Lib</v>
      </c>
      <c r="J993" t="str" cm="1">
        <f t="array" ref="J993">_xlfn.XLOOKUP(D993, products!$A$1:A1040, products!$C$1:C1040, 0)</f>
        <v>D</v>
      </c>
      <c r="K993" s="4" cm="1">
        <f t="array" ref="K993">_xlfn.XLOOKUP(D993, products!$A$1:A1040, products!$D$1:D1040, 0)</f>
        <v>0.5</v>
      </c>
      <c r="L993" s="4" cm="1">
        <f t="array" ref="L993">_xlfn.XLOOKUP(D993, products!$A$1:A1040, products!$E$1:E1040)</f>
        <v>7.77</v>
      </c>
      <c r="M993">
        <f t="shared" si="30"/>
        <v>15.54</v>
      </c>
      <c r="N993" t="str">
        <f t="shared" si="31"/>
        <v>Liberica</v>
      </c>
      <c r="O993" t="str" cm="1">
        <f t="array" ref="O993">_xlfn.IFS(J993="M", "Medium", J993="L", "Light", J993="D", "Dark")</f>
        <v>Dark</v>
      </c>
      <c r="P993" t="str">
        <f>_xlfn.XLOOKUP(Orders[[#This Row],[Customer ID]], customers!$A$2:$A$1001, customers!$I$2:$I$1001, 0)</f>
        <v>No</v>
      </c>
    </row>
    <row r="994" spans="1:16" x14ac:dyDescent="0.35">
      <c r="A994" s="2" t="s">
        <v>6096</v>
      </c>
      <c r="B994" s="3">
        <v>44276</v>
      </c>
      <c r="C994" s="2" t="s">
        <v>6097</v>
      </c>
      <c r="D994" t="s">
        <v>6164</v>
      </c>
      <c r="E994" s="2">
        <v>3</v>
      </c>
      <c r="F994" s="2" t="str" cm="1">
        <f t="array" ref="F994">_xlfn.XLOOKUP(C994, customers!$A$1:A1993, customers!$B$1:B1993, 0)</f>
        <v>Desdemona Eye</v>
      </c>
      <c r="G994" s="2" t="str">
        <f>IF(_xlfn.XLOOKUP(C994, customers!A993:A1993, customers!C993:C1993, 0)=0, "", _xlfn.XLOOKUP(C994, customers!A993:A1993, customers!C993:C1993, 0))</f>
        <v/>
      </c>
      <c r="H994" s="2" t="str" cm="1">
        <f t="array" ref="H994">_xlfn.XLOOKUP(C994, customers!$A$1:A1993, customers!$G$1:G1993,, 0)</f>
        <v>Ireland</v>
      </c>
      <c r="I994" t="str" cm="1">
        <f t="array" ref="I994">_xlfn.XLOOKUP(orders!D994, products!$A$1:A1041, products!$B$1:B1041, 0)</f>
        <v>Lib</v>
      </c>
      <c r="J994" t="str" cm="1">
        <f t="array" ref="J994">_xlfn.XLOOKUP(D994, products!$A$1:A1041, products!$C$1:C1041, 0)</f>
        <v>L</v>
      </c>
      <c r="K994" s="4" cm="1">
        <f t="array" ref="K994">_xlfn.XLOOKUP(D994, products!$A$1:A1041, products!$D$1:D1041, 0)</f>
        <v>2.5</v>
      </c>
      <c r="L994" s="4" cm="1">
        <f t="array" ref="L994">_xlfn.XLOOKUP(D994, products!$A$1:A1041, products!$E$1:E1041)</f>
        <v>36.454999999999998</v>
      </c>
      <c r="M994">
        <f t="shared" si="30"/>
        <v>109.36499999999999</v>
      </c>
      <c r="N994" t="str">
        <f t="shared" si="31"/>
        <v>Liberica</v>
      </c>
      <c r="O994" t="str" cm="1">
        <f t="array" ref="O994">_xlfn.IFS(J994="M", "Medium", J994="L", "Light", J994="D", "Dark")</f>
        <v>Light</v>
      </c>
      <c r="P994" t="str">
        <f>_xlfn.XLOOKUP(Orders[[#This Row],[Customer ID]], customers!$A$2:$A$1001, customers!$I$2:$I$1001, 0)</f>
        <v>No</v>
      </c>
    </row>
    <row r="995" spans="1:16" x14ac:dyDescent="0.35">
      <c r="A995" s="2" t="s">
        <v>6101</v>
      </c>
      <c r="B995" s="3">
        <v>44549</v>
      </c>
      <c r="C995" s="2" t="s">
        <v>6102</v>
      </c>
      <c r="D995" t="s">
        <v>6140</v>
      </c>
      <c r="E995" s="2">
        <v>6</v>
      </c>
      <c r="F995" s="2" t="str" cm="1">
        <f t="array" ref="F995">_xlfn.XLOOKUP(C995, customers!$A$1:A1994, customers!$B$1:B1994, 0)</f>
        <v>Margarette Sterland</v>
      </c>
      <c r="G995" s="2" t="str">
        <f>IF(_xlfn.XLOOKUP(C995, customers!A994:A1994, customers!C994:C1994, 0)=0, "", _xlfn.XLOOKUP(C995, customers!A994:A1994, customers!C994:C1994, 0))</f>
        <v/>
      </c>
      <c r="H995" s="2" t="str" cm="1">
        <f t="array" ref="H995">_xlfn.XLOOKUP(C995, customers!$A$1:A1994, customers!$G$1:G1994,, 0)</f>
        <v>United States</v>
      </c>
      <c r="I995" t="str" cm="1">
        <f t="array" ref="I995">_xlfn.XLOOKUP(orders!D995, products!$A$1:A1042, products!$B$1:B1042, 0)</f>
        <v>Ara</v>
      </c>
      <c r="J995" t="str" cm="1">
        <f t="array" ref="J995">_xlfn.XLOOKUP(D995, products!$A$1:A1042, products!$C$1:C1042, 0)</f>
        <v>L</v>
      </c>
      <c r="K995" s="4" cm="1">
        <f t="array" ref="K995">_xlfn.XLOOKUP(D995, products!$A$1:A1042, products!$D$1:D1042, 0)</f>
        <v>1</v>
      </c>
      <c r="L995" s="4" cm="1">
        <f t="array" ref="L995">_xlfn.XLOOKUP(D995, products!$A$1:A1042, products!$E$1:E1042)</f>
        <v>12.95</v>
      </c>
      <c r="M995">
        <f t="shared" si="30"/>
        <v>77.699999999999989</v>
      </c>
      <c r="N995" t="str">
        <f t="shared" si="31"/>
        <v>Arabica</v>
      </c>
      <c r="O995" t="str" cm="1">
        <f t="array" ref="O995">_xlfn.IFS(J995="M", "Medium", J995="L", "Light", J995="D", "Dark")</f>
        <v>Light</v>
      </c>
      <c r="P995" t="str">
        <f>_xlfn.XLOOKUP(Orders[[#This Row],[Customer ID]], customers!$A$2:$A$1001, customers!$I$2:$I$1001, 0)</f>
        <v>No</v>
      </c>
    </row>
    <row r="996" spans="1:16" x14ac:dyDescent="0.35">
      <c r="A996" s="2" t="s">
        <v>6106</v>
      </c>
      <c r="B996" s="3">
        <v>44244</v>
      </c>
      <c r="C996" s="2" t="s">
        <v>6107</v>
      </c>
      <c r="D996" t="s">
        <v>6154</v>
      </c>
      <c r="E996" s="2">
        <v>3</v>
      </c>
      <c r="F996" s="2" t="str" cm="1">
        <f t="array" ref="F996">_xlfn.XLOOKUP(C996, customers!$A$1:A1995, customers!$B$1:B1995, 0)</f>
        <v>Catharine Scoines</v>
      </c>
      <c r="G996" s="2" t="str">
        <f>IF(_xlfn.XLOOKUP(C996, customers!A995:A1995, customers!C995:C1995, 0)=0, "", _xlfn.XLOOKUP(C996, customers!A995:A1995, customers!C995:C1995, 0))</f>
        <v/>
      </c>
      <c r="H996" s="2" t="str" cm="1">
        <f t="array" ref="H996">_xlfn.XLOOKUP(C996, customers!$A$1:A1995, customers!$G$1:G1995,, 0)</f>
        <v>Ireland</v>
      </c>
      <c r="I996" t="str" cm="1">
        <f t="array" ref="I996">_xlfn.XLOOKUP(orders!D996, products!$A$1:A1043, products!$B$1:B1043, 0)</f>
        <v>Ara</v>
      </c>
      <c r="J996" t="str" cm="1">
        <f t="array" ref="J996">_xlfn.XLOOKUP(D996, products!$A$1:A1043, products!$C$1:C1043, 0)</f>
        <v>D</v>
      </c>
      <c r="K996" s="4" cm="1">
        <f t="array" ref="K996">_xlfn.XLOOKUP(D996, products!$A$1:A1043, products!$D$1:D1043, 0)</f>
        <v>0.2</v>
      </c>
      <c r="L996" s="4" cm="1">
        <f t="array" ref="L996">_xlfn.XLOOKUP(D996, products!$A$1:A1043, products!$E$1:E1043)</f>
        <v>2.9849999999999999</v>
      </c>
      <c r="M996">
        <f t="shared" si="30"/>
        <v>8.9550000000000001</v>
      </c>
      <c r="N996" t="str">
        <f t="shared" si="31"/>
        <v>Arabica</v>
      </c>
      <c r="O996" t="str" cm="1">
        <f t="array" ref="O996">_xlfn.IFS(J996="M", "Medium", J996="L", "Light", J996="D", "Dark")</f>
        <v>Dark</v>
      </c>
      <c r="P996" t="str">
        <f>_xlfn.XLOOKUP(Orders[[#This Row],[Customer ID]], customers!$A$2:$A$1001, customers!$I$2:$I$1001, 0)</f>
        <v>No</v>
      </c>
    </row>
    <row r="997" spans="1:16" x14ac:dyDescent="0.35">
      <c r="A997" s="2" t="s">
        <v>6111</v>
      </c>
      <c r="B997" s="3">
        <v>43836</v>
      </c>
      <c r="C997" s="2" t="s">
        <v>6112</v>
      </c>
      <c r="D997" t="s">
        <v>6142</v>
      </c>
      <c r="E997" s="2">
        <v>1</v>
      </c>
      <c r="F997" s="2" t="str" cm="1">
        <f t="array" ref="F997">_xlfn.XLOOKUP(C997, customers!$A$1:A1996, customers!$B$1:B1996, 0)</f>
        <v>Jennica Tewelson</v>
      </c>
      <c r="G997" s="2" t="str">
        <f>IF(_xlfn.XLOOKUP(C997, customers!A996:A1996, customers!C996:C1996, 0)=0, "", _xlfn.XLOOKUP(C997, customers!A996:A1996, customers!C996:C1996, 0))</f>
        <v>jtewelsonrn@samsung.com</v>
      </c>
      <c r="H997" s="2" t="str" cm="1">
        <f t="array" ref="H997">_xlfn.XLOOKUP(C997, customers!$A$1:A1996, customers!$G$1:G1996,, 0)</f>
        <v>United States</v>
      </c>
      <c r="I997" t="str" cm="1">
        <f t="array" ref="I997">_xlfn.XLOOKUP(orders!D997, products!$A$1:A1044, products!$B$1:B1044, 0)</f>
        <v>Rob</v>
      </c>
      <c r="J997" t="str" cm="1">
        <f t="array" ref="J997">_xlfn.XLOOKUP(D997, products!$A$1:A1044, products!$C$1:C1044, 0)</f>
        <v>L</v>
      </c>
      <c r="K997" s="4" cm="1">
        <f t="array" ref="K997">_xlfn.XLOOKUP(D997, products!$A$1:A1044, products!$D$1:D1044, 0)</f>
        <v>2.5</v>
      </c>
      <c r="L997" s="4" cm="1">
        <f t="array" ref="L997">_xlfn.XLOOKUP(D997, products!$A$1:A1044, products!$E$1:E1044)</f>
        <v>27.484999999999996</v>
      </c>
      <c r="M997">
        <f t="shared" si="30"/>
        <v>27.484999999999996</v>
      </c>
      <c r="N997" t="str">
        <f t="shared" si="31"/>
        <v>Robusta</v>
      </c>
      <c r="O997" t="str" cm="1">
        <f t="array" ref="O997">_xlfn.IFS(J997="M", "Medium", J997="L", "Light", J997="D", "Dark")</f>
        <v>Light</v>
      </c>
      <c r="P997" t="str">
        <f>_xlfn.XLOOKUP(Orders[[#This Row],[Customer ID]], customers!$A$2:$A$1001, customers!$I$2:$I$1001, 0)</f>
        <v>No</v>
      </c>
    </row>
    <row r="998" spans="1:16" x14ac:dyDescent="0.35">
      <c r="A998" s="2" t="s">
        <v>6117</v>
      </c>
      <c r="B998" s="3">
        <v>44685</v>
      </c>
      <c r="C998" s="2" t="s">
        <v>6118</v>
      </c>
      <c r="D998" t="s">
        <v>6146</v>
      </c>
      <c r="E998" s="2">
        <v>5</v>
      </c>
      <c r="F998" s="2" t="str" cm="1">
        <f t="array" ref="F998">_xlfn.XLOOKUP(C998, customers!$A$1:A1997, customers!$B$1:B1997, 0)</f>
        <v>Marguerite Graves</v>
      </c>
      <c r="G998" s="2" t="str">
        <f>IF(_xlfn.XLOOKUP(C998, customers!A997:A1997, customers!C997:C1997, 0)=0, "", _xlfn.XLOOKUP(C998, customers!A997:A1997, customers!C997:C1997, 0))</f>
        <v/>
      </c>
      <c r="H998" s="2" t="str" cm="1">
        <f t="array" ref="H998">_xlfn.XLOOKUP(C998, customers!$A$1:A1997, customers!$G$1:G1997,, 0)</f>
        <v>United States</v>
      </c>
      <c r="I998" t="str" cm="1">
        <f t="array" ref="I998">_xlfn.XLOOKUP(orders!D998, products!$A$1:A1045, products!$B$1:B1045, 0)</f>
        <v>Rob</v>
      </c>
      <c r="J998" t="str" cm="1">
        <f t="array" ref="J998">_xlfn.XLOOKUP(D998, products!$A$1:A1045, products!$C$1:C1045, 0)</f>
        <v>M</v>
      </c>
      <c r="K998" s="4" cm="1">
        <f t="array" ref="K998">_xlfn.XLOOKUP(D998, products!$A$1:A1045, products!$D$1:D1045, 0)</f>
        <v>0.5</v>
      </c>
      <c r="L998" s="4" cm="1">
        <f t="array" ref="L998">_xlfn.XLOOKUP(D998, products!$A$1:A1045, products!$E$1:E1045)</f>
        <v>5.97</v>
      </c>
      <c r="M998">
        <f t="shared" si="30"/>
        <v>29.849999999999998</v>
      </c>
      <c r="N998" t="str">
        <f t="shared" si="31"/>
        <v>Robusta</v>
      </c>
      <c r="O998" t="str" cm="1">
        <f t="array" ref="O998">_xlfn.IFS(J998="M", "Medium", J998="L", "Light", J998="D", "Dark")</f>
        <v>Medium</v>
      </c>
      <c r="P998" t="str">
        <f>_xlfn.XLOOKUP(Orders[[#This Row],[Customer ID]], customers!$A$2:$A$1001, customers!$I$2:$I$1001, 0)</f>
        <v>No</v>
      </c>
    </row>
    <row r="999" spans="1:16" x14ac:dyDescent="0.35">
      <c r="A999" s="2" t="s">
        <v>6122</v>
      </c>
      <c r="B999" s="3">
        <v>43749</v>
      </c>
      <c r="C999" s="2" t="s">
        <v>6118</v>
      </c>
      <c r="D999" t="s">
        <v>6157</v>
      </c>
      <c r="E999" s="2">
        <v>4</v>
      </c>
      <c r="F999" s="2" t="str" cm="1">
        <f t="array" ref="F999">_xlfn.XLOOKUP(C999, customers!$A$1:A1998, customers!$B$1:B1998, 0)</f>
        <v>Marguerite Graves</v>
      </c>
      <c r="G999" s="2" t="str">
        <f>IF(_xlfn.XLOOKUP(C999, customers!A998:A1998, customers!C998:C1998, 0)=0, "", _xlfn.XLOOKUP(C999, customers!A998:A1998, customers!C998:C1998, 0))</f>
        <v/>
      </c>
      <c r="H999" s="2" t="str" cm="1">
        <f t="array" ref="H999">_xlfn.XLOOKUP(C999, customers!$A$1:A1998, customers!$G$1:G1998,, 0)</f>
        <v>United States</v>
      </c>
      <c r="I999" t="str" cm="1">
        <f t="array" ref="I999">_xlfn.XLOOKUP(orders!D999, products!$A$1:A1046, products!$B$1:B1046, 0)</f>
        <v>Ara</v>
      </c>
      <c r="J999" t="str" cm="1">
        <f t="array" ref="J999">_xlfn.XLOOKUP(D999, products!$A$1:A1046, products!$C$1:C1046, 0)</f>
        <v>M</v>
      </c>
      <c r="K999" s="4" cm="1">
        <f t="array" ref="K999">_xlfn.XLOOKUP(D999, products!$A$1:A1046, products!$D$1:D1046, 0)</f>
        <v>0.5</v>
      </c>
      <c r="L999" s="4" cm="1">
        <f t="array" ref="L999">_xlfn.XLOOKUP(D999, products!$A$1:A1046, products!$E$1:E1046)</f>
        <v>6.75</v>
      </c>
      <c r="M999">
        <f t="shared" si="30"/>
        <v>27</v>
      </c>
      <c r="N999" t="str">
        <f t="shared" si="31"/>
        <v>Arabica</v>
      </c>
      <c r="O999" t="str" cm="1">
        <f t="array" ref="O999">_xlfn.IFS(J999="M", "Medium", J999="L", "Light", J999="D", "Dark")</f>
        <v>Medium</v>
      </c>
      <c r="P999" t="str">
        <f>_xlfn.XLOOKUP(Orders[[#This Row],[Customer ID]], customers!$A$2:$A$1001, customers!$I$2:$I$1001, 0)</f>
        <v>No</v>
      </c>
    </row>
    <row r="1000" spans="1:16" x14ac:dyDescent="0.35">
      <c r="A1000" s="2" t="s">
        <v>6127</v>
      </c>
      <c r="B1000" s="3">
        <v>44411</v>
      </c>
      <c r="C1000" s="2" t="s">
        <v>6128</v>
      </c>
      <c r="D1000" t="s">
        <v>6147</v>
      </c>
      <c r="E1000" s="2">
        <v>1</v>
      </c>
      <c r="F1000" s="2" t="str" cm="1">
        <f t="array" ref="F1000">_xlfn.XLOOKUP(C1000, customers!$A$1:A1999, customers!$B$1:B1999, 0)</f>
        <v>Nicolina Jenny</v>
      </c>
      <c r="G1000" s="2" t="str">
        <f>IF(_xlfn.XLOOKUP(C1000, customers!A999:A1999, customers!C999:C1999, 0)=0, "", _xlfn.XLOOKUP(C1000, customers!A999:A1999, customers!C999:C1999, 0))</f>
        <v>njennyrq@bigcartel.com</v>
      </c>
      <c r="H1000" s="2" t="str" cm="1">
        <f t="array" ref="H1000">_xlfn.XLOOKUP(C1000, customers!$A$1:A1999, customers!$G$1:G1999,, 0)</f>
        <v>United States</v>
      </c>
      <c r="I1000" t="str" cm="1">
        <f t="array" ref="I1000">_xlfn.XLOOKUP(orders!D1000, products!$A$1:A1047, products!$B$1:B1047, 0)</f>
        <v>Ara</v>
      </c>
      <c r="J1000" t="str" cm="1">
        <f t="array" ref="J1000">_xlfn.XLOOKUP(D1000, products!$A$1:A1047, products!$C$1:C1047, 0)</f>
        <v>D</v>
      </c>
      <c r="K1000" s="4" cm="1">
        <f t="array" ref="K1000">_xlfn.XLOOKUP(D1000, products!$A$1:A1047, products!$D$1:D1047, 0)</f>
        <v>1</v>
      </c>
      <c r="L1000" s="4" cm="1">
        <f t="array" ref="L1000">_xlfn.XLOOKUP(D1000, products!$A$1:A1047, products!$E$1:E1047)</f>
        <v>9.9499999999999993</v>
      </c>
      <c r="M1000">
        <f t="shared" si="30"/>
        <v>9.9499999999999993</v>
      </c>
      <c r="N1000" t="str">
        <f t="shared" si="31"/>
        <v>Arabica</v>
      </c>
      <c r="O1000" t="str" cm="1">
        <f t="array" ref="O1000">_xlfn.IFS(J1000="M", "Medium", J1000="L", "Light", J1000="D", "Dark")</f>
        <v>Dark</v>
      </c>
      <c r="P1000" t="str">
        <f>_xlfn.XLOOKUP(Orders[[#This Row],[Customer ID]], customers!$A$2:$A$1001, customers!$I$2:$I$1001, 0)</f>
        <v>No</v>
      </c>
    </row>
    <row r="1001" spans="1:16" x14ac:dyDescent="0.35">
      <c r="A1001" s="2" t="s">
        <v>6133</v>
      </c>
      <c r="B1001" s="3">
        <v>44119</v>
      </c>
      <c r="C1001" s="2" t="s">
        <v>6134</v>
      </c>
      <c r="D1001" t="s">
        <v>6156</v>
      </c>
      <c r="E1001" s="2">
        <v>3</v>
      </c>
      <c r="F1001" s="2" t="str" cm="1">
        <f t="array" ref="F1001">_xlfn.XLOOKUP(C1001, customers!$A$1:A2000, customers!$B$1:B2000, 0)</f>
        <v>Vidovic Antonelli</v>
      </c>
      <c r="G1001" s="2" t="str">
        <f>IF(_xlfn.XLOOKUP(C1001, customers!A1000:A2000, customers!C1000:C2000, 0)=0, "", _xlfn.XLOOKUP(C1001, customers!A1000:A2000, customers!C1000:C2000, 0))</f>
        <v/>
      </c>
      <c r="H1001" s="2" t="str" cm="1">
        <f t="array" ref="H1001">_xlfn.XLOOKUP(C1001, customers!$A$1:A2000, customers!$G$1:G2000,, 0)</f>
        <v>United Kingdom</v>
      </c>
      <c r="I1001" t="str" cm="1">
        <f t="array" ref="I1001">_xlfn.XLOOKUP(orders!D1001, products!$A$1:A1048, products!$B$1:B1048, 0)</f>
        <v>Exc</v>
      </c>
      <c r="J1001" t="str" cm="1">
        <f t="array" ref="J1001">_xlfn.XLOOKUP(D1001, products!$A$1:A1048, products!$C$1:C1048, 0)</f>
        <v>M</v>
      </c>
      <c r="K1001" s="4" cm="1">
        <f t="array" ref="K1001">_xlfn.XLOOKUP(D1001, products!$A$1:A1048, products!$D$1:D1048, 0)</f>
        <v>0.2</v>
      </c>
      <c r="L1001" s="4" cm="1">
        <f t="array" ref="L1001">_xlfn.XLOOKUP(D1001, products!$A$1:A1048, products!$E$1:E1048)</f>
        <v>4.125</v>
      </c>
      <c r="M1001">
        <f t="shared" si="30"/>
        <v>12.375</v>
      </c>
      <c r="N1001" t="str">
        <f t="shared" si="31"/>
        <v>Excelsa</v>
      </c>
      <c r="O1001" t="str" cm="1">
        <f t="array" ref="O1001">_xlfn.IFS(J1001="M", "Medium", J1001="L", "Light", J1001="D", "Dark")</f>
        <v>Medium</v>
      </c>
      <c r="P1001" t="str">
        <f>_xlfn.XLOOKUP(Orders[[#This Row],[Customer ID]], customers!$A$2:$A$1001, customers!$I$2:$I$1001, 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6" sqref="A6"/>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عبدالمجيد بن عبدالله بن محمد الغميجان</cp:lastModifiedBy>
  <cp:revision/>
  <dcterms:created xsi:type="dcterms:W3CDTF">2022-11-26T09:51:45Z</dcterms:created>
  <dcterms:modified xsi:type="dcterms:W3CDTF">2026-09-24T11:14:02Z</dcterms:modified>
  <cp:category/>
  <cp:contentStatus/>
</cp:coreProperties>
</file>